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202300"/>
  <mc:AlternateContent xmlns:mc="http://schemas.openxmlformats.org/markup-compatibility/2006">
    <mc:Choice Requires="x15">
      <x15ac:absPath xmlns:x15ac="http://schemas.microsoft.com/office/spreadsheetml/2010/11/ac" url="https://tenneco-my.sharepoint.com/personal/ritu_agrawal_tenneco_com/Documents/Desktop/Ritu/RCO_Dashboards and Presentations/"/>
    </mc:Choice>
  </mc:AlternateContent>
  <xr:revisionPtr revIDLastSave="824" documentId="13_ncr:1_{63A39BA0-6D5A-49BC-B38F-1C0EB932BBA1}" xr6:coauthVersionLast="47" xr6:coauthVersionMax="47" xr10:uidLastSave="{E2F29AAD-CDCA-45BB-98AA-C197238F243E}"/>
  <bookViews>
    <workbookView xWindow="-110" yWindow="-110" windowWidth="19420" windowHeight="10300" tabRatio="866" firstSheet="1" activeTab="7" xr2:uid="{00000000-000D-0000-FFFF-FFFF00000000}"/>
  </bookViews>
  <sheets>
    <sheet name="Including Self testing" sheetId="2" r:id="rId1"/>
    <sheet name="Self testing Issues" sheetId="11" r:id="rId2"/>
    <sheet name="Past Due" sheetId="6" r:id="rId3"/>
    <sheet name="Top Issue Themes" sheetId="12" r:id="rId4"/>
    <sheet name="Past due aging" sheetId="4" r:id="rId5"/>
    <sheet name="Current Aging" sheetId="13" r:id="rId6"/>
    <sheet name="Past due over 9 months" sheetId="5" r:id="rId7"/>
    <sheet name="Master Sheet" sheetId="8" r:id="rId8"/>
    <sheet name="Working File" sheetId="1" state="hidden" r:id="rId9"/>
  </sheets>
  <definedNames>
    <definedName name="_xlnm._FilterDatabase" localSheetId="7" hidden="1">'Master Sheet'!$A$1:$AY$396</definedName>
    <definedName name="_xlnm._FilterDatabase" localSheetId="6" hidden="1">'Past due over 9 months'!$A$1:$AY$2</definedName>
    <definedName name="_xlnm._FilterDatabase" localSheetId="8" hidden="1">'Working File'!$A$2:$BB$397</definedName>
  </definedNames>
  <calcPr calcId="191029"/>
  <pivotCaches>
    <pivotCache cacheId="17"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395" i="1" l="1"/>
  <c r="BA395" i="1" s="1"/>
  <c r="AZ394" i="1"/>
  <c r="BA394" i="1" s="1"/>
  <c r="AZ393" i="1"/>
  <c r="BA393" i="1" s="1"/>
  <c r="AZ392" i="1"/>
  <c r="BA392" i="1" s="1"/>
  <c r="AZ391" i="1"/>
  <c r="BA391" i="1" s="1"/>
  <c r="AZ390" i="1"/>
  <c r="BA390" i="1" s="1"/>
  <c r="AZ389" i="1"/>
  <c r="BA389" i="1" s="1"/>
  <c r="AZ388" i="1"/>
  <c r="BA388" i="1" s="1"/>
  <c r="AZ387" i="1"/>
  <c r="BA387" i="1" s="1"/>
  <c r="AZ386" i="1"/>
  <c r="BA386" i="1" s="1"/>
  <c r="AZ385" i="1"/>
  <c r="BA385" i="1" s="1"/>
  <c r="AZ384" i="1"/>
  <c r="BA384" i="1" s="1"/>
  <c r="AZ383" i="1"/>
  <c r="BA383" i="1" s="1"/>
  <c r="AZ382" i="1"/>
  <c r="BA382" i="1" s="1"/>
  <c r="AZ381" i="1"/>
  <c r="BA381" i="1" s="1"/>
  <c r="AZ380" i="1"/>
  <c r="BA380" i="1" s="1"/>
  <c r="AZ379" i="1"/>
  <c r="BA379" i="1" s="1"/>
  <c r="AZ378" i="1"/>
  <c r="BA378" i="1" s="1"/>
  <c r="AZ377" i="1"/>
  <c r="BA377" i="1" s="1"/>
  <c r="AZ376" i="1"/>
  <c r="BA376" i="1" s="1"/>
  <c r="AZ375" i="1"/>
  <c r="BA375" i="1" s="1"/>
  <c r="AZ374" i="1"/>
  <c r="BA374" i="1" s="1"/>
  <c r="AZ373" i="1"/>
  <c r="BA373" i="1" s="1"/>
  <c r="AZ372" i="1"/>
  <c r="BA372" i="1" s="1"/>
  <c r="AZ371" i="1"/>
  <c r="BA371" i="1" s="1"/>
  <c r="AZ370" i="1"/>
  <c r="BA370" i="1" s="1"/>
  <c r="AZ369" i="1"/>
  <c r="BA369" i="1" s="1"/>
  <c r="AZ368" i="1"/>
  <c r="BA368" i="1" s="1"/>
  <c r="AZ367" i="1"/>
  <c r="BA367" i="1" s="1"/>
  <c r="AZ366" i="1"/>
  <c r="BA366" i="1" s="1"/>
  <c r="AZ365" i="1"/>
  <c r="BA365" i="1" s="1"/>
  <c r="AZ364" i="1"/>
  <c r="BA364" i="1" s="1"/>
  <c r="AZ363" i="1"/>
  <c r="BA363" i="1" s="1"/>
  <c r="AZ362" i="1"/>
  <c r="BA362" i="1" s="1"/>
  <c r="AZ361" i="1"/>
  <c r="BA361" i="1" s="1"/>
  <c r="AZ360" i="1"/>
  <c r="BA360" i="1" s="1"/>
  <c r="AZ359" i="1"/>
  <c r="BA359" i="1" s="1"/>
  <c r="AZ358" i="1"/>
  <c r="BA358" i="1" s="1"/>
  <c r="AZ357" i="1"/>
  <c r="BA357" i="1" s="1"/>
  <c r="AZ356" i="1"/>
  <c r="BA356" i="1" s="1"/>
  <c r="AZ355" i="1"/>
  <c r="BA355" i="1" s="1"/>
  <c r="AZ354" i="1"/>
  <c r="BA354" i="1" s="1"/>
  <c r="AZ353" i="1"/>
  <c r="BA353" i="1" s="1"/>
  <c r="AZ352" i="1"/>
  <c r="BA352" i="1" s="1"/>
  <c r="AZ351" i="1"/>
  <c r="BA351" i="1" s="1"/>
  <c r="AZ350" i="1"/>
  <c r="BA350" i="1" s="1"/>
  <c r="AZ349" i="1"/>
  <c r="BA349" i="1" s="1"/>
  <c r="AZ348" i="1"/>
  <c r="BA348" i="1" s="1"/>
  <c r="AZ347" i="1"/>
  <c r="BA347" i="1" s="1"/>
  <c r="AZ346" i="1"/>
  <c r="BA346" i="1" s="1"/>
  <c r="AZ345" i="1"/>
  <c r="BA345" i="1" s="1"/>
  <c r="AZ344" i="1"/>
  <c r="BA344" i="1" s="1"/>
  <c r="AZ343" i="1"/>
  <c r="BA343" i="1" s="1"/>
  <c r="AZ341" i="1"/>
  <c r="BA341" i="1" s="1"/>
  <c r="AZ340" i="1"/>
  <c r="BA340" i="1" s="1"/>
  <c r="AZ339" i="1"/>
  <c r="BA339" i="1" s="1"/>
  <c r="AZ338" i="1"/>
  <c r="BA338" i="1" s="1"/>
  <c r="AZ337" i="1"/>
  <c r="BA337" i="1" s="1"/>
  <c r="AZ336" i="1"/>
  <c r="BA336" i="1" s="1"/>
  <c r="AZ334" i="1"/>
  <c r="BA334" i="1" s="1"/>
  <c r="AZ332" i="1"/>
  <c r="BA332" i="1" s="1"/>
  <c r="AZ331" i="1"/>
  <c r="BA331" i="1" s="1"/>
  <c r="AZ330" i="1"/>
  <c r="BA330" i="1" s="1"/>
  <c r="AZ397" i="1"/>
  <c r="BA397" i="1" s="1"/>
  <c r="AZ396" i="1"/>
  <c r="BA396" i="1" s="1"/>
  <c r="AZ342" i="1"/>
  <c r="BA342" i="1" s="1"/>
  <c r="AZ335" i="1"/>
  <c r="BA335" i="1" s="1"/>
  <c r="AZ333" i="1"/>
  <c r="BA333" i="1" s="1"/>
  <c r="AZ150" i="1"/>
  <c r="BA150" i="1" s="1"/>
  <c r="AZ151" i="1"/>
  <c r="BA151" i="1" s="1"/>
  <c r="AZ152" i="1"/>
  <c r="BA152" i="1" s="1"/>
  <c r="AZ153" i="1"/>
  <c r="BA153" i="1" s="1"/>
  <c r="AZ154" i="1"/>
  <c r="BA154" i="1" s="1"/>
  <c r="AZ155" i="1"/>
  <c r="BA155" i="1" s="1"/>
  <c r="AZ156" i="1"/>
  <c r="BA156" i="1" s="1"/>
  <c r="AZ157" i="1"/>
  <c r="BA157" i="1" s="1"/>
  <c r="AZ158" i="1"/>
  <c r="BA158" i="1" s="1"/>
  <c r="AZ159" i="1"/>
  <c r="BA159" i="1" s="1"/>
  <c r="AZ160" i="1"/>
  <c r="BA160" i="1" s="1"/>
  <c r="AZ161" i="1"/>
  <c r="BA161" i="1" s="1"/>
  <c r="AZ162" i="1"/>
  <c r="BA162" i="1" s="1"/>
  <c r="AZ163" i="1"/>
  <c r="BA163" i="1" s="1"/>
  <c r="AZ164" i="1"/>
  <c r="BA164" i="1" s="1"/>
  <c r="AZ165" i="1"/>
  <c r="BA165" i="1" s="1"/>
  <c r="AZ166" i="1"/>
  <c r="BA166" i="1" s="1"/>
  <c r="AZ167" i="1"/>
  <c r="BA167" i="1" s="1"/>
  <c r="AZ168" i="1"/>
  <c r="BA168" i="1" s="1"/>
  <c r="AZ169" i="1"/>
  <c r="BA169" i="1" s="1"/>
  <c r="AZ170" i="1"/>
  <c r="BA170" i="1" s="1"/>
  <c r="AZ171" i="1"/>
  <c r="BA171" i="1"/>
  <c r="AZ172" i="1"/>
  <c r="BA172" i="1" s="1"/>
  <c r="AZ173" i="1"/>
  <c r="BA173" i="1" s="1"/>
  <c r="AZ174" i="1"/>
  <c r="BA174" i="1" s="1"/>
  <c r="AZ175" i="1"/>
  <c r="BA175" i="1" s="1"/>
  <c r="AZ176" i="1"/>
  <c r="BA176" i="1" s="1"/>
  <c r="AZ177" i="1"/>
  <c r="BA177" i="1" s="1"/>
  <c r="AZ178" i="1"/>
  <c r="BA178" i="1" s="1"/>
  <c r="AZ179" i="1"/>
  <c r="BA179" i="1" s="1"/>
  <c r="AZ180" i="1"/>
  <c r="BA180" i="1" s="1"/>
  <c r="AZ181" i="1"/>
  <c r="BA181" i="1" s="1"/>
  <c r="AZ182" i="1"/>
  <c r="BA182" i="1" s="1"/>
  <c r="AZ183" i="1"/>
  <c r="BA183" i="1" s="1"/>
  <c r="AZ184" i="1"/>
  <c r="BA184" i="1" s="1"/>
  <c r="AZ185" i="1"/>
  <c r="BA185" i="1" s="1"/>
  <c r="AZ186" i="1"/>
  <c r="BA186" i="1" s="1"/>
  <c r="AZ187" i="1"/>
  <c r="BA187" i="1" s="1"/>
  <c r="AZ188" i="1"/>
  <c r="BA188" i="1" s="1"/>
  <c r="AZ189" i="1"/>
  <c r="BA189" i="1" s="1"/>
  <c r="AZ190" i="1"/>
  <c r="BA190" i="1" s="1"/>
  <c r="AZ191" i="1"/>
  <c r="BA191" i="1" s="1"/>
  <c r="AZ192" i="1"/>
  <c r="BA192" i="1" s="1"/>
  <c r="AZ193" i="1"/>
  <c r="BA193" i="1" s="1"/>
  <c r="AZ194" i="1"/>
  <c r="BA194" i="1" s="1"/>
  <c r="AZ195" i="1"/>
  <c r="BA195" i="1" s="1"/>
  <c r="AZ196" i="1"/>
  <c r="BA196" i="1" s="1"/>
  <c r="AZ197" i="1"/>
  <c r="BA197" i="1" s="1"/>
  <c r="AZ198" i="1"/>
  <c r="BA198" i="1" s="1"/>
  <c r="AZ199" i="1"/>
  <c r="BA199" i="1" s="1"/>
  <c r="AZ200" i="1"/>
  <c r="BA200" i="1" s="1"/>
  <c r="AZ201" i="1"/>
  <c r="BA201" i="1" s="1"/>
  <c r="AZ202" i="1"/>
  <c r="BA202" i="1" s="1"/>
  <c r="AZ203" i="1"/>
  <c r="BA203" i="1" s="1"/>
  <c r="AZ204" i="1"/>
  <c r="BA204" i="1" s="1"/>
  <c r="AZ205" i="1"/>
  <c r="BA205" i="1" s="1"/>
  <c r="AZ206" i="1"/>
  <c r="BA206" i="1" s="1"/>
  <c r="AZ207" i="1"/>
  <c r="BA207" i="1" s="1"/>
  <c r="AZ208" i="1"/>
  <c r="BA208" i="1" s="1"/>
  <c r="AZ209" i="1"/>
  <c r="BA209" i="1" s="1"/>
  <c r="AZ210" i="1"/>
  <c r="BA210" i="1" s="1"/>
  <c r="AZ211" i="1"/>
  <c r="BA211" i="1" s="1"/>
  <c r="AZ212" i="1"/>
  <c r="BA212" i="1" s="1"/>
  <c r="AZ213" i="1"/>
  <c r="BA213" i="1" s="1"/>
  <c r="AZ214" i="1"/>
  <c r="BA214" i="1" s="1"/>
  <c r="AZ215" i="1"/>
  <c r="BA215" i="1" s="1"/>
  <c r="AZ216" i="1"/>
  <c r="BA216" i="1" s="1"/>
  <c r="AZ217" i="1"/>
  <c r="BA217" i="1" s="1"/>
  <c r="AZ218" i="1"/>
  <c r="BA218" i="1" s="1"/>
  <c r="AZ219" i="1"/>
  <c r="BA219" i="1"/>
  <c r="AZ220" i="1"/>
  <c r="BA220" i="1" s="1"/>
  <c r="AZ221" i="1"/>
  <c r="BA221" i="1" s="1"/>
  <c r="AZ222" i="1"/>
  <c r="BA222" i="1" s="1"/>
  <c r="AZ223" i="1"/>
  <c r="BA223" i="1" s="1"/>
  <c r="AZ224" i="1"/>
  <c r="BA224" i="1" s="1"/>
  <c r="AZ225" i="1"/>
  <c r="BA225" i="1" s="1"/>
  <c r="AZ226" i="1"/>
  <c r="BA226" i="1" s="1"/>
  <c r="AZ227" i="1"/>
  <c r="BA227" i="1" s="1"/>
  <c r="AZ228" i="1"/>
  <c r="BA228" i="1" s="1"/>
  <c r="AZ229" i="1"/>
  <c r="BA229" i="1" s="1"/>
  <c r="AZ230" i="1"/>
  <c r="BA230" i="1"/>
  <c r="AZ231" i="1"/>
  <c r="BA231" i="1" s="1"/>
  <c r="AZ232" i="1"/>
  <c r="BA232" i="1" s="1"/>
  <c r="AZ233" i="1"/>
  <c r="BA233" i="1" s="1"/>
  <c r="AZ234" i="1"/>
  <c r="BA234" i="1" s="1"/>
  <c r="AZ235" i="1"/>
  <c r="BA235" i="1" s="1"/>
  <c r="AZ236" i="1"/>
  <c r="BA236" i="1" s="1"/>
  <c r="AZ237" i="1"/>
  <c r="BA237" i="1" s="1"/>
  <c r="AZ238" i="1"/>
  <c r="BA238" i="1" s="1"/>
  <c r="AZ239" i="1"/>
  <c r="BA239" i="1"/>
  <c r="AZ240" i="1"/>
  <c r="BA240" i="1" s="1"/>
  <c r="AZ241" i="1"/>
  <c r="BA241" i="1" s="1"/>
  <c r="AZ242" i="1"/>
  <c r="BA242" i="1" s="1"/>
  <c r="AZ243" i="1"/>
  <c r="BA243" i="1" s="1"/>
  <c r="AZ244" i="1"/>
  <c r="BA244" i="1" s="1"/>
  <c r="AZ245" i="1"/>
  <c r="BA245" i="1" s="1"/>
  <c r="AZ246" i="1"/>
  <c r="BA246" i="1" s="1"/>
  <c r="AZ247" i="1"/>
  <c r="BA247" i="1" s="1"/>
  <c r="AZ248" i="1"/>
  <c r="BA248" i="1" s="1"/>
  <c r="AZ249" i="1"/>
  <c r="BA249" i="1" s="1"/>
  <c r="AZ250" i="1"/>
  <c r="BA250" i="1" s="1"/>
  <c r="AZ251" i="1"/>
  <c r="BA251" i="1" s="1"/>
  <c r="AZ252" i="1"/>
  <c r="BA252" i="1" s="1"/>
  <c r="AZ253" i="1"/>
  <c r="BA253" i="1" s="1"/>
  <c r="AZ254" i="1"/>
  <c r="BA254" i="1" s="1"/>
  <c r="AZ255" i="1"/>
  <c r="BA255" i="1" s="1"/>
  <c r="AZ256" i="1"/>
  <c r="BA256" i="1" s="1"/>
  <c r="AZ257" i="1"/>
  <c r="BA257" i="1" s="1"/>
  <c r="AZ258" i="1"/>
  <c r="BA258" i="1" s="1"/>
  <c r="AZ259" i="1"/>
  <c r="BA259" i="1" s="1"/>
  <c r="AZ260" i="1"/>
  <c r="BA260" i="1" s="1"/>
  <c r="AZ261" i="1"/>
  <c r="BA261" i="1" s="1"/>
  <c r="AZ262" i="1"/>
  <c r="BA262" i="1" s="1"/>
  <c r="AZ263" i="1"/>
  <c r="BA263" i="1" s="1"/>
  <c r="AZ264" i="1"/>
  <c r="BA264" i="1" s="1"/>
  <c r="AZ265" i="1"/>
  <c r="BA265" i="1" s="1"/>
  <c r="AZ266" i="1"/>
  <c r="BA266" i="1" s="1"/>
  <c r="AZ267" i="1"/>
  <c r="BA267" i="1" s="1"/>
  <c r="AZ268" i="1"/>
  <c r="BA268" i="1" s="1"/>
  <c r="AZ269" i="1"/>
  <c r="BA269" i="1" s="1"/>
  <c r="AZ270" i="1"/>
  <c r="BA270" i="1" s="1"/>
  <c r="AZ271" i="1"/>
  <c r="BA271" i="1" s="1"/>
  <c r="AZ272" i="1"/>
  <c r="BA272" i="1" s="1"/>
  <c r="AZ273" i="1"/>
  <c r="BA273" i="1" s="1"/>
  <c r="AZ274" i="1"/>
  <c r="BA274" i="1" s="1"/>
  <c r="AZ275" i="1"/>
  <c r="BA275" i="1" s="1"/>
  <c r="AZ276" i="1"/>
  <c r="BA276" i="1" s="1"/>
  <c r="AZ277" i="1"/>
  <c r="BA277" i="1" s="1"/>
  <c r="AZ278" i="1"/>
  <c r="BA278" i="1" s="1"/>
  <c r="AZ279" i="1"/>
  <c r="BA279" i="1" s="1"/>
  <c r="AZ280" i="1"/>
  <c r="BA280" i="1" s="1"/>
  <c r="AZ281" i="1"/>
  <c r="BA281" i="1" s="1"/>
  <c r="AZ282" i="1"/>
  <c r="BA282" i="1" s="1"/>
  <c r="AZ283" i="1"/>
  <c r="BA283" i="1" s="1"/>
  <c r="AZ284" i="1"/>
  <c r="BA284" i="1" s="1"/>
  <c r="AZ285" i="1"/>
  <c r="BA285" i="1" s="1"/>
  <c r="AZ286" i="1"/>
  <c r="BA286" i="1" s="1"/>
  <c r="AZ287" i="1"/>
  <c r="BA287" i="1" s="1"/>
  <c r="AZ288" i="1"/>
  <c r="BA288" i="1" s="1"/>
  <c r="AZ289" i="1"/>
  <c r="BA289" i="1" s="1"/>
  <c r="AZ290" i="1"/>
  <c r="BA290" i="1" s="1"/>
  <c r="AZ291" i="1"/>
  <c r="BA291" i="1" s="1"/>
  <c r="AZ292" i="1"/>
  <c r="BA292" i="1" s="1"/>
  <c r="AZ293" i="1"/>
  <c r="BA293" i="1" s="1"/>
  <c r="AZ294" i="1"/>
  <c r="BA294" i="1" s="1"/>
  <c r="AZ295" i="1"/>
  <c r="BA295" i="1" s="1"/>
  <c r="AZ296" i="1"/>
  <c r="BA296" i="1" s="1"/>
  <c r="AZ297" i="1"/>
  <c r="BA297" i="1" s="1"/>
  <c r="AZ298" i="1"/>
  <c r="BA298" i="1" s="1"/>
  <c r="AZ299" i="1"/>
  <c r="BA299" i="1" s="1"/>
  <c r="AZ300" i="1"/>
  <c r="BA300" i="1" s="1"/>
  <c r="AZ301" i="1"/>
  <c r="BA301" i="1" s="1"/>
  <c r="AZ302" i="1"/>
  <c r="BA302" i="1" s="1"/>
  <c r="AZ303" i="1"/>
  <c r="BA303" i="1" s="1"/>
  <c r="AZ304" i="1"/>
  <c r="BA304" i="1" s="1"/>
  <c r="AZ305" i="1"/>
  <c r="BA305" i="1" s="1"/>
  <c r="AZ306" i="1"/>
  <c r="BA306" i="1" s="1"/>
  <c r="AZ307" i="1"/>
  <c r="BA307" i="1" s="1"/>
  <c r="AZ308" i="1"/>
  <c r="BA308" i="1" s="1"/>
  <c r="AZ309" i="1"/>
  <c r="BA309" i="1" s="1"/>
  <c r="AZ310" i="1"/>
  <c r="BA310" i="1" s="1"/>
  <c r="AZ311" i="1"/>
  <c r="BA311" i="1" s="1"/>
  <c r="AZ312" i="1"/>
  <c r="BA312" i="1" s="1"/>
  <c r="AZ313" i="1"/>
  <c r="BA313" i="1" s="1"/>
  <c r="AZ314" i="1"/>
  <c r="BA314" i="1" s="1"/>
  <c r="AZ315" i="1"/>
  <c r="BA315" i="1" s="1"/>
  <c r="AZ316" i="1"/>
  <c r="BA316" i="1" s="1"/>
  <c r="AZ317" i="1"/>
  <c r="BA317" i="1" s="1"/>
  <c r="AZ318" i="1"/>
  <c r="BA318" i="1" s="1"/>
  <c r="AZ319" i="1"/>
  <c r="BA319" i="1" s="1"/>
  <c r="AZ320" i="1"/>
  <c r="BA320" i="1" s="1"/>
  <c r="AZ321" i="1"/>
  <c r="BA321" i="1" s="1"/>
  <c r="AZ322" i="1"/>
  <c r="BA322" i="1" s="1"/>
  <c r="AZ323" i="1"/>
  <c r="BA323" i="1" s="1"/>
  <c r="AZ324" i="1"/>
  <c r="BA324" i="1" s="1"/>
  <c r="AZ325" i="1"/>
  <c r="BA325" i="1" s="1"/>
  <c r="AZ326" i="1"/>
  <c r="BA326" i="1" s="1"/>
  <c r="AZ327" i="1"/>
  <c r="BA327" i="1" s="1"/>
  <c r="AZ328" i="1"/>
  <c r="BA328" i="1" s="1"/>
  <c r="AZ329" i="1"/>
  <c r="BA329" i="1" s="1"/>
  <c r="AZ112" i="1"/>
  <c r="BA112" i="1" s="1"/>
  <c r="AZ113" i="1"/>
  <c r="BA113" i="1" s="1"/>
  <c r="AZ114" i="1"/>
  <c r="BA114" i="1" s="1"/>
  <c r="AZ115" i="1"/>
  <c r="BA115" i="1" s="1"/>
  <c r="AZ116" i="1"/>
  <c r="BA116" i="1" s="1"/>
  <c r="AZ117" i="1"/>
  <c r="BA117" i="1" s="1"/>
  <c r="AZ118" i="1"/>
  <c r="BA118" i="1" s="1"/>
  <c r="AZ119" i="1"/>
  <c r="BA119" i="1" s="1"/>
  <c r="AZ120" i="1"/>
  <c r="BA120" i="1" s="1"/>
  <c r="AZ121" i="1"/>
  <c r="BA121" i="1" s="1"/>
  <c r="AZ122" i="1"/>
  <c r="BA122" i="1" s="1"/>
  <c r="AZ123" i="1"/>
  <c r="BA123" i="1" s="1"/>
  <c r="AZ124" i="1"/>
  <c r="BA124" i="1" s="1"/>
  <c r="AZ125" i="1"/>
  <c r="BA125" i="1" s="1"/>
  <c r="AZ126" i="1"/>
  <c r="BA126" i="1" s="1"/>
  <c r="AZ127" i="1"/>
  <c r="BA127" i="1" s="1"/>
  <c r="AZ128" i="1"/>
  <c r="BA128" i="1" s="1"/>
  <c r="AZ129" i="1"/>
  <c r="BA129" i="1" s="1"/>
  <c r="AZ130" i="1"/>
  <c r="BA130" i="1" s="1"/>
  <c r="AZ131" i="1"/>
  <c r="BA131" i="1" s="1"/>
  <c r="AZ132" i="1"/>
  <c r="BA132" i="1" s="1"/>
  <c r="AZ133" i="1"/>
  <c r="BA133" i="1" s="1"/>
  <c r="AZ134" i="1"/>
  <c r="BA134" i="1" s="1"/>
  <c r="AZ135" i="1"/>
  <c r="BA135" i="1" s="1"/>
  <c r="AZ136" i="1"/>
  <c r="BA136" i="1" s="1"/>
  <c r="AZ137" i="1"/>
  <c r="BA137" i="1" s="1"/>
  <c r="AZ138" i="1"/>
  <c r="BA138" i="1" s="1"/>
  <c r="AZ139" i="1"/>
  <c r="BA139" i="1" s="1"/>
  <c r="AZ140" i="1"/>
  <c r="BA140" i="1" s="1"/>
  <c r="AZ141" i="1"/>
  <c r="BA141" i="1" s="1"/>
  <c r="AZ142" i="1"/>
  <c r="BA142" i="1" s="1"/>
  <c r="AZ143" i="1"/>
  <c r="BA143" i="1" s="1"/>
  <c r="AZ144" i="1"/>
  <c r="BA144" i="1" s="1"/>
  <c r="AZ145" i="1"/>
  <c r="BA145" i="1" s="1"/>
  <c r="AZ146" i="1"/>
  <c r="BA146" i="1" s="1"/>
  <c r="AZ147" i="1"/>
  <c r="BA147" i="1" s="1"/>
  <c r="AZ148" i="1"/>
  <c r="BA148" i="1" s="1"/>
  <c r="AZ149" i="1"/>
  <c r="BA149" i="1" s="1"/>
  <c r="AZ4" i="1"/>
  <c r="BA4" i="1" s="1"/>
  <c r="AZ5" i="1"/>
  <c r="BA5" i="1" s="1"/>
  <c r="AZ6" i="1"/>
  <c r="BA6" i="1" s="1"/>
  <c r="AZ7" i="1"/>
  <c r="BA7" i="1" s="1"/>
  <c r="AZ8" i="1"/>
  <c r="BA8" i="1" s="1"/>
  <c r="AZ9" i="1"/>
  <c r="BA9" i="1" s="1"/>
  <c r="AZ10" i="1"/>
  <c r="BA10" i="1" s="1"/>
  <c r="AZ11" i="1"/>
  <c r="BA11" i="1" s="1"/>
  <c r="AZ12" i="1"/>
  <c r="BA12" i="1" s="1"/>
  <c r="AZ13" i="1"/>
  <c r="BA13" i="1" s="1"/>
  <c r="AZ14" i="1"/>
  <c r="BA14" i="1" s="1"/>
  <c r="AZ15" i="1"/>
  <c r="BA15" i="1" s="1"/>
  <c r="AZ16" i="1"/>
  <c r="BA16" i="1" s="1"/>
  <c r="AZ17" i="1"/>
  <c r="BA17" i="1" s="1"/>
  <c r="AZ18" i="1"/>
  <c r="BA18" i="1" s="1"/>
  <c r="AZ19" i="1"/>
  <c r="BA19" i="1" s="1"/>
  <c r="AZ20" i="1"/>
  <c r="BA20" i="1" s="1"/>
  <c r="AZ21" i="1"/>
  <c r="BA21" i="1" s="1"/>
  <c r="AZ22" i="1"/>
  <c r="BA22" i="1" s="1"/>
  <c r="AZ23" i="1"/>
  <c r="BA23" i="1" s="1"/>
  <c r="AZ24" i="1"/>
  <c r="BA24" i="1" s="1"/>
  <c r="AZ25" i="1"/>
  <c r="BA25" i="1" s="1"/>
  <c r="AZ26" i="1"/>
  <c r="BA26" i="1" s="1"/>
  <c r="AZ27" i="1"/>
  <c r="BA27" i="1" s="1"/>
  <c r="AZ28" i="1"/>
  <c r="BA28" i="1" s="1"/>
  <c r="AZ29" i="1"/>
  <c r="BA29" i="1" s="1"/>
  <c r="AZ30" i="1"/>
  <c r="BA30" i="1" s="1"/>
  <c r="AZ31" i="1"/>
  <c r="BA31" i="1" s="1"/>
  <c r="AZ32" i="1"/>
  <c r="BA32" i="1" s="1"/>
  <c r="AZ33" i="1"/>
  <c r="BA33" i="1" s="1"/>
  <c r="AZ34" i="1"/>
  <c r="BA34" i="1" s="1"/>
  <c r="AZ35" i="1"/>
  <c r="BA35" i="1" s="1"/>
  <c r="AZ36" i="1"/>
  <c r="BA36" i="1" s="1"/>
  <c r="AZ37" i="1"/>
  <c r="BA37" i="1" s="1"/>
  <c r="AZ38" i="1"/>
  <c r="BA38" i="1" s="1"/>
  <c r="AZ39" i="1"/>
  <c r="BA39" i="1" s="1"/>
  <c r="AZ40" i="1"/>
  <c r="BA40" i="1" s="1"/>
  <c r="AZ41" i="1"/>
  <c r="BA41" i="1" s="1"/>
  <c r="AZ42" i="1"/>
  <c r="BA42" i="1" s="1"/>
  <c r="AZ43" i="1"/>
  <c r="BA43" i="1" s="1"/>
  <c r="AZ44" i="1"/>
  <c r="BA44" i="1" s="1"/>
  <c r="AZ45" i="1"/>
  <c r="BA45" i="1" s="1"/>
  <c r="AZ46" i="1"/>
  <c r="BA46" i="1" s="1"/>
  <c r="AZ47" i="1"/>
  <c r="BA47" i="1" s="1"/>
  <c r="AZ48" i="1"/>
  <c r="BA48" i="1" s="1"/>
  <c r="AZ49" i="1"/>
  <c r="BA49" i="1" s="1"/>
  <c r="AZ50" i="1"/>
  <c r="BA50" i="1" s="1"/>
  <c r="AZ51" i="1"/>
  <c r="BA51" i="1" s="1"/>
  <c r="AZ52" i="1"/>
  <c r="BA52" i="1" s="1"/>
  <c r="AZ53" i="1"/>
  <c r="BA53" i="1" s="1"/>
  <c r="AZ54" i="1"/>
  <c r="BA54" i="1" s="1"/>
  <c r="AZ55" i="1"/>
  <c r="BA55" i="1" s="1"/>
  <c r="AZ56" i="1"/>
  <c r="BA56" i="1" s="1"/>
  <c r="AZ57" i="1"/>
  <c r="BA57" i="1" s="1"/>
  <c r="AZ58" i="1"/>
  <c r="BA58" i="1" s="1"/>
  <c r="AZ59" i="1"/>
  <c r="BA59" i="1" s="1"/>
  <c r="AZ60" i="1"/>
  <c r="BA60" i="1" s="1"/>
  <c r="AZ61" i="1"/>
  <c r="BA61" i="1" s="1"/>
  <c r="AZ62" i="1"/>
  <c r="BA62" i="1" s="1"/>
  <c r="AZ63" i="1"/>
  <c r="BA63" i="1" s="1"/>
  <c r="AZ64" i="1"/>
  <c r="BA64" i="1" s="1"/>
  <c r="AZ65" i="1"/>
  <c r="BA65" i="1" s="1"/>
  <c r="AZ66" i="1"/>
  <c r="BA66" i="1" s="1"/>
  <c r="AZ67" i="1"/>
  <c r="BA67" i="1" s="1"/>
  <c r="AZ68" i="1"/>
  <c r="BA68" i="1" s="1"/>
  <c r="AZ69" i="1"/>
  <c r="BA69" i="1" s="1"/>
  <c r="AZ70" i="1"/>
  <c r="BA70" i="1" s="1"/>
  <c r="AZ71" i="1"/>
  <c r="BA71" i="1" s="1"/>
  <c r="AZ72" i="1"/>
  <c r="BA72" i="1" s="1"/>
  <c r="AZ73" i="1"/>
  <c r="BA73" i="1" s="1"/>
  <c r="AZ74" i="1"/>
  <c r="BA74" i="1" s="1"/>
  <c r="AZ75" i="1"/>
  <c r="BA75" i="1" s="1"/>
  <c r="AZ76" i="1"/>
  <c r="BA76" i="1" s="1"/>
  <c r="AZ77" i="1"/>
  <c r="BA77" i="1" s="1"/>
  <c r="AZ78" i="1"/>
  <c r="BA78" i="1" s="1"/>
  <c r="AZ79" i="1"/>
  <c r="BA79" i="1" s="1"/>
  <c r="AZ80" i="1"/>
  <c r="BA80" i="1" s="1"/>
  <c r="AZ81" i="1"/>
  <c r="BA81" i="1" s="1"/>
  <c r="AZ82" i="1"/>
  <c r="BA82" i="1" s="1"/>
  <c r="AZ83" i="1"/>
  <c r="BA83" i="1" s="1"/>
  <c r="AZ84" i="1"/>
  <c r="BA84" i="1" s="1"/>
  <c r="AZ85" i="1"/>
  <c r="BA85" i="1" s="1"/>
  <c r="AZ86" i="1"/>
  <c r="BA86" i="1" s="1"/>
  <c r="AZ87" i="1"/>
  <c r="BA87" i="1" s="1"/>
  <c r="AZ88" i="1"/>
  <c r="BA88" i="1" s="1"/>
  <c r="AZ89" i="1"/>
  <c r="BA89" i="1" s="1"/>
  <c r="AZ90" i="1"/>
  <c r="BA90" i="1" s="1"/>
  <c r="AZ91" i="1"/>
  <c r="BA91" i="1" s="1"/>
  <c r="AZ92" i="1"/>
  <c r="BA92" i="1" s="1"/>
  <c r="AZ93" i="1"/>
  <c r="BA93" i="1" s="1"/>
  <c r="AZ94" i="1"/>
  <c r="BA94" i="1" s="1"/>
  <c r="AZ95" i="1"/>
  <c r="BA95" i="1" s="1"/>
  <c r="AZ96" i="1"/>
  <c r="BA96" i="1" s="1"/>
  <c r="AZ97" i="1"/>
  <c r="BA97" i="1" s="1"/>
  <c r="AZ98" i="1"/>
  <c r="BA98" i="1" s="1"/>
  <c r="AZ99" i="1"/>
  <c r="BA99" i="1" s="1"/>
  <c r="AZ100" i="1"/>
  <c r="BA100" i="1" s="1"/>
  <c r="AZ101" i="1"/>
  <c r="BA101" i="1" s="1"/>
  <c r="AZ102" i="1"/>
  <c r="BA102" i="1" s="1"/>
  <c r="AZ103" i="1"/>
  <c r="BA103" i="1" s="1"/>
  <c r="AZ104" i="1"/>
  <c r="BA104" i="1" s="1"/>
  <c r="AZ105" i="1"/>
  <c r="BA105" i="1" s="1"/>
  <c r="AZ106" i="1"/>
  <c r="BA106" i="1" s="1"/>
  <c r="AZ107" i="1"/>
  <c r="BA107" i="1" s="1"/>
  <c r="AZ108" i="1"/>
  <c r="BA108" i="1" s="1"/>
  <c r="AZ109" i="1"/>
  <c r="BA109" i="1" s="1"/>
  <c r="AZ110" i="1"/>
  <c r="BA110" i="1" s="1"/>
  <c r="AZ111" i="1"/>
  <c r="BA111" i="1" s="1"/>
  <c r="AZ3" i="1"/>
  <c r="BA3" i="1" s="1"/>
  <c r="J14" i="12"/>
  <c r="J13" i="12"/>
  <c r="J12" i="12"/>
  <c r="J11" i="12"/>
  <c r="J10" i="12"/>
  <c r="J9" i="12"/>
  <c r="J8" i="12"/>
  <c r="J7" i="12"/>
  <c r="J6" i="12"/>
  <c r="J5" i="12"/>
</calcChain>
</file>

<file path=xl/sharedStrings.xml><?xml version="1.0" encoding="utf-8"?>
<sst xmlns="http://schemas.openxmlformats.org/spreadsheetml/2006/main" count="39779" uniqueCount="2558">
  <si>
    <t>Issue ID</t>
  </si>
  <si>
    <t>Year</t>
  </si>
  <si>
    <t>Identified By</t>
  </si>
  <si>
    <t>Type</t>
  </si>
  <si>
    <t>Location</t>
  </si>
  <si>
    <t>Business Segment</t>
  </si>
  <si>
    <t>Product Group/Region</t>
  </si>
  <si>
    <t>Process</t>
  </si>
  <si>
    <t>Sub-Process</t>
  </si>
  <si>
    <t>Issue Classification</t>
  </si>
  <si>
    <t>Rating</t>
  </si>
  <si>
    <t>Control ID</t>
  </si>
  <si>
    <t>Other Controls/Issues Reference</t>
  </si>
  <si>
    <t>Issue Source</t>
  </si>
  <si>
    <t>Control Description/Short Issue Description</t>
  </si>
  <si>
    <t>Deficiency Explanation/Issue Background</t>
  </si>
  <si>
    <t>Repeat Issue</t>
  </si>
  <si>
    <t>Audit Recommendation</t>
  </si>
  <si>
    <t>Management Action Plan</t>
  </si>
  <si>
    <t>Action Plan IT Dependent</t>
  </si>
  <si>
    <t>Target Completion Date</t>
  </si>
  <si>
    <t>Target Completion Date Reference</t>
  </si>
  <si>
    <t>Issue Owner</t>
  </si>
  <si>
    <t>Issue Status</t>
  </si>
  <si>
    <t>Remediation Effective Date</t>
  </si>
  <si>
    <t>Days Till Due</t>
  </si>
  <si>
    <t>Management Comments</t>
  </si>
  <si>
    <t>IAD Concurrence</t>
  </si>
  <si>
    <t>IAD Concurrence Status</t>
  </si>
  <si>
    <t>IAD Owner</t>
  </si>
  <si>
    <t>Assertions</t>
  </si>
  <si>
    <t>Does Deficiency relate directly to the achievement of one or more financial assertions</t>
  </si>
  <si>
    <t>Is likelihood reasonably possible?</t>
  </si>
  <si>
    <t>Value of transactions or accounts exposed or exepected to be exposed in the deficiency</t>
  </si>
  <si>
    <t>Potential Magnitude</t>
  </si>
  <si>
    <t>Document the factors considered in determining likelihood and magnitude</t>
  </si>
  <si>
    <t>Do Compensating Controls Exist?</t>
  </si>
  <si>
    <t>Compensating Controls</t>
  </si>
  <si>
    <t>Description of Compensating Controls</t>
  </si>
  <si>
    <t>Is the deficiency important enough to merit attention of financial reporting?</t>
  </si>
  <si>
    <t>Document Rationale</t>
  </si>
  <si>
    <t>Would individual conclude the deficiency is a material weakness</t>
  </si>
  <si>
    <t>Are there multiple control deficiencies that affect same fs account balance or disclosure?</t>
  </si>
  <si>
    <t>Aggregation Description</t>
  </si>
  <si>
    <t>Deficiency Determination</t>
  </si>
  <si>
    <t>Management Rationale</t>
  </si>
  <si>
    <t>Date Found</t>
  </si>
  <si>
    <t>Date Reported</t>
  </si>
  <si>
    <t>Creation Date</t>
  </si>
  <si>
    <t>TEN-1000</t>
  </si>
  <si>
    <t>2023</t>
  </si>
  <si>
    <t>IAD</t>
  </si>
  <si>
    <t>ICFR</t>
  </si>
  <si>
    <t>Performance Solutions MRS</t>
  </si>
  <si>
    <t>Performance Solutions</t>
  </si>
  <si>
    <t/>
  </si>
  <si>
    <t>Reconciliations</t>
  </si>
  <si>
    <t>Moderate</t>
  </si>
  <si>
    <t>PEFR-68</t>
  </si>
  <si>
    <t>Inadequate Finance Director review of Account Reconciliations (PEFR-68).</t>
  </si>
  <si>
    <t>Background: The following deficiencies were noted in the Performance Solutions Finance Director review of Account Reconciliations:
The Finance Director of Monroe Ride Solutions (MRS) did not perform the annual review of balance sheet account reconciliation in accordance with the Global Policy SPI 0-01.
Risk: Lack of an adequate balance sheet account reconciliation process increases the risk of continued account reconciliation issues at the location level, inaccurate balance sheet accounts and financial misstatements.</t>
  </si>
  <si>
    <t>Business Unit management should implement a process to review all account reconciliations on all ledgers that fall under their responsibility on an annual basis.
Evidence of this review should be shared with the Business Unit CFO and maintained locally for review upon request.</t>
  </si>
  <si>
    <t>The MRS Global Finance Director will implement a process to ensure that all account reconciliations for ledgers under Global MRS are reviewed annually.  
The review of the individual accounts will be performed by the Performance Solutions Business Unit Controller and a subset of those reconciliations will be reviewed by the Finance Director in accordance with the Global Policy.</t>
  </si>
  <si>
    <t>No</t>
  </si>
  <si>
    <t>Rolf Bartels, Finance Director, MRS Global</t>
  </si>
  <si>
    <t>Open</t>
  </si>
  <si>
    <t>Past Due</t>
  </si>
  <si>
    <t>Not Completed</t>
  </si>
  <si>
    <t>Pagnucci</t>
  </si>
  <si>
    <t>A, C, CO, E/O, P&amp;D, R&amp;O, V</t>
  </si>
  <si>
    <t>03/12/2024</t>
  </si>
  <si>
    <t>TEN-1001</t>
  </si>
  <si>
    <t>Performance Solutions SPG</t>
  </si>
  <si>
    <t>Background: The following deficiencies were noted in the Performance Solutions Finance Director review of Account Reconciliations:
The Finance Director of SPG did not perform the annual review of balance sheet account reconciliation in accordance with the Global Policy SPI 0-01.
Risk: Lack of an adequate balance sheet account reconciliation process increases the risk of continued account reconciliation issues at the location level, inaccurate balance sheet accounts and financial misstatements.</t>
  </si>
  <si>
    <t>The SPG Global Finance Director will implement a process to ensure that all account reconciliations for ledgers under Global SPG are reviewed annually.  
The review of the individual accounts will be performed by the Performance Solutions Business Unit Controller and a subset of those reconciliations will be reviewed by the Finance Director in accordance with the Global Policy.</t>
  </si>
  <si>
    <t>Carlos De Sa Freire, Finance Director, SPG Global</t>
  </si>
  <si>
    <t>TEN-1002</t>
  </si>
  <si>
    <t>Performance Solutions Braking</t>
  </si>
  <si>
    <t>Background: The following deficiencies were noted in the Performance Solutions Finance Director review of Account Reconciliations:
The Finance Director of Braking did not perform the annual review of balance sheet account reconciliation in accordance with the Global Policy SPI 0-01.
Risk: Lack of an adequate balance sheet account reconciliation process increases the risk of continued account reconciliation issues at the location level, inaccurate balance sheet accounts and financial misstatements.</t>
  </si>
  <si>
    <t>The Braking Global Finance Director will implement a process to ensure that all account reconciliations for ledgers under Global Braking are reviewed annually.  
The review of the individual accounts will be performed by the Performance Solutions Business Unit Controller and a subset of those reconciliations will be reviewed by the Finance Director in accordance with the Global Policy.</t>
  </si>
  <si>
    <t>Saul Ramos Villela, Finance Director, Braking Global</t>
  </si>
  <si>
    <t>TEN-1003</t>
  </si>
  <si>
    <t>Deloitte</t>
  </si>
  <si>
    <t>Tax</t>
  </si>
  <si>
    <t>Corporate</t>
  </si>
  <si>
    <t>Taxes</t>
  </si>
  <si>
    <t>Documentation</t>
  </si>
  <si>
    <t>TAXE-19, TAXE-21, TAXE-30</t>
  </si>
  <si>
    <t>Tax - Corporate - Deloitte Identified</t>
  </si>
  <si>
    <t>An aggregate significant deficiency was identified related to tax controls (TAXE-19, TAXE-21, TAXE-30).</t>
  </si>
  <si>
    <t>Background: The Company has designed and implemented internal controls over the quarter and year-end closing process for income taxes. Certain controls were not operating effectively as a result of either the lack of timely or effective reviews due to resource constraints, resulting in multiple financial statement adjustments in the areas of transfer pricing, value-added tax, uncertain tax positions, and deferred income taxes.
The following specific controls failures were identified:
•	An uncertain tax position for a transfer pricing matter was recorded in Czechia for $25 million. This was identified as a late entry and recorded.
•	A $12 million reclassification between current and long-term liabilities for uncertain tax positions payable in the next twelve months was recorded as a late adjustment.
•	Deloitte identified a $29 million balance sheet reclassification related to the year-end VAT netting entry.
•	An uncorrected $4 million entry was identified by Deloitte related to a Poland deferred tax valuation allowance
Risk: Tax account balances may by misstated.</t>
  </si>
  <si>
    <t xml:space="preserve">Management will perform the following:
•	The key issue related to the controls is the speed need to close the books. During the year end close, the tax department received tax entries from several jurisdictions that required significant revisions which took away from the review of items related to uncertain tax positions and valuation allowances.
•	The tax department will look to accelerate the close process thru moving foreign entities to a November hard close, with a simplified provision for December. Local country tax provisions will be reviewed during the December time frame.
•	We will review our resource model to ensure we have expertise in the appropriate areas. The company is subject to newly enacted complex laws related to BEPS and is subject to increasing scrutiny related to transfer pricing. The department has significant knowledge of transfer pricing issues but lacks a technical expert to drive strategy/documentation for worldwide transfer pricing.
•	The company will look to drive efficiency and effectiveness in the close process by looking for opportunities to further automate the provision process. </t>
  </si>
  <si>
    <t>A, C, E/O, V</t>
  </si>
  <si>
    <t>03/14/2024</t>
  </si>
  <si>
    <t>DRiV</t>
  </si>
  <si>
    <t>Americas (DRiV)</t>
  </si>
  <si>
    <t>PINV-03</t>
  </si>
  <si>
    <t>Gupta</t>
  </si>
  <si>
    <t>A</t>
  </si>
  <si>
    <t>PPAE-06</t>
  </si>
  <si>
    <t>E/O</t>
  </si>
  <si>
    <t>Master Data</t>
  </si>
  <si>
    <t>Gliwice - Performance Solutions</t>
  </si>
  <si>
    <t>Major</t>
  </si>
  <si>
    <t>05/14/2024</t>
  </si>
  <si>
    <t>Gliwice Monroe Ride Solutions, Poland - Full Scope</t>
  </si>
  <si>
    <t>Fixed Asset Inventory</t>
  </si>
  <si>
    <t>TEN-1049</t>
  </si>
  <si>
    <t>Operational</t>
  </si>
  <si>
    <t>Physical Security</t>
  </si>
  <si>
    <t xml:space="preserve">The physical security of the plant requires improvement. </t>
  </si>
  <si>
    <t xml:space="preserve">Background: The Gliwice plant uses CCTV camera system that were monitored from the main security station. CCTV recording was maintained for period of only 30 days instead of corporate standard of 45 days.
Risk: The lack of a longer retention period of fully the security camera system limits the location’s ability to monitor safety and security risks and to review past events in the event of an incident. </t>
  </si>
  <si>
    <t xml:space="preserve">CCTV recording should be maintained for 45 days. </t>
  </si>
  <si>
    <t>Company is under revision of IT systems upgrade (CAPEX) to enable at least 45 days recording time.
We are in process of introducing CAR for approval. If approval is not approved, we will  approach Global Security to grant a deviation from the policy.</t>
  </si>
  <si>
    <t>Jakub Grygiel - EHS Manager</t>
  </si>
  <si>
    <t>2024</t>
  </si>
  <si>
    <t>Management</t>
  </si>
  <si>
    <t>Payroll</t>
  </si>
  <si>
    <t>N/A</t>
  </si>
  <si>
    <t>Property, Plant, and Equipment</t>
  </si>
  <si>
    <t>Skokie MFG</t>
  </si>
  <si>
    <t>Production and Inventory</t>
  </si>
  <si>
    <t>PPAE-33</t>
  </si>
  <si>
    <t>V</t>
  </si>
  <si>
    <t>TEN-1155</t>
  </si>
  <si>
    <t>Patiala - Pistons</t>
  </si>
  <si>
    <t>Powertrain</t>
  </si>
  <si>
    <t>India (Powertrain)</t>
  </si>
  <si>
    <t>PAYR-22</t>
  </si>
  <si>
    <t>Patiala-Pistons (Powertrain) - Management Self-Testing</t>
  </si>
  <si>
    <t>"As per HR there is no Payroll register in SAP upto Jun-24 from Jul-24 same is developed in SAP &amp; new flexi pay component arrear amount is under configuration
Timeline is Aug-24"</t>
  </si>
  <si>
    <t>HR Team is closely working with IT team for Payroll Register,  Same will be available by Oct-24</t>
  </si>
  <si>
    <t>Yes</t>
  </si>
  <si>
    <t>AG - Date changed on request of Dana as IT solution is expected by April 30, 2025.</t>
  </si>
  <si>
    <t>HR Department (Shubhankar Malakar)Head HR</t>
  </si>
  <si>
    <t>09/23/2024</t>
  </si>
  <si>
    <t>REVE-62</t>
  </si>
  <si>
    <t>Gwen Brooks</t>
  </si>
  <si>
    <t>Americas (Powertrain)</t>
  </si>
  <si>
    <t>REVE-63</t>
  </si>
  <si>
    <t>TEN-1227</t>
  </si>
  <si>
    <t>Cardiff</t>
  </si>
  <si>
    <t>Treasury - Cash and Investments</t>
  </si>
  <si>
    <t>TRSY-03</t>
  </si>
  <si>
    <t>Cardiff (DRiV) - Management Self-Testing</t>
  </si>
  <si>
    <t>Return was not completed due to transfer of responsibility for the business from Cardiff to Chapel.</t>
  </si>
  <si>
    <t>Plant Controller will review the current signatories and ensure updated accordingly.</t>
  </si>
  <si>
    <t>Ian Greenwood</t>
  </si>
  <si>
    <t>12/09/2024</t>
  </si>
  <si>
    <t>Self-Testing</t>
  </si>
  <si>
    <t>Self-testing should be completed within due date adhering to the guidelines and instructions communicated to all locations.</t>
  </si>
  <si>
    <t>Self-Testing was not completed by location.</t>
  </si>
  <si>
    <t>Current (1-30)</t>
  </si>
  <si>
    <t>Adjustments &amp; Period-end Close</t>
  </si>
  <si>
    <t>PINV-01</t>
  </si>
  <si>
    <t>Current (60+)</t>
  </si>
  <si>
    <t>A, C, E/O</t>
  </si>
  <si>
    <t>EMEA (Powertrain)</t>
  </si>
  <si>
    <t>REVE-61</t>
  </si>
  <si>
    <t>Regional Aftmkt - NAM (excludes Mexico)</t>
  </si>
  <si>
    <t>Purchasing and Payables</t>
  </si>
  <si>
    <t>PAPA-44</t>
  </si>
  <si>
    <t>EMEA (DRiV)</t>
  </si>
  <si>
    <t>TEN-1341</t>
  </si>
  <si>
    <t>Aartselaar, Kontich (DRiV) - ICFR 2024</t>
  </si>
  <si>
    <t>Long standing variances in finished goods inventory account have not been written-off/ adjusted within the main inventory account ledger.</t>
  </si>
  <si>
    <t>Background: We noted that for finished goods inventory account reconciliation, there was a variance of 31,357.5 EUR between the inventory account and the material-wise inventory subledger. This was duly noted within the supporting documents as an inventory adjustment. However, this is a long-standing variance which has not been adjusted within the main inventory account after due investigation and appears in monthly reconciliation as an adjustment entry. 
Management represented that ERP does not allow for adjustment to main inventory account and ledgers are required to be open at backend for adjustment entry. 
Risk: Adjustments posted subsequent to closing the general ledger (e.g., top-side or late adjustments) are not authorized, complete, accurate and supported with documentation.</t>
  </si>
  <si>
    <t xml:space="preserve">Any variances between the general ledger and subledger (especially in cases of vital accounts with high risk) should be duly investigated and resolved within the main account ledger ensuring that the subledger balance agrees with the account balance with no further adjustments required.
Location should work with ERP team to adjust the difference at account level. </t>
  </si>
  <si>
    <t>This issue has been discussed with IT several years ago and was deemed to be not technically possible / too risky to resolve. Our external auditors have always been aware of the difference but this has never been an issue for them.  
For this issue we will raise a ticket with IT, push to ensure it receives the appropriate attention and keep IA in the loop on the status / discussions.  It is important to note that it might not be possible to resolve this issue.</t>
  </si>
  <si>
    <t>Mike Haward, Director Finance Export</t>
  </si>
  <si>
    <t>03/06/2025</t>
  </si>
  <si>
    <t>Internal Audit</t>
  </si>
  <si>
    <t>TEN-1377</t>
  </si>
  <si>
    <t>Los Reyes</t>
  </si>
  <si>
    <t>Scrap Contracts</t>
  </si>
  <si>
    <t>Los Reyes (Performance Solutions) - Full Scope 2024</t>
  </si>
  <si>
    <t>Management did not retain evidence of the bidding process for scrap vendor contracting.</t>
  </si>
  <si>
    <t>During the review of the scrap sales contracts, IAD observed bidding on scrap vendor lacks evidence of approval and documentation related to all bids obtained.</t>
  </si>
  <si>
    <t>Recommend management retain evidence of competitive bidding in any future contract negotiations with scrap vendors.​</t>
  </si>
  <si>
    <t>Quarterly Bidding validation signed by Plant Manager and Controller</t>
  </si>
  <si>
    <t>Raúl Huitrón, Plant Manager Senior
Luis Gutierrez, Plant Controller'</t>
  </si>
  <si>
    <t> </t>
  </si>
  <si>
    <t>PWC</t>
  </si>
  <si>
    <t>06/04/2025</t>
  </si>
  <si>
    <t>TEN-1378</t>
  </si>
  <si>
    <t>Idle Asset Review</t>
  </si>
  <si>
    <t>Depreciation</t>
  </si>
  <si>
    <t>The location does not perform a review over Idle Assets​</t>
  </si>
  <si>
    <t>There is no process in place to review idle assets at the facility. IAD confirmed through inquiry with the Production Manager that are idle assets on the plant floor. The list is identified based on the manager's experience; however, through confirmation with the Facility Manager and Plant Controller, no periodic review is conducted to determine the accurate number of assets in this category based on minimal usage.</t>
  </si>
  <si>
    <t>Management should implement an annual review process for idle assets, including the identification and documentation of assets with minimal usage. Evidence of the review should be retained even if no assets were identified.​</t>
  </si>
  <si>
    <t>Introduction of a biannual review over the Idle Assets</t>
  </si>
  <si>
    <t>Raul Huitron, Plant Manager Senior Carlos García, Engineering Manager Luis Gutierrez​, Plant Controller</t>
  </si>
  <si>
    <t>TEN-1383</t>
  </si>
  <si>
    <t>Security Cameras</t>
  </si>
  <si>
    <t>Security Cameras at the plant were not in full compliance with company policy​</t>
  </si>
  <si>
    <t>The following exceptions were noted related to the camera system compliance at the plant:​
1. Outdated Layout: The current security camera map is not up-to-date, with two cameras missing from the specifications. The system currently lists 47 devices instead of the expected 49.​
2. Obsolete Device: One physically obsolete camera has not been removed at the facility (located outside on the driveway).​
3. Non-Functional Cameras: Six cameras have been non-operational since August 18th, resulting in a 31-day period of downtime as of the IAD inspection date (September 18th 2024).​
4. Obstructed Camera View: At least one camera focusing on the vehicle entrance is physically obstructed by overgrown vegetation, hindering its functionality.</t>
  </si>
  <si>
    <t>Management should maintain security camera maps and escalate technical issues with security cameras to avoid extended downtime.​</t>
  </si>
  <si>
    <t>Management will add a monthly validation by staff different member (not EHS) over the full compliance</t>
  </si>
  <si>
    <t xml:space="preserve">"Raul Huitron, Plant Manager Senior
Hugo Meza, Quality Manager
Luis Gutierrez, Plant Controller"
</t>
  </si>
  <si>
    <t>TEN-1384</t>
  </si>
  <si>
    <t>Trade Compliance</t>
  </si>
  <si>
    <t>Trade Compliance function is not adequately staffed  to track KPIs and provide adequate compliance functions.​</t>
  </si>
  <si>
    <t>Per the location’s response to Trade Compliance questions, the location does not currently have enough staff to operate and provide adequate customs compliance. The location does also provide training regarding trade compliance outside of mandatory trainings required by HR.​</t>
  </si>
  <si>
    <t>The location should assess the need to cross train current employees or acquire additional staff to make the trade compliance function adequate.​</t>
  </si>
  <si>
    <t>We will introduce monthly review and validation over Trade compliance</t>
  </si>
  <si>
    <t xml:space="preserve">Raul Huitron, Plant Manager Senior Karla Cisneros, Material / Logistics Manager
</t>
  </si>
  <si>
    <t>PPAE-32, PPAE-33</t>
  </si>
  <si>
    <t>Reynosa</t>
  </si>
  <si>
    <t>Reynosa (Performance Solutions) - Full Scope 2024</t>
  </si>
  <si>
    <t>Nubia Sanchez, Plant Controller</t>
  </si>
  <si>
    <t>TEN-1407</t>
  </si>
  <si>
    <t>Lack of Documentation for Fixed Asset Inventory</t>
  </si>
  <si>
    <t>According to company policy, a physical count of 100% of fixed assets is required every five years to ensure the accuracy of the fixed asset register. During the review of the 2020 Fixed Asset inventory conducted at Tenneco Reynosa, there was no standardized documentation available to verify the execution of the inventory. Key information, including the preparer, reviewer, results, and follow-up actions on discrepancies, was missing. ​
​
Additionally, there was no independent review to validate the inventory results or confirm that any differences were properly addressed. The absence of this documentation raises concerns about the accuracy of the fixed asset register and whether the inventory was conducted in line with company standards. This lack of records makes it difficult to verify that the fixed asset count was comprehensive and accurate, which is critical for maintaining the integrity of the company’s financial records.</t>
  </si>
  <si>
    <t>Management should implement a standardized process for conducting and documenting fixed asset inventories in accordance with company policy.​</t>
  </si>
  <si>
    <t>Document floor mapping of equipment's for fixed assets inventory.​
Annual FA inventory will be perform this year.​
Standardized dated report of quarterly status with owner name</t>
  </si>
  <si>
    <t>TEN-1408</t>
  </si>
  <si>
    <t>Use of Prohibited Security Cameras under NDAA Regulation</t>
  </si>
  <si>
    <t>During the audit, it was observed that the plant had six Hikvision security cameras in operation, which are explicitly prohibited under both Tenneco’s internal security policy and the U.S. National Defense Authorization Act (NDAA) regulation. These cameras are classified as insecure due to their susceptibility to cybersecurity threats, including potential hacking. Tenneco’s policy strictly forbids the use of such cameras because they present a significant security risk, particularly in sensitive operational environments. ​
​
The NDAA regulation also bans the use of Hikvision and other specific brands in organizations that deal with U.S. government contracts due to concerns over data security and potential foreign surveillance. Despite these clear guidelines, the plant continued using these cameras, which exposes the organization to potential security breaches, malicious attacks, and unauthorized access to sensitive data or facilities.</t>
  </si>
  <si>
    <t>Management should replace the prohibited Hikvision with security systems that comply with both Tenneco’s internal policies and NDAA regulations or minimally remove these cameras from connection to any Tenneco network.​</t>
  </si>
  <si>
    <t>Transition form CCTV to digital cameras in Reynosa to follow policy regulations. ​
As this represents a higher invest amount this will need to be approved and prioritized by high management team. Find attached the PPT presentation</t>
  </si>
  <si>
    <t>A, E/O, R&amp;O</t>
  </si>
  <si>
    <t>Current (31-60)</t>
  </si>
  <si>
    <t>Stadtallendorf</t>
  </si>
  <si>
    <t>Adjustments &amp; Period-end Close for Production and inventory</t>
  </si>
  <si>
    <t>PINV-45</t>
  </si>
  <si>
    <t>Stadtallendorf (PT) - Full Scope 2024</t>
  </si>
  <si>
    <t>R&amp;O, V</t>
  </si>
  <si>
    <t>TEN-1455</t>
  </si>
  <si>
    <t>Employee safety standards/measures</t>
  </si>
  <si>
    <t>Machine safety actions outstanding.</t>
  </si>
  <si>
    <t>Background:
November 2023 the Senior EH&amp;S Manager visited Stadtallendorf and identified several machines and equipment that did not meet the Tenneco standard in terms of employee safety. As of audit fieldwork phase (May 2024), capex and expense to be spent for the outstanding actions was about €830K. According to the Operations Manager, the last safety measures cannot be implemented before the end of 2025, representing a 2 years time frame since the observations were made and final realization.
Risk: Employees are not adequately protected from injury.</t>
  </si>
  <si>
    <t xml:space="preserve"> It is recommended to verify if the safety measures could be implemented earlier.</t>
  </si>
  <si>
    <t>Machines which are not necessary are blocked and will be scrapped. Other machines are under investigation for safety upgrades like machine controls.
Capex will be budgeted for 2025 to make the unsafe machines safe.
Plant management is reviewing the actions on a weekly basis with production.
Action plan is shared with the EH&amp;S Regional Director and with the  Operations Director Powertrain EMEA.</t>
  </si>
  <si>
    <t>Liladhar Wagh, Plant Manager</t>
  </si>
  <si>
    <t>TEN-1463</t>
  </si>
  <si>
    <t>Chivasso</t>
  </si>
  <si>
    <t>Chivasso (PT) - Full Scope 2024</t>
  </si>
  <si>
    <t>Security checks were out of order</t>
  </si>
  <si>
    <t>Background: 
When visiting the Chivasso location the following security-related points were noted: 
The location has an entrance for pedestrians that is protected by a door which should be opened by presenting a badge. It was noted that this door was almost always open so that the location was accessible to everyone. 
There were no guards. But there was a system in place to secure the building boundaries, with sensors and alarms. Audit was informed that the security system was partially out of order. 
The plant uses a closed-circuit television system. Out of 8 cameras installed, 3 were out of service.
Risk: Inadequate security management increases the risk of personal damage and property loss.</t>
  </si>
  <si>
    <t>The door at the entrance for pedestrians should be locked. 
The security system should be repaired so that all areas of the outside plant perimeters are surveilled. 
The 3 cameras that were out of service should be repaired.</t>
  </si>
  <si>
    <t>Entrance door closer has been repaired so the task can be closed.
The security system will be renewed. Renewal comprises complete substitution of the entire installation of the security system that covers the plant building boundary (motion sensors, volumetric sensor, alarms, control units, cables etc.).
Non-working cameras will be substituted to restore the external perimeter plant surveillance.
Last negotiations will be completed by September 24 with a timing of the installation activities to be done in the next months.</t>
  </si>
  <si>
    <t>Cristina Neculai, Procurement &amp; Purchasing Manager</t>
  </si>
  <si>
    <t>Adjustments &amp; Period-end Close for Property, plant &amp; equipment</t>
  </si>
  <si>
    <t>PPAE-32</t>
  </si>
  <si>
    <t>TEN-1471</t>
  </si>
  <si>
    <t>Dacice</t>
  </si>
  <si>
    <t>Dacice (PT) - Full Scope 2024</t>
  </si>
  <si>
    <t>Physical Security weaknesses</t>
  </si>
  <si>
    <t>Background:
Tenneco Dačice is operating in buildings rented from the Japanese automobile supplier THK. THK as owner is also producing on the site with about 700 employees. There is one entrance to the property on which the Dačice plant is located, this is via the gatehouse operated by THK who is also responsible for the control and security of the facility. The following security related observations have been made:
Two manufacturing buildings and one administration building are rented and used by Dačice Tenneco. The Tenneco buildings are accessible unchecked for everyone who passed the gate controlled by the guards from THK.
While making the plant tour it was noted that not all operators in the plant were wearing the safety glasses. Safety glasses are mandatory according to the directive.
The Dačice safety instruction prescribes that identification badges should be worn on a visible place. But no identification badges have been issued to the auditors when arriving at site. When the entering the facility with the car only a car plate was issued.
Risk: Unauthorized access to the Tenneco buildings; Occupational safety is at risk.</t>
  </si>
  <si>
    <t>The access concept to the buildings operated by Tenneco Dačice should be reviewed with Global Security.
Safety instructions must be followed and safety glasses worn accordingly in the production area.
The concept of badge issuance for Tenneco visitors should be revisited.</t>
  </si>
  <si>
    <t xml:space="preserve">1. Get in touch with Global Security Department. Access situation will be reviewed with Global Security, if possible on-site, to determine the best solution. Based on agreed solution, Capex/expense request will be initiated. Dačice proposal: Implement electronic keys for all entries.
2. Safety glasses: Employees were informed that there will be a bonus deduction if safety glasses are not worn as prescribed.
3. Identification badges are now issued to visitors.
</t>
  </si>
  <si>
    <t>Zdenek Pribyl, Plant Manager</t>
  </si>
  <si>
    <t>PEFR-32</t>
  </si>
  <si>
    <t>Adjustments &amp; Period-end Close for Revenue &amp; receivables</t>
  </si>
  <si>
    <t>Parwanoo - Bearings</t>
  </si>
  <si>
    <t>Parwanoo, IN (PT) - Full Scope 2024</t>
  </si>
  <si>
    <t>Isha Kumari, Plant Controller</t>
  </si>
  <si>
    <t>Chawla</t>
  </si>
  <si>
    <t>PINV-46</t>
  </si>
  <si>
    <t>TEN-1489</t>
  </si>
  <si>
    <t>AR Ageing </t>
  </si>
  <si>
    <t>Account receivable process require improvement</t>
  </si>
  <si>
    <t>IAD obtained the trade receivable sub ledger as of July 2024 and following was noted:
During review, it was observed that the net due dates (payment terms) captured in SAP for the customer invoices are inaccurate due to inaccurate credit terms assigned  Consequently, the Accounts Receivable (AR) ageing report generated from SAP is manually adjusted by the finance team based on inputs from the sales team.
Balance in allowance for doubtful debts ledger (Account Number 1100.130) as on July 31, 2024, was INR 39 Lacs ($46.43K) which constitutes nearly 1% of the total AR balance. As per Note and Accounts Receivable Policy (01-003) para 3.2, accounts greater than two years past due, should be fully reserved, written off and removed from the accounts receivable ageing. Full amount of Rs 39 lacs ($47K) is not written off though the amount has been past due since more than 2 years.
Unapplied customer credits as on July 31, 2024, amounted to Rs. 377 Lacs ($449K) with entries ageing since Jan 2021</t>
  </si>
  <si>
    <t>The revised net due dates need to be updated in SAP. 
Amount outstanding for more than 2 years needs to be written off. 
Unapplied credits need to be reviewed and knocking off should be done timely</t>
  </si>
  <si>
    <t>We need to correct the mapping of payment terms in SAP in our customer master. Out of INR 39 lacs, INR 18 lacs is due on account of supplementary invoices raised to M&amp;M. Sales team is already taking up with the Customer. Rest is being reviewed customer wise, and we can write off wherever required. Going forward we will look into unapplied credits and follow up with customers for open items which are more than a month old</t>
  </si>
  <si>
    <t>TEN-1503</t>
  </si>
  <si>
    <t>Bawal</t>
  </si>
  <si>
    <t>Master Data - Selling Prices </t>
  </si>
  <si>
    <t>Bawal, IN (MRS) - Full Scope 2024</t>
  </si>
  <si>
    <t>Finished goods part numbers not created leading to incorrect revenue recognition for period end &amp; 3-4 mths delay in posting credit memos to correct sale</t>
  </si>
  <si>
    <t>IAD could not validate customer price charged on the invoices  with underlying Customer Purchase orders of all Maruti Suzuki Products Limited samples (MSIL -SPD). For 69 parts numbers, Tenneco Bawal had only created 31 Finished goods part numbers and was updating the Selling prices in SAP to record revenues at the highest of the prices for supplies. 
The existing process led to customer paying either less or more than all the invoiced amounts. Further it required Finance team to reconcile the discrepancies from the data on web portal, post financial Debit / credit notes every week and reload to the customer portals and the corresponding impact of these transactions on the Goods and Sales taxes returns. Credit memos processed on this account for the customer during Jan – June 2024 amounted to Rs. 163 lacs ($196K).</t>
  </si>
  <si>
    <t>Management should take immediate steps to create OES part numbers in SAP production process or ensure that the system is able to maintain multiple prices for different customer part numbers for one finished good. Tenneco deliveries should be recorded for the correct part and at the right selling prices.</t>
  </si>
  <si>
    <t xml:space="preserve">RPC for release of the internal part codes for each MSIL part number is under process between Sales &amp; Engg. Team and the same shall updated in SAP for use in Master data and dispatches. </t>
  </si>
  <si>
    <t>Sankarbabu, Sampangiappa
(Engg. Deptt)
Joshi, Vaibhav  (Sales Deptt.)</t>
  </si>
  <si>
    <t>TEN-1512</t>
  </si>
  <si>
    <t>CART approvals </t>
  </si>
  <si>
    <t xml:space="preserve">CART overspend  and Capex reviews   </t>
  </si>
  <si>
    <t xml:space="preserve">PNG Power sourcing : 2022-T2245- BAM1_PLT-02205 was approved was approved on 30th Sep'22 Rs.37.67 lacs ($45k), however, actual spend on the asset was 32% more than the approval @ $60K.  No supplementary cart. The capex tracker maintained by the Projects team showed the excess spent under an expansion Project cart though it was clearly for HT room for Caparo Power.  
Customer reimbursable storage trolleys: Cart no 2022-T2245-BAM1_PLT-02260 was approved on 13th June 2023 at ZERO capex spent with net income of approximately INR 15 lacs ($18K) to the location being the Difference of actual cost of Trolleys to be bought &amp; reimbursement received from customer (M/s Maruti). Location spent Rs 36.72 lacs ($44k) to purchase the trolleys and capitalized on 15th Nov'2023 (WDV Rs 32.44 lacs ($38K) as on 31st May'2024.  However, till the last day of the audit, the location has not received the formal purchase order from the customer for the reimbursement of the said trolleys cost agreed with them. 
PDI Automation IAD noted that CART 2022-T2245-BAM1_PLT-02332  (PDI Automation) was approved on 12th Oct'22 for Rs.97.08 lacs ($122k). Quotation by incumbent vendor M/s Geo informatics was obtained on the approval date of the CART, for Rs 74.76 lacs however, post approval from operation executive director, PO was issued for Rs 57 lacs. Further, quotation for the same project from another vendor used for bid comparison (M/s Penta Automation) was obtained on 11th Nov'22 i.e. post approval.  
ECAP &amp; EHS documentation not available in 3 out of 4 carts. </t>
  </si>
  <si>
    <t>Management should establish clear procedures for the indirect purchasing processes in compliance with the Global Purchasing policies including competitive bidding, vendor review, and appropriate purchases without a purchase order.  Adequate bidding procedures should be carried out by purchasing teams and documented in a transparent process.</t>
  </si>
  <si>
    <t>All capex and cart spend is discussed, and approved by all stake holder’s including General Manager, Plant Manager, Finance Director as per global authority index for capex. Moving forward project team will raise the supplementary Cart for additional work if required. Project team and Plant controller will ensure all final quotations and documentation will be uploaded before the approvals. A proper Project cost tracker already shared to Audit Team . Customer Tooling PO will  be received by May, 2025 as confirmed by Sales Team.</t>
  </si>
  <si>
    <t>Pawan Kumar (Plant Controller) &amp; Kothai (SSC), Virender Thakur (Sales)</t>
  </si>
  <si>
    <t>Goods Receipt</t>
  </si>
  <si>
    <t>Waupun</t>
  </si>
  <si>
    <t>Waupun,VSG (PT) - Full Scope 2024</t>
  </si>
  <si>
    <t>TEN-1593</t>
  </si>
  <si>
    <t>Month end Ajustments </t>
  </si>
  <si>
    <t xml:space="preserve">Account reconciliations are not matched to Ten stream balances (PEFR-32. PPAE-35)  </t>
  </si>
  <si>
    <t>IAD reviewed the month end closing and reporting process and noted that: 
Location does not load One stream, but they do need to perform GL to Ten stream reconciliation, this is done only at a compare file level (High level asset and P&amp;L items) just matching the basic group totals and does not ensure that the map is correct and / or if new accounts added are appropriately mapped. 
IAD was able to reconcile the BS mapping for June 2024 but not the P&amp;L – Value of CY Income in BS is ($8553789) however the P&amp;L report using parameters 1030 plant 2560 pulls up an EBIT of $ 9281316, hence a difference that needs to be reconciled. 
Audit team could not validate the completeness and mathematical accuracy of some of the reconciliations, as it was left audit team to match multiple codes to what was consolidated.  
Fixed assets reconciliations ( Q1 &amp; Q2) were not approved in a timely manner and had difference between Gross Value and Accumulated depreciations to Ten stream due to mapping issues of Computer software ($2k &amp; 6.5K resp) 
Month end Close Procedure:  Month-end accounting close check to meet timeline and related items was not reviewed and dated for completeness for both the selected samples. 
Certain activities to be completed are documented in a template however the same are not noted as completed for the month.</t>
  </si>
  <si>
    <t>Management should review Policy to gain an understanding of the requirements for an effective account reconciliation. Monthly, once all the account reconciliation workbooks are prepared, a completeness review should be performed, against the most current One stream download to match the balances for each reconciliation. The Difference in EBIT from SAP reports to Ten stream should be reconciled and adjusted / noted as comments in the Report to ensure that local ledgers are matched to US GAAP Reported values.
Month end Checklists should be reviewed and approved for completeness of required activities</t>
  </si>
  <si>
    <t xml:space="preserve">Rreconciliations have been reworked to follow the Corporate Policy format, which includes a Retrieve formula to pull the One Stream balances into the reconciliation. The new format lists all accounts from SAP that roll into the OneStream account for accurate reconciliation. Consolidated checklist is in use as one master list and is reviewed for completeness by the plant controller. SAP P&amp;L EBIT &amp; Balance Sheet report needs to be reviewed and updated to ensure all SAP accounts are noted as there have been account updates and the SAP RP2 BS is not reconciled.  Work with SAP IT support to update reports. Controller needs to be on site to review and approve the account recons on the share point. Shared services to ensure timely update of transactions errors when informed  </t>
  </si>
  <si>
    <t xml:space="preserve">Kathy Stout &amp; RP2 IT Support </t>
  </si>
  <si>
    <t>TEN-1599</t>
  </si>
  <si>
    <t>Segregation of Duties </t>
  </si>
  <si>
    <t xml:space="preserve">Segregation of Duties – UnmitigatedRisks </t>
  </si>
  <si>
    <t xml:space="preserve">IAD noted the following unmitigated Risks in roll assignments to users
IAD noted that the Plant Controller had access to post journal entries as well along with being the approver of the  JE completeness review.  
Additionally, for Jan 2024 IAD noted that  Sales Coordinator had access to update Customer master data , Customer selling Price data and create Orders, Invoices and post Dr / Cr memos to customer accounts </t>
  </si>
  <si>
    <t>Adequate access should be provided to users based on their roles and any inappropriate access should be removed as per defined policies. 
Adequate segregation of duties should be maintained to ensure work should not overlap</t>
  </si>
  <si>
    <t>Work with IT to create new roles that ensure segregation of duties on Journal entry creation vs posting.
Review the compensating controls for critical transactions to ensure risk mitigation is in place for – Customer updates, customer  pricing, Customer Order creation, Creating DR / CR memos.
Review current roles and redefine where required to ensure that SOD exists where it is not possible to have a compensating control activity.</t>
  </si>
  <si>
    <t xml:space="preserve">Annette Lionberger,Plant controller and SAP RP2 IT support </t>
  </si>
  <si>
    <t>Amberg</t>
  </si>
  <si>
    <t>TEN-717</t>
  </si>
  <si>
    <t>Burscheid</t>
  </si>
  <si>
    <t>Burscheid, Germany - Full Scope</t>
  </si>
  <si>
    <t>Weaknesses noted in the physical security of the plant.</t>
  </si>
  <si>
    <t>Background: Security-related items were noted:
•	Not all cameras were in proper working order. It was noted that one out of 11 digital cameras and eight out of 11 analog cameras were defective. The defective digital camera caused a black image on the monitor of the gatekeepers from Plant 1 and 2.   
•	Camera images were displayed on the monitors of the guards but were not recorded. 
•	Since the last audit monies were spent for two cameras (€2,367) without involving Global Security in the procurement process. Cameras of the Mobotix brand were purchased and not the recommended brand Avigilon.
•	The main gate entry of Plant 1 is protected by a barrier and a gate. From 7 pm to 7 am Plant 1 was not manned, and it was noted that after 7 pm the gate was not always closed. The barrier does not completely close off the entrance so that a pedestrian can pass the barrier on the side. Although a camera takes pictures of the entrance area, the security situation was assessed as inadequate.
•	Trees and landscaping shrubs along the fence line were not pruned in all cases. This poses a risk, as the fence can be overcome with the help of the trees. 
•	Burscheid has security fencing around its perimeter. In the southern part of Plant 2, the fences of private properties serve as protection against unwanted intrusion into the factory premises. In one place, it was observed that the private fence was damaged and that only the steep slope protected against intrusion into the company premises.
Risk: Inadequate security management increases the risk of property loss.</t>
  </si>
  <si>
    <t xml:space="preserve">All cameras should be in proper working order.
It should be discussed whether the images, which have been taken for reasons of factory safety, can be stored for at least 48 hours.
Policy GSMS-17.0 requires that Global Security must provide written approval for security expenditures such as for the camera system. Management should obtain approval before purchase orders are submitted.
During the time Plant 1 is unmanned it is recommended to keep the gate closed. Drivers with their cars still parked inside the facility should ask the guard from Plant 2 to open the gate once they want to leave the plant after 7 pm.
The trees outside the plant should be cut back so that it is not possible to climb over the fence with their help.
The fencing situation of the Plant 2 should be reviewed. Especially where there is reliance on the fences of the adjacent properties. </t>
  </si>
  <si>
    <t>It is planned to rebuild the security office in plant 2. The camera system will be renewed in this context. The defective cameras do not pose a security risk. No immediate replacement is needed. Installation of recordings with new technology. Check of DSGVO (data protection law). 
Responsible: Fabian Hahn
Completion Date: December 31, 2025
Immediate check and status report. Change of fences after quoting process. 
Responsible: Fabian Hahn
Completion Date: March 31, 2025</t>
  </si>
  <si>
    <t>Fabian Hahn</t>
  </si>
  <si>
    <t>09/20/2023</t>
  </si>
  <si>
    <t>TEN-718</t>
  </si>
  <si>
    <t>New orders of security equipment will require approval of global security.
Responsible: Fabian Hahn
Completion Date: September 30, 2023
To always keep the main gate of Plant 1 closed after the guard goes home, approval from the worker's council is needed. The request will be provided through the plant security office.
Responsible: Fabian Hahn
Completion Date: January 31, 2024
Trees and landscaping shrubs: Review the status together with facility management. Request for supplier quotes to be prepared. Suppliers will be selected and start with corrective cutback actions.
Responsible: Fabian Hahn
Completion Date: March 31, 2024</t>
  </si>
  <si>
    <t>All points were remediated except the camera issue, according to Sven Baudis per May 16, 2024. Camera issue is due Dec 25, 2025, target competion date adjusted accordingly.</t>
  </si>
  <si>
    <t>PAPA-12</t>
  </si>
  <si>
    <t>PEFR-06</t>
  </si>
  <si>
    <t>TEN-975</t>
  </si>
  <si>
    <t>Rybnik Shared Services</t>
  </si>
  <si>
    <t>Rybnik Shared Services Center-ICFR</t>
  </si>
  <si>
    <t>Unencrypted SAP payment proposal could be manipulated prior to bank processing.</t>
  </si>
  <si>
    <t>Background: Once a payment proposal is approved, an unencrypted IMP file is extracted from SAP and manually uploaded into Citibank's banking platform for processing. Bank accounts or other information in the payment proposal IMP file could be manipulated prior to providing to the bank and these changes would be difficult to detect at this point of the process as there is no preventative control in place to mitigate this risk.
Risk: Processing of unauthorized or fraudulent payments.</t>
  </si>
  <si>
    <t>Work with the bank to establish a host-to-host payment transmission process where the payment file is automatically sent from SAP to the bank without any manual intervention. Otherwise, establish other preventative control measures, such as determining if the payment file can be encrypted or establish a validation that no information was changed in the payment file prior to processing.</t>
  </si>
  <si>
    <t xml:space="preserve">Host-to-host payment transmission process needs to be established in cooperation with Tenneco IT Department and the bank. 
New Connection needs to be established for H2H with CITI. Specifically for company codes PL and PL10 on SAP TA2.
Service Now ticket opened for Finance NSR RITM0633843. </t>
  </si>
  <si>
    <t>Completion date moved from 8/31/24 to 8/31/25 due to IT resource constraints.  EE 6/25/24</t>
  </si>
  <si>
    <t>Natalia Gruszczyk, Senior Finance Manager; Magdalena Łabuz, Senior Accountant; and Shivkiran Kavety, IT Manager</t>
  </si>
  <si>
    <t>02/19/2024</t>
  </si>
  <si>
    <t>PAPA-09</t>
  </si>
  <si>
    <t>TEN-999</t>
  </si>
  <si>
    <t>Performance Solutions NVH</t>
  </si>
  <si>
    <t>Background: The following deficiencies were noted in the Performance Solutions Finance Director review of Account Reconciliations:
The Finance Director of Vibration &amp; Harshness (NVH) did not perform the annual review of balance sheet account reconciliation in accordance with the Global Policy SPI 0-01.
Risk: Lack of an adequate balance sheet account reconciliation process increases the risk of continued account reconciliation issues at the location level, inaccurate balance sheet accounts and financial misstatements.</t>
  </si>
  <si>
    <t>The NVH Global Finance Director will implement a process to ensure that all account reconciliations for ledgers under Global NVH are reviewed annually.  
The review of the individual accounts will be performed by the Performance Solutions Business Unit Controller and a subset of those reconciliations will be reviewed by the Finance Director in accordance with the Global Policy.</t>
  </si>
  <si>
    <t>Pat Moran, Finance Director, NVH Global</t>
  </si>
  <si>
    <t>Row Labels</t>
  </si>
  <si>
    <t>Grand Total</t>
  </si>
  <si>
    <t>Column Labels</t>
  </si>
  <si>
    <t>Past Due Total</t>
  </si>
  <si>
    <t>Count of Issue ID</t>
  </si>
  <si>
    <t>Current/ past due</t>
  </si>
  <si>
    <t>Current</t>
  </si>
  <si>
    <t>Current Total</t>
  </si>
  <si>
    <t>Aging as on</t>
  </si>
  <si>
    <t>Days</t>
  </si>
  <si>
    <t>Status</t>
  </si>
  <si>
    <t>&lt; 3 months</t>
  </si>
  <si>
    <t>3-6 months</t>
  </si>
  <si>
    <t>&gt; 1 year</t>
  </si>
  <si>
    <t>Aging Buckets</t>
  </si>
  <si>
    <t>Deficiency - Past Due Aging</t>
  </si>
  <si>
    <t>(All)</t>
  </si>
  <si>
    <t>2024 Total</t>
  </si>
  <si>
    <t>2025</t>
  </si>
  <si>
    <t>2025 Total</t>
  </si>
  <si>
    <t>Qtr2</t>
  </si>
  <si>
    <t>Qtr2 Total</t>
  </si>
  <si>
    <t>Qtr3</t>
  </si>
  <si>
    <t>Qtr3 Total</t>
  </si>
  <si>
    <t>Qtr4</t>
  </si>
  <si>
    <t>Qtr4 Total</t>
  </si>
  <si>
    <t>Jun</t>
  </si>
  <si>
    <t>Aug</t>
  </si>
  <si>
    <t>Dec</t>
  </si>
  <si>
    <t>7-9 months</t>
  </si>
  <si>
    <t>10-12 months</t>
  </si>
  <si>
    <t>Still 30 days. Capex needs to be identified, necessary to apply for extra capex.</t>
  </si>
  <si>
    <t>Revenue and Receivables</t>
  </si>
  <si>
    <t>Information Technology General Controls (ITGC)</t>
  </si>
  <si>
    <t>Environmental Health and Safety (EH&amp;S)</t>
  </si>
  <si>
    <t>Jul</t>
  </si>
  <si>
    <t>Co-sourcing Partner</t>
  </si>
  <si>
    <t>RA - Date changed on request of Dana and approved by IAD.</t>
  </si>
  <si>
    <t>Status 14.8.:  Global Security Manager visited plant 11.7.2025 and send us the Security Assessment 1.8.2025. We have to decide specific solution, send a request to the supplier for a quote and then ask for approval Global Security Manager.</t>
  </si>
  <si>
    <t>Other</t>
  </si>
  <si>
    <t>Genpact ERC</t>
  </si>
  <si>
    <t>Shared Services Center - AP (IceCo)</t>
  </si>
  <si>
    <t>IceCo (Shared Services)</t>
  </si>
  <si>
    <t>Shared Services (IceCo)</t>
  </si>
  <si>
    <t>Invoice Processing</t>
  </si>
  <si>
    <t>SSC / Phase 1 / Genpact ERC / 2025</t>
  </si>
  <si>
    <t xml:space="preserve">Invoice pay term and due date is editable </t>
  </si>
  <si>
    <t>Jeff Niszczak- PT, Clean Air, Ign , SSC; Petru Baciu</t>
  </si>
  <si>
    <t>08/05/2025</t>
  </si>
  <si>
    <t>Absence of segregation of duties</t>
  </si>
  <si>
    <t>TEN-1619</t>
  </si>
  <si>
    <t>Invoice processing  team at Kolkata SSC have rights to modify PO details in Plex at the time of posting an invoice as well as mark the Invoice status as "Pay" for payment in Plex thus creating an SOD conflict. 
In the current month-end process, for case of discrepancy between Invoice copy and Invoice/ PO details in SAP (such as Price, Quantity ), Kolkata SSC have been instructed to modify PO details in Plex and process the invoice with "Hold" status. Necessary adjustments are performed in next month.  Since Plex does not have autoblock functionality for such cases and manual block needs to be applied by Kolkata SSC personnel hence there is open risk of Invoices with unauthorized modifications getting paid.</t>
  </si>
  <si>
    <t xml:space="preserve">Invoice processing team (SSC Kolkata) should not have edit rights to PO details . All cases of discrepancies between Invoice copy and PO needs to be resolved via Lite workflow before posting the Invoice in Plex.
</t>
  </si>
  <si>
    <t>Mitigation short term: the AP team lead to review and validate that there are no out of balances between the payment list shared by the BU Cash Lead and the actual list of paid items. IT to investigate the possibility of removing the user rights to modify PO details. Mitigation medium/long term: Basware to be implemented for these locations driving the entire error resolution to be systemic</t>
  </si>
  <si>
    <t xml:space="preserve">Plex system is a very rudimentary system that will not allow for user access flexibility. Lite Workflow is a temporary solution with limited capabilities as well. Marking the invoices with a ,,Pay'' status is part of the selection of documents to be included in the payment run as per the instructions received from the BU Cash Leads. </t>
  </si>
  <si>
    <t>TEN-1621</t>
  </si>
  <si>
    <t>PAPA-18</t>
  </si>
  <si>
    <t>ERP allowing duplicate invoice posting with minor modifications</t>
  </si>
  <si>
    <t xml:space="preserve">Clean Air entities (DE and CZ)-Absence of Duplicate Invoice Check functionality (incl. Tolerance-Based Matching)  in SAP
</t>
  </si>
  <si>
    <t>Duplicate identification tool/ Excel based macro to be implemented identifying duplicates using tolerance based matching .</t>
  </si>
  <si>
    <t>To revisit the topic and ensure correct understanding of the risk.</t>
  </si>
  <si>
    <t>The duplicate identification functionality is present in SAP.</t>
  </si>
  <si>
    <t>E/O, R&amp;O</t>
  </si>
  <si>
    <t>TEN-1622</t>
  </si>
  <si>
    <t>Payments</t>
  </si>
  <si>
    <t>Monitoring of Urgent/Manual payment</t>
  </si>
  <si>
    <t>At present, all manual and urgent payment requests are received in payment processor’s individual Tenneco mailbox.
Location: PT_ MX Puebla Pistons/PT_MX Puebla Rings/​PT_MX Aguascalientes​
CA_MX Puebla &amp; Aguascalientes​/PT_DE Herdorf/Clean air cluster (DE,CZ) at Bucharest SSC</t>
  </si>
  <si>
    <t>Generic email box / workflow should be used to ensure that all manual and urgent payment requests are tracked and timely processed.</t>
  </si>
  <si>
    <t>Generic mailbox to be created for all payment related communication.</t>
  </si>
  <si>
    <t>TEN-1623</t>
  </si>
  <si>
    <t>Upload of payment file on the bank portal in editable format</t>
  </si>
  <si>
    <t>Payment files are not sent to Treasury in encrypted file format for bank upload by the SSC AP team. There is no host-to-host transfer of payments into the bank portal.
Further, in case of manual payments for Mexico locations details are manually entered by SSC team on the bank portal instead of uploading encrypted payment file.
Location : PT_ MX Puebla Pistons/ PT_MX Puebla Rings/ ​PT_MX Aguascalientes​
CA_MX Puebla &amp; Aguascalientes​/ PT_DE Herdorf</t>
  </si>
  <si>
    <t>Implement host to host payment file transfer to ensure approved payments are securely transferred to bank portal.
Payment files must be uploaded on the bank format in encrypted file format to ensure accuracy and restrict unauthorized changes and to the manual payments file.</t>
  </si>
  <si>
    <t>Short termsolution: implement an encripted excel file to be used. Long term solution: H2H implementation.</t>
  </si>
  <si>
    <t>TEN-1624</t>
  </si>
  <si>
    <t>Manual entry of credit card expense details in Concur</t>
  </si>
  <si>
    <t>All the credit card transactions are not captured automatically in Concur. Genpact T&amp;E team manually adds the expense line item basis the T&amp;E expense statement submitted. 
Location: CA_MX Puebla &amp; Aguascalientes​</t>
  </si>
  <si>
    <t>Credit card transactions details should automatically interface into Concur to ensure that credit card expense reconcile with credit card statements.</t>
  </si>
  <si>
    <t>Topic to be revisited and reconfirmed.</t>
  </si>
  <si>
    <t>All expenses are automatically reflected in Concur-&gt; employee files the expense and IP team validates and sends for payments.</t>
  </si>
  <si>
    <t>TEN-1625</t>
  </si>
  <si>
    <t>Payment team has access to modify the below mentioned 
a. PT- Payment term , payment days and  Bline date.
b. CA-  Discount amount, payment term, payment date and Bline date.
Location PT_DE Herdorf/Clean air cluster (DE,CZ) at Bucharest SSC</t>
  </si>
  <si>
    <t>Access to modify the invoice and payment details should be restricted to ensure proper segregation of duties.</t>
  </si>
  <si>
    <t>Access to modify payment terms to be removed.</t>
  </si>
  <si>
    <t>This access is not esential for this team.</t>
  </si>
  <si>
    <t>TEN-1627</t>
  </si>
  <si>
    <t>Non SEPA- There is no host-to-host transfer of payments into the bank portal. At present for DE entities, payments file is sent by  Bucharest SSC to Tenneco plant team for manual upload onto bank portal. For CA_CZ Hodkovice, payments are uploaded by Bucharest SSC to the bank portal.
SEPA payments are transferred directly on the bank portal through payment run in SAP.
Location : Clean air cluster (DE,CZ) at Bucharest SSC</t>
  </si>
  <si>
    <t>Implement host to host payment file transfer to ensure approved payments are securely transferred to bank portal.
Payment files must be uploaded on the bank format in encrypted file format to ensure accuracy and restrict unauthorized changes and to the manual payments file.
.</t>
  </si>
  <si>
    <t>Short term solution: implement an encripted excel file to be used. Long term solution: H2H implementation.</t>
  </si>
  <si>
    <t>TEN-1629</t>
  </si>
  <si>
    <t>Archive data used to check duplicates is insufficient</t>
  </si>
  <si>
    <t>Before preparing a payment run, Kolkata SSC uses a Excel based Macro to identify duplicate invoices. Currently, invoice data for last 4 months is used to identify duplicates due to system restriction preventing Kolkata SSC to extract historical data
Location: PT MX Linan</t>
  </si>
  <si>
    <t xml:space="preserve">Kolkata SSC team to work with Tenneco IT team to extract at least 2 years historical invoice data and use that as archived data for identifying duplicate invoices </t>
  </si>
  <si>
    <t>IT to support the effort of extractiong 2 years worth of data from Plex.</t>
  </si>
  <si>
    <t>For Plex system only last 6 months data can be extracted from the system.</t>
  </si>
  <si>
    <t>TEN-1631</t>
  </si>
  <si>
    <t>Shared Services Center - AR (IceCo)</t>
  </si>
  <si>
    <t>Cash Applications</t>
  </si>
  <si>
    <t>Unapplied balances​</t>
  </si>
  <si>
    <t>There remains unapplied  cash balances  “on account” for overpayments, and not identified against customer invoice/s​. There is a similar unapplied open balance “on account” for  underpayments and not identified against customer invoice/s​. 
PT Herdorf (as on 24th Jan 2025)- 
Overpayments :  Open balance - 214 K euro  (- 98 K euro is aged over 3 months)
Underpayments :Open balance  of  63K euro ( 6 K euro is aged over 3 months)
PT_IT Chivasso(as on 24th Jan 2025)
Overpayments :  Open balance  of- 363 K euro  ( -29 K euro is aged over 3 months)
Underpayments : Open balance  of 43K euro (20 K euro is aged over 3 months)</t>
  </si>
  <si>
    <t>Jeff Niszczak,Ioana Grigoras</t>
  </si>
  <si>
    <t>TEN-1632</t>
  </si>
  <si>
    <t>System configuration</t>
  </si>
  <si>
    <t>Cash application process is manual and  auto match facility is currently not being used. Bank statement are received manually over email ( IT Chivasso)
PT IT Chivasso
Auto match facility on T Code 28 cannot be used , until  bank statements are uploaded in SAP</t>
  </si>
  <si>
    <t>TEN-1633</t>
  </si>
  <si>
    <t>Non standardized approach</t>
  </si>
  <si>
    <t>IT Chivasso-Process by which SSC Kolkata receives intimation of customer/ incoming payments is not standardized. Bank statement excerpts are received over email and not uploaded on SAP (Bank statements are uploaded in SAP at PT Herdorf)</t>
  </si>
  <si>
    <t>Month end</t>
  </si>
  <si>
    <t>TEN-1636</t>
  </si>
  <si>
    <t>Manual JVs can be posted without prior approval In the absence of a GL team, there are conflicting user roles in SAP</t>
  </si>
  <si>
    <t xml:space="preserve">Clean Air entities (DE and CZ)-Month end AP accruals: Individual posting to FB 50 (AP subledger) also posts to FB60 (GL)- which are SAP conflicting user roles. (There is no separate GL team)
Park and post functionality is not being used for posting accrual JVs, and neither is there an approval workflow. The JV pre- approval and post review process is manual, and approvals/confirmations are over email. 
SAP does not restrict posting a JV without approval, in the absence of a workflow. There remains an open risk of posting manual JVs without prior approvals (non -compliance with company policy).   </t>
  </si>
  <si>
    <t>Approval/ Review of Manual Journal entries can be managed in a workflow tool. 
Tool can be configured to ensure that approval flow enforces segregation of duties and auto posting of the manual journal entries in SAP, following the necessary approvals.</t>
  </si>
  <si>
    <t>IT to suggest workflows that can be implemented to replace the manual process.</t>
  </si>
  <si>
    <t>TEN-1637</t>
  </si>
  <si>
    <t>Incorrect creditor position in the financial records</t>
  </si>
  <si>
    <t>Clean Air entities (DE and CZ)-Process of reconciling vendor balances in financial records on a periodic basis (annual/semi annual) , has not been established</t>
  </si>
  <si>
    <t>Identify top critical vendors and receive their statement of accounts on a periodic basis, and reconcile it with the vendor's sub ledger
investigate and follow up on unreconciling items</t>
  </si>
  <si>
    <t>AP IP team will reconcile the top 20 vendors per location looking at the vendor's turnover. We will work to have a general frame for the vendor reconciliation that will include a higher percentage from the active vendors.</t>
  </si>
  <si>
    <t>TEN-1638</t>
  </si>
  <si>
    <t>Shared Services Center - GL (DRiV)</t>
  </si>
  <si>
    <t>Shared Services (DRiV)</t>
  </si>
  <si>
    <t>Intercompany and manual JVs</t>
  </si>
  <si>
    <t>Intercompany journal entries</t>
  </si>
  <si>
    <t>DRIV: Absence of maker checker control . Intercompany Manual Journal entries (JE) are not being reviewed prior to posting.​
Pre-approval of standard Journal entries (Intercompany) received at the beginning of the year from TENNECO Finance POC. The approval is received over email. ​
Kolkata SSC posts entries for Intercompany accruals and as well as invoice posting, creating a SOD conflict
Park and post functionality is not being used ​
The above are non adherence to company policy</t>
  </si>
  <si>
    <t>1. All non- standard manual JVs (including Intercompany) must be approved prior to posting. This includes recurrent JVs with varying amounts. 
2. Approvals must be sought for every non-standard journal entry  prior to posting, over SharePoint (not via email). Define GOA Matrix at the pitcher site.
3.Enable park and post functionality on SAP (as per corporate policy , separate individuals should prepare and post journal entries)​
4. Review accesses of GL team at SSC Kolkata to remove conflicting user roles
5.Consider configuration of a workflow tool where auto posting of manual journal entries follows the necessary approvals in the system (best practice)</t>
  </si>
  <si>
    <t>Georgeta Diaconu- Head of DriV SSC</t>
  </si>
  <si>
    <t>TEN-1639</t>
  </si>
  <si>
    <t>Open unreconciled IC balances</t>
  </si>
  <si>
    <t>DRIV: Open legacy IC  balance (as on 30th Nov 2024) as on  of -3.8 Mn USD (ageing &gt;90 days is -2.67 Mn ). on IC AP accruals(T&amp;E reclass). This balance has not been cleared as the corresponding IC vendor number is not set up in the system. Hence, amounts cannot be moved from accruals against a particular IC vendor payment.</t>
  </si>
  <si>
    <t>There must be a defined action plan to set up vendor in SAP and for AP team to post the affiliate invoices. GL team access from AP Subledger must be revoked</t>
  </si>
  <si>
    <t>TEN-1640</t>
  </si>
  <si>
    <t>Absence of 2/3 way match and duplicate identification functionality in QAD</t>
  </si>
  <si>
    <t>QAD does not have functionality to identify duplicate invoice and perform automatic 3-way match.
Location: PT_MX Aguascalientes</t>
  </si>
  <si>
    <t>QAD duplicate identification to be enabled by IT. Basware is to be deployed to support with the 2/3 way match and provide enhanced query resolution and reporting capabilities.</t>
  </si>
  <si>
    <t>DAT is in place but it is not as efficient as being used where SAP is in place; Manual 3 way match in place - GR report is extracted and to serve as a base for identifying the invoices to validate and match.</t>
  </si>
  <si>
    <t>TEN-1642</t>
  </si>
  <si>
    <t>PwC</t>
  </si>
  <si>
    <t>Bhiwadi SPG</t>
  </si>
  <si>
    <t>Phyiscal Count</t>
  </si>
  <si>
    <t xml:space="preserve">Bhiwadi SPG (PS) - Full Scope 2025 </t>
  </si>
  <si>
    <t xml:space="preserve">Inventory Count Differences need review and corrective action </t>
  </si>
  <si>
    <t>Inaccuracy in consumption of material per BOM vs. Actual
Per the current location process, movement type 701 and 702 are commonly used to post adjustments in process yield in consumption of raw materials &amp; these were managed through physical / cycle count inventory adjustments in SAP during the year too..  
Noted 290 of 17901 (1.6%) items where physical count adjustments were posted throughout the year 2024. Management noted that consumption booked as per BOM was inaccurate and hence stock was updated to reflect actual physical quantities on hand. Gross Year end PI adjustment amounted to INR 62 lacs ($ 73K) representing 1.1% of 2024 COGS.
Difference in Inventory count during Year end Counts
Location confirmed that the Statutory auditors conducted a Physical Count of Inventory on 30th Dec 2024, noted the following discrepancies -  
Location had not disabled the ERP user access during the year-end 2024 physical count.
Inventory count sheets currently include pre-filled quantities as part of their regular process. 
Net Inventory discrepancies of Rs. 17.44 lacs ($20K) were noted however,  Gross difference was Rs. 55.17 lacs ($64.9K). This difference was approx. 1% of COGS, however, no formal reasons were noted as part of an analysis in the documentation retained.</t>
  </si>
  <si>
    <t>Review and document reasons for significant inventory count differences as part of year-end close.
Ensure BOMs are updated annually based on prior period yield adjustments (using 701/702 movements) &amp; for any std cost changes due to manufactured / bought out parts.
Restrict and monitor movement types 701/702; this should require documentation and approval for all adjustments.</t>
  </si>
  <si>
    <t xml:space="preserve">BOM  are regularly reviewed and corrected timely .if any major gap found by operation team  based on actual recorded  of  particular  BOM.  As we  explained  that  this is not BOM problem . 1% Variance in  annual count is normal according to our  Product  and  Manufacturing process  due to  heat  Shrinkage and  producing  Bulk &amp; Cut Length  of  Twist tube and  Flex Guard according to customer requirement.  </t>
  </si>
  <si>
    <t xml:space="preserve">Tarun / Kuldeep </t>
  </si>
  <si>
    <t>PPAE-15</t>
  </si>
  <si>
    <t xml:space="preserve">Month end Reconciliations </t>
  </si>
  <si>
    <t>LEAS-02</t>
  </si>
  <si>
    <t>C, CO</t>
  </si>
  <si>
    <t>TEN-1652</t>
  </si>
  <si>
    <t>Unreconciled balances for One stream entity GURCORSGA</t>
  </si>
  <si>
    <t xml:space="preserve">Account reconciliation not prepared &amp; absence of documentation for review
Company code 6350 reported under two entities, SPG-BA07 &amp; 08 (SPGBHIIND) / IT-BA20 (GURCORSGA). 
IT – BA20 (GURCORSGA) was used as a consolidation entity for Corporate PTSB IT expenses, and the financials were loaded by Gurgaon Corporate office. Account reconciliations for BA20 were not available for Year 2024 &amp; YTD Feb 2025 &amp; not provided for review. Key Balances reported as on 31.12.2024 included : I/C Accounts Receivable / (Payable) ; Fixed assets ; AP Payables; Prepaid Non-Income taxes &amp; Payroll accruals 
It was observed that the location does not retain any evidence of the review for preparing and compiling the Monthly Period End Accounting Close checklist. Furthermore, it was noted that the individual performing the procedure does not affix their initials and date to the checklist, resulting in no evidence to demonstrate the timely completion of activities as outlined in the checklist.
Discrepancies in Intercompany Confirmations
Inter-company confirmations as of January 2025 had un-identified differences between the IT-BA20 (GURCORSGA) entity and other entities exceeding $10K.
</t>
  </si>
  <si>
    <t>Log the actual completion date and reviewer initials for each close activity on the monthly checklist.
Investigate and remove any inappropriate access to ERP.
Resolve intercompany differences and ensure all reconciliations are completed per policy. </t>
  </si>
  <si>
    <t>Not related to our OS entity, Need to work with PT  Team for these reconciliation. We  do IC  and GL Reconciliation on monthly which are shared with Audit team, But the balances will need to be moved to PT. .</t>
  </si>
  <si>
    <t>TEN-1654</t>
  </si>
  <si>
    <t xml:space="preserve">Segregation of Duties </t>
  </si>
  <si>
    <t xml:space="preserve">Segregation of duties conflicts noted in SAP Role assignment </t>
  </si>
  <si>
    <t xml:space="preserve">Unmitigated risks and role overlap
Location users had excessive rights in ERP. For example, some SCM users can create Vendors, Create &amp; Approve PRs, Create POs, Approve POs; production users could create GRN and Quality Control could ship material. 
Certain Finance activities had transitioned to Shared Services, however Plant Finance personnel still had access to create GRNs, Process Vendor Invoices, Run Payments, make Reversals and approve payments. 
It was noted that the following changes are required:
Role reduction of 35 (17%) of 206 current roles
Role change of 11 roles - remove old role and grant a new role
</t>
  </si>
  <si>
    <t>Review and rationalize user roles to eliminate unnecessary or conflicting access.
Conduct a role review bi-annually to maintain proper segregation and reduce overlap.</t>
  </si>
  <si>
    <t xml:space="preserve">All the SOD are  review with plant Manager  and   identified the  access gaps  for existing  users  which will be  corrected soon . </t>
  </si>
  <si>
    <t xml:space="preserve">Charan Yadav ( Plant Manager) </t>
  </si>
  <si>
    <t>TEN-1660</t>
  </si>
  <si>
    <t xml:space="preserve">IAD - Internal Team </t>
  </si>
  <si>
    <t>Bhiwadi (Ignition)</t>
  </si>
  <si>
    <t>Champion</t>
  </si>
  <si>
    <t xml:space="preserve">Documentation </t>
  </si>
  <si>
    <t>Bhd Ign/IA/2024 / WB Case</t>
  </si>
  <si>
    <t>Ignition SOP Built Issue</t>
  </si>
  <si>
    <t xml:space="preserve">Significant issues noted at Ign Bhiwadi Location - Location was tasked to ensure roll out of the SOP Built Project </t>
  </si>
  <si>
    <t xml:space="preserve">SOP Built out project to be completed </t>
  </si>
  <si>
    <t xml:space="preserve">Upkar Singh ( Plant Manager) </t>
  </si>
  <si>
    <t>TEN-1661</t>
  </si>
  <si>
    <t>Hosur</t>
  </si>
  <si>
    <t>Banking</t>
  </si>
  <si>
    <t>Critical</t>
  </si>
  <si>
    <t xml:space="preserve">Hosur / PS BU / 2023 </t>
  </si>
  <si>
    <t>H2H Vendor Payment Setup Hosur</t>
  </si>
  <si>
    <t xml:space="preserve">Significant issues noted at Hosur AP Payments - Location was tasked to ensure roll out of the H2H connectivity for BOA coonetivity for reconciliations / vendor payments and enabling payment advice to vendors </t>
  </si>
  <si>
    <t xml:space="preserve">H2H with BOA to be implemented alongwith Vendor payment advice rollout </t>
  </si>
  <si>
    <t>SS Srinivas ( Finance Director)</t>
  </si>
  <si>
    <t>TEN-1662</t>
  </si>
  <si>
    <t>Corporate (Performance Solutions)</t>
  </si>
  <si>
    <t xml:space="preserve">Genpact -SSC/ PS BU / 2025 </t>
  </si>
  <si>
    <t xml:space="preserve">Genpact granted Access Rights to PS Banks </t>
  </si>
  <si>
    <t xml:space="preserve">Following Control issues noted in SSC rollout of payments processs to Genpact -  Performance Solution BU                                                                                                                                                     a.Genpact teams are already accessing the below accounts to make payments to vendors 
b.Files are loaded manually / sometimes as excel uploads and other times as manual inputs on bank sites with updates to fields like bank account details and amounts 
c.Locations for these banks USE ONE TIME VENDOR codes also which are inherently RISKY as they allow vendor invoice processors to change bank account numbers manually as the data is not fetched from masters 
d.Locations DO NOT have any second authorized signatory as both signatories are in GENPACT and not Value caps exist
e.Genpact additionally performs Bank Reconciliations also , adding to the above risk multiple fold </t>
  </si>
  <si>
    <t xml:space="preserve">PS Locations moved AP payments to SSC Genpact , however Bank Access also transitioned , this shall need to be moved back in house ) </t>
  </si>
  <si>
    <t xml:space="preserve">Swati Agarwal  (Executive DirectorFinance) Arup Mukherjee ( Finance Director, Performance Solutions) </t>
  </si>
  <si>
    <t>TEN-1663</t>
  </si>
  <si>
    <t xml:space="preserve">Compliance  </t>
  </si>
  <si>
    <t>Compliannce Tool</t>
  </si>
  <si>
    <t xml:space="preserve">PS BU / Compliance Tool /  2025 </t>
  </si>
  <si>
    <t xml:space="preserve">Compliance Tool Roll Out  for PS BU </t>
  </si>
  <si>
    <t xml:space="preserve">Rollout of Global Complince Tool  for PS BU </t>
  </si>
  <si>
    <t xml:space="preserve">Compliance Tool Roll out for PS Locations </t>
  </si>
  <si>
    <t>Kapil Abrol (Director- Taxation) / Ian Burns (Executive Director)</t>
  </si>
  <si>
    <t>TEN-1664</t>
  </si>
  <si>
    <t>Tenneco</t>
  </si>
  <si>
    <t>Period End Financial Reporting</t>
  </si>
  <si>
    <t xml:space="preserve">All BU / SAP Period end process / 2025 </t>
  </si>
  <si>
    <t xml:space="preserve">Excessive SAP Rights for Month end activity - Book Closure / Global </t>
  </si>
  <si>
    <t>Business units to note improvements required in Month end access for period open and close in SAP                                                                                                                                                                                           1. Consider refinement of policy – restrict access, cut-off times
2.Explore any system automation or workflows to better enable 
3.Governance - granting access, open/close – enhancing controls</t>
  </si>
  <si>
    <t>Review accessive rights granted for period end Open and close in SAP</t>
  </si>
  <si>
    <t xml:space="preserve">All BU Leads - Dana Schick ( Segment Controller CA/PT) , Arup Mukherjee ( Finance Director, Performance Solutions), Devang (Executive Director and Chief Accounting Officer) </t>
  </si>
  <si>
    <t>TEN-1670</t>
  </si>
  <si>
    <t>KPMG</t>
  </si>
  <si>
    <t>Fixed Assets - Inaccurate Depreciation</t>
  </si>
  <si>
    <t xml:space="preserve">Hosur MRS (PS) - Full Scope 2025 </t>
  </si>
  <si>
    <t>Inaccurate Depreciation computed for Fixed assets</t>
  </si>
  <si>
    <t>Depreciation: On review of accumulated depreciation for all assets mapped in FAR, noted 74 assets wherein depreciation charged post revaluation of assets from revaluation date 15th Nov’2022 to 1st January 2024 was incorrectly calculated and updated in SAP. Net Impact on accumulated depreciation as on 31st January 2025 amounting to Rs 45.51 lacs ($53.54k) under-stated in PL  Refer table below for breakdown of increase/decrease over such assets: 
Further, it was observed that additional depreciation was not charged for 15 assets which underwent an addition during the year.. Net impact on depreciation over such assets amounting to Rs. 1 lacs ($ 1.18k) (Refer Annexure 1 (1))
Capitalization of Low-Value Assets, not depreciated in the year of acquisition: Asset acquisition valuing less than $5K are being capitalized in FAR throughout the period 2012 to 2024. The carrying value of these assets has been carried forward to the subsequent calendar year's net block as on Jan’25 for such assets amounts to Rs 25.54 lacs ($30.05k). (Refer Annexure 1 (2))</t>
  </si>
  <si>
    <t>Conduct a comprehensive review of tagging of depreciation key in FAR-SAP.
Implement automated validation checks in SAP to prevent errors in depreciation calculations post-revaluation. Also, while addition made to existing asset, re-evaluation of useful life to combined asset should be assess.
Configure automated key tagging to asset capitalization below $5K to ensure accuracy</t>
  </si>
  <si>
    <t>Depreciation: 
Revaluation has been performed by the corporate team and updated by IT team in 2024. We will take the support from IT team to co-ordinate with the SPOC and update the corrections in the month of Jun 25.
Capitalization of Low-Value Assets:
As the sample are taken from the period 2012 to 2024. We will be taking the approval from FD and same will be charged off in June’25</t>
  </si>
  <si>
    <t>K Kothai (Finance)</t>
  </si>
  <si>
    <t>08/14/2025</t>
  </si>
  <si>
    <t>TEN-1671</t>
  </si>
  <si>
    <t xml:space="preserve">Valuation of assets </t>
  </si>
  <si>
    <t>Fixed Assets - Inadequate review / management</t>
  </si>
  <si>
    <t>PPAE-35</t>
  </si>
  <si>
    <t>Incorrect revaluation &amp; quantity in PPE’s</t>
  </si>
  <si>
    <t>Incorrect Fixed Asset Register Mapping and Asset Quantity Errors?Revaluation of assets: Noted 1 asset where acquisition value is incorrectly mapped in FAR post revaluation of asset. For asset #122740 revalued amount was Rs 36.16 lacs ($42.55k) however, gross block mapped in FAR for Rs 39.78 lacs ($46.8k) i.e. excess gross block by Rs 3.61 lacs ($4.25k) revalued. This would lead to incorrect depreciation recording in the books of accounts.
Asset created without quantity field in FAR : During the review of FAR, noted 31 instances of Machines &amp; Equipment, where multiple asset were capitalized in one asset code without stating the quantities. (Refer Annexure 1 (3))
Delay in capitalization: Noted 1 assets (Boundary wall) amounting to Rs. 19.85 lacs ($23.35k)  where the capital work had been completed in April 2024. However, due to delays in obtaining the capitalization certificates from respective department, these assets were not capitalized and depreciated in books until Jan’25. Net Depreciation impact Rs 0.93 Lacs ($1.1k) (Refer Annexure 2 (2))</t>
  </si>
  <si>
    <t>Maker-checker controls should be established, post updating revalued asset in FAR 
All asset quantities should be accurately updated.
CWIP certificate should be call out from all department on monthly basis.</t>
  </si>
  <si>
    <t>Revaluation of assets: Acquisition value is incorrectly mapped in FAR post revaluation of asset (122740) in 2024. We will take the support from IT team to co-ordinate with the SPOC &amp; update the corrections
Asset created without quantity field in FAR: The sample shown are for the period 1984 to 2018, So we will take the approval of FD and get the quantity and update the same in June’25
Delay in capitalization: As vendor did not complete the job due to non following the Tenneco guidelines &amp; agreement was for fitted post completion of one part. Following to another part of job new asset code was created and same is being capitalized. Add. Dep will be charged.</t>
  </si>
  <si>
    <t>TEN-1672</t>
  </si>
  <si>
    <t>Physical count</t>
  </si>
  <si>
    <t>Fixed Assets - Physical Inventory Issues</t>
  </si>
  <si>
    <t>Monitoring over tagging of assets, tools and management of idle assets</t>
  </si>
  <si>
    <t>Fixed Asset Tagging and Idle Assets Not Reviewed
Physical Verification : During physical verification of 25 sample fixed assets:
2 assets were identified without asset tagging, making it challenging to track them in the Fixed Asset Register.
2 assets were observed with multiple asset tags attached to a single piece of machinery, leading to potential confusion in asset identification and tracking. (Refer Annexure 2 (1))
1 asset was found to have been non-operational for an extended period; however, it had not been categorized as an idle asset in the system
Absence of monitoring over Product tooling sent to supplier location :  Noted that tooling owned by Tenneco physically existed at vendor / supplier locations and were capitalized in Tenneco FAR. Although, quantity of such assets at vendor location could not be identified due to non-availability of location mapping in FAR. Also, RFA (Returnable Fixed Assets) process not in place for such tooling.</t>
  </si>
  <si>
    <t>Ensure all assets have a unique identifier in the Fixed Asset Register to improve tracking and reconciliation.
Explore adding vendor location in the FAR and obtain annual confirmation from vendors to regularly monitor the company owned tools</t>
  </si>
  <si>
    <t>Physical Verification :
Tagging were available at the site for the sample selected however there was issue in identification further this will be improved and ensure the right tagging. 
We have the review mechanisms for idle asset however for ambulance no vendor was showing interest in bidding hence we decided to scrap and  it is  under necessary approvals for scrapping.
Absence of monitoring over Product tooling sent to supplier location: We have identified the Vendor asset with the help of GP team and action has been implemented  basis the  recommendation.</t>
  </si>
  <si>
    <t>MAHESH (MET), VENKATESH (HR)</t>
  </si>
  <si>
    <t>Purchasing - Inadequate Process / Unapproved PO / SA</t>
  </si>
  <si>
    <t>Aged Open PO / SA Lines</t>
  </si>
  <si>
    <t>Master data</t>
  </si>
  <si>
    <t>Master Data - Unapproved / Unsupported / Incorrect Updates</t>
  </si>
  <si>
    <t>Receiving</t>
  </si>
  <si>
    <t>Inventory - GRN Delays</t>
  </si>
  <si>
    <t>Inventory - Count / Adjustment related Issues</t>
  </si>
  <si>
    <t>Inventory - Inaccurate Valuation</t>
  </si>
  <si>
    <t>TEN-1686</t>
  </si>
  <si>
    <t>Changes in price as per price master and sales register</t>
  </si>
  <si>
    <t>Pricing Date Changes and Variances between Price Master and Sales Register
Pricing Change Rights : Noted that the sales order creation team has editing rights for the pricing date in SAP (backdated pricing). As a result, pricing in sales orders is adjusted based on the pricing master values on the edited date, and the same revised prices are mapped to invoicing. This may result in potential revenue leakages.
Currently there are, 2 Junior level team member in sales order creation team having backdated pricing rights in system 
Price Master v/s Sales Register : Upon reviewing the price master and sales register, a variance was identified between the sale price recorded in the sales register and the prices listed in the price master for the same customer and the same material code. This discrepancy had a financial impact amounting to Rs 1.87 lacs ($2.2K). (Refer Annexure 10(2))
It was observed that due to Time gap in between Server time in Europe (CET) and India (IST) which is apprx. 3.5 hours, Old Selling prices are being auto picked  while creation of SO/ Sales Invoices.</t>
  </si>
  <si>
    <t>1. Implement role-based access controls in SAP to ensure only authorized personnel can modify pricing dates.
2. Establish an automated pricing validation process to ensure sale prices align with the price master at the time of invoicing.</t>
  </si>
  <si>
    <t>Price Change Rights: We had checked with Europe team currently its not possible to change the option to disable in pricing date. In future any enhancement that time will try to implement
Price Master vs Sales Register: As explained by us we had raised the supplementary invoices for 1.87 lacs subsequently</t>
  </si>
  <si>
    <t>Hemalata, Vaibhav Joshi (Sales Director)</t>
  </si>
  <si>
    <t>Account Reconciliations - Unapproved / Unsupported / Not done / Not Timely</t>
  </si>
  <si>
    <t>HR Process - Non-Compliance to policy</t>
  </si>
  <si>
    <t>TEN-1691</t>
  </si>
  <si>
    <t>Time recording</t>
  </si>
  <si>
    <t>Payroll non-compliances</t>
  </si>
  <si>
    <t>PAYR-03</t>
  </si>
  <si>
    <t>Manual process of recording attendance for contractual employees</t>
  </si>
  <si>
    <t>Gaps in Attendance Tracking, Compliance with Labor Regulations, and Employee Data Management
Attendance of Contractual Employees : Time in and time out of contractual employees is recorded on a timecard, which is signed by the security guard and departmental supervisor. However, there is no biometric system in place for tracking contractual employees' attendance, raising concerns on reliance over manual data for processing invoices, prone to manual errors &amp; potential overpayments
Attendance of Security Personnel: The security supervisor independently marks the attendance for all security personnel without the involvement of the HR team. Verification of attendance is conducted by the HR team at the end of the day for both 12-hour shifts.
Furthermore, the attendance register is kept in the custody of security at the gate, and no biometric system is utilized for tracking attendance.
Compliance with Labor Regulations : Noted count of contractual employees authorized as per Tenneco RC exceeds the number of contractual employees permitted under the Contract Labor Act, 1971 (Refer Annexure 16(2))</t>
  </si>
  <si>
    <t>Implement a biometric attendance system to ensure precise and tamper-proof tracking of contractual employees' time in and time out.
Align workforce planning with the Contract Labor Act, 1971, ensuring contractual employee counts do not exceed permitted limits.</t>
  </si>
  <si>
    <t>Contractual Employees: Planning to implement bio metric system for contract labours including Security.
Security Personnel: The necessary counter measure (Attendance Register is now placed at HR Office has taken and implemented for eliminating the SOD conflict of security personnel attendance
Labor Regulations: Application  has been submitted by contractors for amendment of License and submitted supporting docs to auditors as well. However, the Authority has confirmed that the amended license would be receiving during next renewal.</t>
  </si>
  <si>
    <t>Deepika Chouhan - HR</t>
  </si>
  <si>
    <t>A, E/O</t>
  </si>
  <si>
    <t>Improper approvals</t>
  </si>
  <si>
    <t>Compliances - Statutory compliances not met</t>
  </si>
  <si>
    <t>Physical Security concerns</t>
  </si>
  <si>
    <t>Banking - Regulatory Non-Compliance / Authorized Signatory not updated</t>
  </si>
  <si>
    <t>RCO</t>
  </si>
  <si>
    <t>Inventory - Unapproved / Out of Policy Reserves Calculations</t>
  </si>
  <si>
    <t>EH&amp;S - Non-Compliances</t>
  </si>
  <si>
    <t>AR - Ageing not performed</t>
  </si>
  <si>
    <t>Fixed Assets - Spends beyond 110% of Cart Approvals</t>
  </si>
  <si>
    <t>Access - Excessive Accesses / Delayed Termination / Password Sharing</t>
  </si>
  <si>
    <t>Documentation non-compliance</t>
  </si>
  <si>
    <t>T&amp;E - Non-Compliance to Policy/ Concur related issues</t>
  </si>
  <si>
    <t xml:space="preserve">Bank Access - H2H not configured / Manual Load / improper access </t>
  </si>
  <si>
    <t>Delayed invoice bookkeeping / Duplicate Invoice checks</t>
  </si>
  <si>
    <t xml:space="preserve">Need to extend closure deadline due to action plan and root cause not being finalized and same process checked for all the sites </t>
  </si>
  <si>
    <t>Gaston Roeschli, Director, Operational Finance BRM 
Ioana  Grigoras, Global Accounts Lead</t>
  </si>
  <si>
    <t>Aged / Unsupported Balances</t>
  </si>
  <si>
    <t>Manual Journal Entries - Unsupported/ Unapproved / Posting delays</t>
  </si>
  <si>
    <t>FSCP - Month End Reviews not performed / comprehensive</t>
  </si>
  <si>
    <t>Fixed Assets - Delayed / Incorrect Capitalization</t>
  </si>
  <si>
    <t>Revenue recognition-Sales Cut off not per INCO Terms / Unsupported</t>
  </si>
  <si>
    <t>Non-Compliance - HR Regulatory</t>
  </si>
  <si>
    <t>Clean Air</t>
  </si>
  <si>
    <t>North America (Clean Air)</t>
  </si>
  <si>
    <t>08/29/2025</t>
  </si>
  <si>
    <t>TEN-1707</t>
  </si>
  <si>
    <t>Genpact - ERC</t>
  </si>
  <si>
    <t>Celaya</t>
  </si>
  <si>
    <t>Inventory Transfer</t>
  </si>
  <si>
    <t>Inventory - In transit not per policy</t>
  </si>
  <si>
    <t>PINV-02</t>
  </si>
  <si>
    <t>Celaya, PS (MRS) - Full Scope 2025</t>
  </si>
  <si>
    <t>Unreconciled Inventory post closure of Kettering Plant</t>
  </si>
  <si>
    <t>Kettering Plant, based out of United States was closed in year 2023 and part of direct material inventory was transferred to Celaya post closure.
During the review of the inventory‑transfer process following the 2023 closure of the Kettering plant, we noted:
Out of the MXN 286 Mn (USD 14.5 Mn) closing inventory at 2022 year‑end, only MXN 132 Mn (USD 6.7 Mn) was transferred to the Celaya plant and MXN 1.3 Mn (USD 70K) remained at Kettering plant as on 31st December 2024.
Further, we noted that there was no record or tracking of the remaining MXN 154 Mn (USD 7.8 Mn) of inventory, and the inventory team was unaware of its status.</t>
  </si>
  <si>
    <t>Reconcile &amp; Investigate: Conduct an immediate physical count at Celaya and any residual Kettering locations to locate or write off the untracked stock, with documented disposition
Formalize Transfer Procedures: Develop and enforce a plant‑closure inventory transfer protocol—mandating SAP transfer postings, dual sign‑off &amp; cut‑over checklists</t>
  </si>
  <si>
    <t>Kettering’s plant inventory is separated from Celaya records, the responsibility of inventory management was not under Celaya scope during the plant closing. Corresponding records of the USD 7.8M allocations are located at the corporate files storage site. Of the USD 6.7M direct material amount that was transferred to Celaya. The existing stock balance is included in Celaya’s records. The material is part of the annual physical inventory, continuous cyclic counts and excess and obsolete reserve processes. As of today USD 1.4M are already included in the excess and obsolete reserve, the remaining balance is included in the periodic analysis required by the corporate policy and it is applied as mandated</t>
  </si>
  <si>
    <t>Hector Casas, Plant Controller
Arup Mukherjee, PS Controller</t>
  </si>
  <si>
    <t>TEN-1708</t>
  </si>
  <si>
    <t>Inventory Accounting</t>
  </si>
  <si>
    <t>Incorrect accounting to record inventory variances in SAP</t>
  </si>
  <si>
    <t>At the time of Annual Physical Inventory (API) verification, Inventory team records status of inventory in SAP with a positive value if the stock found physically is less than or equal to quantity recorded in SAP. If the physical stock is found in more quantity than SAP quantity, inventory is recorded with a negative value.
During our review of SAP inventory at the North Plant (Celaya) as on 26th March 2025, we noted:
SAP reflected approximately MXN 12.75 Mn (USD 639K) of negative stock. Further inquiry revealed that, during the Annual Physical Inventory Verification, excess items found in the warehouse were posted in SAP using negative‐quantity entries rather than correcting the underlying stock records</t>
  </si>
  <si>
    <t>Standardize Adjustment Procedures: Develop and train staff on a formal process to investigate and correct inventory variances—using positive‐quantity adjustment transactions tied to documented count sheets.
Goods receipt of missing items shall be created to correct negative stock in SAP.
SAP configuration to prohibit negative stock shall be enabled.
Inventory levels shall be monitored and reviewed regularly, and necessary adjustments shall be performed to avoid future negative stock.</t>
  </si>
  <si>
    <t>We will work with the materials team to develop a final report that only shows real variances, not just location variances, as positive values for material found and negative values for missing material; this modified report should be available for the next API process this year.</t>
  </si>
  <si>
    <t>Emilio Mata Arturo, Plant Finance Manager
Michael Prashaw, Global IT Manager</t>
  </si>
  <si>
    <t>TEN-1709</t>
  </si>
  <si>
    <t>Inventory Valuation</t>
  </si>
  <si>
    <t>Long-aged inventory noted in Annual Physical Inventory (API) Verification Report</t>
  </si>
  <si>
    <t>Annual Physical Inventory (API) verification was performed at Celaya North Plant on 19th December 2024 basis which ageing of inventory was updated in SAP.  For differences found in SAP vs physical inventory, adjustments were made post approval from Plant Controller.
During review of Annual Physical Inventory (API) verification report, we noted that total inventory of MXN 303 Mn (USD 15.2 Mn) was recorded in SAP at North Plant (Celaya). Out of this, Inventory of MXN 83 Mn (USD 4.2 Mn) was aged between 2015 and 2023, yet no items had been classified as obsolete, slow‑moving or fast‑moving—and there was no segregation of stock by these categories.</t>
  </si>
  <si>
    <t>Establish Classification Criteria: Define clear thresholds (e.g., &gt; 2 years = obsolete; 6–24 months = slow‑moving; &lt; 6 months = fast‑moving) and embed them in SOPs
Warehouse Segregation: Physically demarcate and label storage zones for obsolete, slow‑moving and fast‑moving stock
Evaluate the feasibility of disposal of obsolete inventory.</t>
  </si>
  <si>
    <t>The plant management will evaluate the design and work on implementation of a local policy to segregate the material based on its use for production requirements.
This document will be used to support the request for additional inclusion of material in the excess and obsolete reserve in addition to the material contemplated by the existing corporate policy.
Furthermore, we will evaluate the possibility of disposal of obsolete inventory.</t>
  </si>
  <si>
    <t>Emilio Mata Arturo, Plant Finance Manager</t>
  </si>
  <si>
    <t>TEN-1710</t>
  </si>
  <si>
    <t>Inventory Disposal</t>
  </si>
  <si>
    <t>Lack of disposal plan to scrap obsolete inventory</t>
  </si>
  <si>
    <t>Post completion of Annual Physical Inventory (API) verification, Inventory team identifies obsolete stock and develops a plan to dispose the same. Inventory team shares the plan of disposal for approval of Plant Controller prior to initiating the physical movement.
During our review of inventory ageing and valuation reports for all Celaya plants as on 31st December 2024, we noted that out of total inventory worth MXN 489 Mn (USD 25 Mn), approximately MXN 14 Mn (USD 700K) of inventory older than 2021 was classified as active stock and included in the Inventory Valuation report. No disposal or write‑off plan exists for this obsolete inventory.</t>
  </si>
  <si>
    <t>Define Obsolescence Criteria: Establish a policy (e.g., &gt; 3 years without movement).
Disposal Plan &amp; Write‑Down: Develop and document a disposal or write‑off process (e.g., quarterly), with dual‑approval for any adjustments to inventory valuation.</t>
  </si>
  <si>
    <t>Cesar Arturo Olvera, Plant Warehouse Manager
Emilio Mata Arturo, Plant Finance Manager</t>
  </si>
  <si>
    <t>TEN-1711</t>
  </si>
  <si>
    <t>Vendor Invoices</t>
  </si>
  <si>
    <t>Inconsistencies in processing of Vendor Invoices w.r.t Purchase Orders</t>
  </si>
  <si>
    <t>There are 3 types of procurements – Direct Material, Maintenance Repairs &amp; Operations (MRO) and Indirect Services. All 3 types of procurements are handled by the Plant Procurement Team.
In case of changes in prices, vendors inform Procurement Team via email. Accordingly, PO is modified by the Procurement Team in SAP.
a) Direct Material Price Variance
On sample verification of 25 GRNs &amp; invoices processed for Direct Materials, we identified 20 (80%) invoices (total GRN value: MXN 924,640 (USD 46,232)) across 15 purchase orders, where the invoiced unit price differed from the PO/GRN price. 
The total variance amounted to MXN 321,220 (USD 16,061 ~34% of samples) (invoice &gt; PO: MXN 85,240 (USD 4,262); invoice &lt; PO: MXN 235,980 (USD 11,799)). 
Of this variance, MXN 34,840 (USD 1,742) has already been paid, MXN 239,940 (USD 11,997) is pending payment by the due date, and MXN 46,440 (USD 2,322) is pending intercompany settlement
b) MRO Price Variance
On sample verification of 10 GRNs &amp; invoices processed for MRO, we identified one MRO material code where three POs were issued at MXN 7,800/unit despite an email quotation of MXN 7,510/unit, resulting in an over‑commitment of MXN 2,030. 
Invoice Quantities Exceed Purchase Order Quantities
On review of Invoice listing for the period March 2024 to February 2025, we identified 61 instances (out of 9307 instances) where the quantity billed in the vendor invoices exceeded the quantity authorized on the corresponding purchase orders. The total excess quantity amounted to 2.07 Mn units
d) Invoices Processed Without Three‑Way Match
During our review of Open Scheduling Agreements (SAs) report as on 04‑April‑2025, we noted that out of 262 open SAs, 87 SAs had the “ERS” (Evaluated Receipt Settlement) option enabled. This configuration bypasses the standard three‑way match (PO–GRN–invoice) in SAP. A total procurement of MXN 1056 Mn (USD 52.8 Mn) was done against these 87 SAs without any three‑way match
e) Invoice amount exceeding Purchase Order Amount
On review of Invoice dump for the period March 2024 to February 2025, we noted 12/ 2935 POs where the invoiced amount exceeded the PO amount by a total of  MXN 1,240,000 (USD 62,000)</t>
  </si>
  <si>
    <t>Configure the ERP to block invoice postings unless the invoiced price matches the PO/GRN price within an approved tolerance 
Update SOPs to require procurement to re‑confirm or re‑issue quotations when they have expired before raising a PO.
Implement system‑generated notifications for any price variance beyond the defined threshold, routing exceptions for approval.
Configure ERP to block invoices where qty in invoice &gt; PO, routing exceptions for documented approval
Perform monthly PO‑vs‑invoice quantity reviews to detect and resolve discrepancies promptly
Disable ERS for all non‑catalog or high‑value SAs, forcing invoices through the three‑way match</t>
  </si>
  <si>
    <t>Purchase Team will review the status of current quotations on hand and follow the standard practice to have at least 3 quotes in place wherever feasible.
Additionally, AP team to review weekly Basware report (Highlighting exceptions from Invoice Processing Tool) and highlight the discrepancies to the purchase team for initiating corrective actions as required.
Confirm with Basware the correct fill of information
For direct Material all the buyers have access to Basware to receive notification regarding Invoices with some mistake</t>
  </si>
  <si>
    <t>Luis Felipe Mijangos, Plant Sr. SCM
Arturo Vera, Plant SCM,
Arup Mukherjee, PS Controller
Michael Prashaw, Global IT Manager</t>
  </si>
  <si>
    <t>TEN-1712</t>
  </si>
  <si>
    <t>Open Purchase Orders</t>
  </si>
  <si>
    <t>Delays in Issuance of PO/ Lack of review of Open Pos</t>
  </si>
  <si>
    <t>Invoice Date precedes Purchase Order Dates - On review of the PO report and invoice dump for the period March 2024 to February 2025, we identified 2,620 invoices (15%) (across 146 POs) where the invoice date was prior to the PO date (delays ranged from 1 to 616 days, with a total invoice value of USD 1.17 Mn 
Lack of Review and Monitoring of Open Purchase Orders - On review of Open PO report as on 04-April-2025, we identified 39 open POs (all raised before April 2024) with a total unexpended balance of MXN 128 Mn /USD 6.49 Mn. The last invoice against these POs was received prior to July 2024, indicating no subsequent activity or closure. Out of above 39 POs, 16 POs pertain to MRO (USD 1.14M) and 23 POs pertain to Indirect services (USD 5.35 Mn)</t>
  </si>
  <si>
    <t>Configure the ERP to block or hold any invoice where the invoice date precedes the PO date, requiring exception approval.
Implement automated edit checks in AP to flag date variances for review before posting.
Implement a monthly PO‑aging report, reviewed by procurement and finance leadership, to identify and act on open POs</t>
  </si>
  <si>
    <t>Confirm with Basware the correct fill of information
For direct Material all the buyers have access to Basware to receive notification regarding Invoices with some mistake</t>
  </si>
  <si>
    <t>TEN-1713</t>
  </si>
  <si>
    <t>Anomalies noted in Receipt/Recording of Goods Receipt</t>
  </si>
  <si>
    <t>On receipt of material at the plant gate, warehousing team inwards the material, basis the vendor invoice and delivery note. Discrepancies between actual quantity and invoice quantity, if any, are informed to the material planning team for corrective action.
Inadequate Verification of Received Quantities
Our review of the goods‑receipt process revealed that warehouse staff only count cartons—not the actual units inside—yet post full Goods Receipt Notes (GRNs) for the invoiced quantity even when shortages occur. Invoices are stamped for 100% delivery and no formal notification of short‑receipts is sent to Accounts Payable. 
On sample review of 25 inwards for the period March 2024 to February 2025, we noted 17 shipments exhibiting a shortfall of 105,571 units (MXN 0.1 Mn /USD 5.4K)
GRN Reuse &amp; Inaccurate Inventory Movement in SAP
During our walkthrough of the SAP inventory‑movement process, we noted that when an initial goods receipt (GRN) is posted for a partial delivery, any subsequent receipt against the same PO line is not recorded as a new GRN. Instead, the system simply converts the “blocked” quantity from the original GRN into “unrestricted” stock. This approach masks the actual receipt date, overwrites a distinct audit log for the follow‑on delivery, and bypasses SAP’s standard inbound controls.</t>
  </si>
  <si>
    <t>For all POs above a defined materiality threshold (e.g. USD 1,000 per line), mandate 100% unit‑count verification at the dock before GRN posting.
For lower‑value shipments, implement a statistical sample check (e.g. 10% of cartons) to confirm accuracy.
Modify the system so that each receipt—initial or follow‑on is posted as a distinct GRN against the PO line, with its own date and quantity.</t>
  </si>
  <si>
    <t>With the people we currently have on staff, it is not possible to carry out this type of activity for verifying the material that arrives at the plant.
Henceforth, the item content in the cartons will be verified on statistcal sample basis for high value items. Furthermore, in case of discrepancies identified, 100% check will be performed for the respective shipment.</t>
  </si>
  <si>
    <t>Cesar Arturo Olvera, Plant Warehouse Manager
Michael Prashaw, Global IT Manager</t>
  </si>
  <si>
    <t>TEN-1714</t>
  </si>
  <si>
    <t>Order Purchasing</t>
  </si>
  <si>
    <t>Inadequacies in vendor selection &amp; Onboarding process and Absence of review around Creation/Modification of PO
Absence of review around Creation/Modification of PO</t>
  </si>
  <si>
    <t>Per process, competitive bids are obtained by the Procurement Team via email before finalizing a vendor. Once quotes are received, approvals are obtained via physical meeting, before issuing Purchase Orders (PO) to vendors via email.
Furthermore, Purchase Orders (PO) are created/ modified in SAP by the Procurement Team. In case if price fluctuations, Procurement Team makes changes in SAP in the existing PO, rather than creating a new PO.
Inadequate Vendor Selection process
During our review of vendor onboarding &amp; selection process, we noted that there is no formal process to obtain and document comparative quotations from multiple vendors, nor any Delegation of Authority (DOA) defined for approving vendor selection based on those quotations. Procurement teams proceed to issue POs without evaluating alternative quotes or securing the appropriate approval levels
On sample verification of supporting documents (including quotes, negotiation documents and PO copies) of 25 POs (across Indirect Services, Direct Materials and MRO purchases) for the period March 2024 to February 2025, we noted that no POs were supported by quotations from multiple vendors. Additionally, in all cases, only the awarded supplier’s quote was on file—despite the existence of a broader vendor list in SharePoint
Furthermore, for legacy Direct Material POs (w.r.t 8 items/ material codes) dating back to 2015, no fresh quotations have ever been obtained.
During our process walkthrough of PO creation/ modification, we noted that SAP (PTAx) does not enforce a maker‑checker (dual‑approval) mechanism for purchase order creation or modification. Users in the Procurement team have unrestricted rights to change critical PO fields—such as 
quantity, 
price, 
vendor
payment terms
without any independent review/ approval. 
On sample verification of 30 POs for the period March 2024 to February 2025, we noted the following discrepancies:
Direct Materials: 21 POs were modified without approvals (6 with price increases; 15 with price decreases)
MRO: We noted 1 PO (No. 4502078995) was repriced from USD 2.68/kg to USD 2.78/kg without any documented approval.</t>
  </si>
  <si>
    <t>Update procurement SOPs to require at least two competitive supplier quotes for all non‑catalog purchases (three for high‑value or high‑risk categories)
Configure the PO‐creation process to block release unless the required number of quotations are uploaded and linked in the system
Configure SAP to require a secondary, independent approver for all new POs and any modifications to price, quantity, vendor or payment terms.
Conduct a one-time SOD assessment and restrict modification rights to designated approvers only.</t>
  </si>
  <si>
    <t>Purchase Team will follow the standard practice to have at least 3 quotes in place wherever feasible.
Option to modify PO will be restricted and shall be limited to designated personnels only. Approvals (email/SAP) shall be documented in case of PO modification.</t>
  </si>
  <si>
    <t>TEN-1715</t>
  </si>
  <si>
    <t>Fixed Assets Register</t>
  </si>
  <si>
    <t>Inaccurate Revaluation of Fixed Assets/ Fixed Assets recorded in deactivated Company Code</t>
  </si>
  <si>
    <t>Accounting for Fixed Assets (addition, deletion, depreciation and revaluation) are performed by the Corporate team, basis the data provided by the Plant Finance Team, via email. 
Once posted in SAP, Plant Finance team verifies its correctness/ accuracy and notifies the Corporate team in case of discrepancies, if any.
Inaccurate revaluation of Fixed Assets
On review of Fixed Assets register and depreciation schedules for the sample month of February 2025, we identified 11 assets with negative net‑book values (USD 0.43 Mn) but still attracting depreciation charges (USD 3K) on account of incorrect revaluation computation at the Corporate level. 
Further inquiry revealed that these assets were re‑valued below their written‑down value by the Corporate Team, yet the depreciation run was not adjusted to cease on the re‑valuation date
Fixed Assets recorded in deactivated Company Code
On review of the Fixed Assets register for the sample month of February 2025, we noted 3 fixed asset line items (current book value - zero) which remain recorded under Company Code 3542—the Luxembourg entity that was dissolved in October 2023—and have not been reassigned to any active company code in SAP</t>
  </si>
  <si>
    <t>Configure SAP to automatically exclude any asset from the depreciation run once its net‑book value is zero
Introduce a periodic reconciliation between revaluation postings and depreciation runs
Execute a bulk transfer of all stranded assets from Company Code 3542 to their appropriate active company codes in SAP.</t>
  </si>
  <si>
    <t>A request will be sent to corporate fixed assets team to fix assets with negative amount. 
A ticket will be created addressing SAP IT to reconfigure depreciation settings prohibiting calculation of depreciation for negative or zero value assets.
Month end close check list will be updated to validate presence of fixed assets, if any, with negative WDV.
A ticket will be created addressing SAP IT to clean up assets in company code 3542. Simultaneously, a plan for disposal/movement of assets will be initiated, as required.</t>
  </si>
  <si>
    <t>Gloria Carolina Belman, Jr. Controller
Arup Mukherjee, PS Controller
Michael Prashaw, Global IT Manager</t>
  </si>
  <si>
    <t>TEN-1716</t>
  </si>
  <si>
    <t>Scrap Sale</t>
  </si>
  <si>
    <t>REVE-05</t>
  </si>
  <si>
    <t>Absence of agreement and lack of vendor selection process of Scrap Vendor</t>
  </si>
  <si>
    <t>Scrap generated at North Plant Celaya is sold to a single scrap vendor (Desperdicios industrial). The existing scrap vendor is in business with Celaya Plant since year 2017. Daily, scrap vendor reviews market prices and shares the rate proposal to Plant Finance team over email. Scrap vendor picks up the scrap from scrap containers, weighs the scrap and updates the gate pass accordingly.
Tenneco’s plant cannot produce a fully executed contract with its scrap‑recycling customer for either of the last two periods examined.</t>
  </si>
  <si>
    <t>Suspend further scrap shipments until the 2025 contract is fully countersigned; ensure invoices reference the executed agreement number
Implement a scrap auctioning initiative to select the most competitive scrap dealer
The procurement team to vet the monthly rates offered by the scrap dealer</t>
  </si>
  <si>
    <t>The Scrap Agreement for period Jan to Jun 2025 is already signed by both parties covering the Scrap Sales. Additionally, a new practice of bidding process with 3 new suppliers will be started from May 2025 and shall be finished at the end of June 2025.</t>
  </si>
  <si>
    <t>Angel Roberto Altamirano, Plant SCM</t>
  </si>
  <si>
    <t>TEN-1717</t>
  </si>
  <si>
    <t>Reconciliations Supporting</t>
  </si>
  <si>
    <t xml:space="preserve">Incomplete Supporting documents maintained for Balance Sheet Reconciliations
Key elements missing in balance sheet reconciliation policy </t>
  </si>
  <si>
    <t>As per balance sheet reconciliation SOP, adequate supporting documents shall be utilized while preparing balance sheet reconciliations.
Independent supporting documents were not used while preparing reconciliations 
During our review of balance sheet reconciliation process, we noted that in 8 out of 18 samples, FBL3N / FS10N (GL display) dump was attached to substantiate GL balance instead of using independent supporting documents. 
GL to GL reconciliation was done instead of matching GL balance with independent supporting’s.
Further in 3 samples, we noted that incomplete independent supporting documents were used while preparing reconciliations. 
Action plans not available for aged open items
As per balance sheet reconciliation policy, reconciling items should have an ageing of less than 60 days. Further all unreconciled items greater than MXN 4.9 Mn (USD 250K) should be reported to Office of the Chief Accountant
During our review,, we noted 7 out of 18 samples were aged items (&gt; 60 days) amounting to MXN 73 Mn (USD 3.69 Mn) for which action plan, action owner and timeline for closure was not available. 
No evidences were available to substantiate that follow-up, and investigations were conducted for aged items</t>
  </si>
  <si>
    <t>Policy should also prescribe which independent supporting documents required for each category of accounts
Investigation should be conducted for all aged items ageing &gt; 60 days . Actions plans , action owners and timelines should be documented for all aged items. In case action plans are not available or reconciling items could not be ascertained then the same should be classified as unreconciled items
Policy should prescribe independent supporting’s that should be used for each category of GL.
Policy should define each category of GL balance such as what is meant by unreconciled items.
Policy should prescribe methodology to classify GL balance intro reconciled , open items and unreconciled items. 
Standard reconciliation templates should be created for each category of reconciliation (such as bank, sub-ledger, accruals, prepaid) and the same should be annexed in policy.</t>
  </si>
  <si>
    <t xml:space="preserve">A local policy will be created prescribing – “Separate supporting documents to be used for each general ledger category”. “defining each general ledger balance category, including what constitutes unreconciled items”. Further,  a methodology will be formulated to classify the general ledger balance into reconciled, open, and unreconciled items. And the reconciliation template for each category (such as bank, subledger, accruals, prepayment) will be standardized. 
Investigation will be conducted for all aged items ageing  &gt;60 days. Post requisite review, detailed action plan will be formulated to clean up the aged old items.
A local policy will be created prescribing – “Separate supporting documents to be used for each general ledger category”. “defining each general ledger balance category, including what constitutes unreconciled items”. Further,  a methodology will be formulated to classify the general ledger balance into reconciled, open, and unreconciled items. And the reconciliation template for each category (such as bank, subledger, accruals, prepayment) will be standardized. </t>
  </si>
  <si>
    <t>Carolina Espinoza. Sr. Finance Manager
Arup Mukherjee, PS Controller</t>
  </si>
  <si>
    <t>TEN-1718</t>
  </si>
  <si>
    <t>Inventory Physical Verification</t>
  </si>
  <si>
    <t xml:space="preserve">Discrepancies noted in Inventory as per Physical Stock Vs SAP </t>
  </si>
  <si>
    <t>As per Physical Count Policy,
A complete full physical inventory verification must be performed at least once each calendar year.
To perform cycle counts, a location must meet the requirements of one of the following tow alternatives – ABC Cycle Counting and Row Audit Cycle Counting.
Inventory team at Celaya plant performed Annual Physical Inventory (API) verification on 19th December 2024. Additionally, we independently selected 30 samples during plant visit and performed a physical count of inventory at Celaya North Plant warehouse on 15th April 2025.
During physical count of 30 sample inventory items (raw materials, finished goods and CWIP) at the North Plant (Celaya), with a total book value of MXN 5.3 Mn (USD 273K), we noted:
7 items (MXN 1.7 Mn (USD 87K)) recorded in SAP but not found in the warehouse.
1 item (MXN 69K (USD 3.5K)) located in a different warehouse zone than SAP records.
1 item (MXN 95K (USD 4.8K)) under‑recorded in SAP (SAP: 4,000 units; physical: 5,500 units).
1 item MXN 690K (USD 35K) over‑recorded in SAP (SAP: 1,948 units; physical: 1,026 units)</t>
  </si>
  <si>
    <t>Enhance Location Controls: Update warehouse bin‑location mapping in SAP, require staff to scan bin and item barcodes at receipt, put‑away and picking
Educate/Train staff to record movement of inventory accurately in SAP on a real time basis.
Inventory team shall investigate the differences and shall perform necessary adjustments.</t>
  </si>
  <si>
    <t>As a practice, physical verification of critical inventory items will be conducted on a monthly basis. Items with major discrepancies will be investigated and requisite corrective action will be taken to sort out the differences.</t>
  </si>
  <si>
    <t>Cesar Arturo Olvera, Plant Warehouse Manager</t>
  </si>
  <si>
    <t>TEN-1719</t>
  </si>
  <si>
    <t>Inventory Reserve</t>
  </si>
  <si>
    <t>Non-compliance to Excess and Obsolete (E&amp;O) Reserve Policy</t>
  </si>
  <si>
    <t>As per Excess and Obsolete (E&amp;O) reserve policy, Inventory shall be reserved based on the following criteria:
Automotive OE parts must be reserved at 100% if the amount on-hand exceeds one (1) year historical usage (100% of the portion more than the historical usage).
Non-automotive OE parts and OES parts must be reserved at 100% if the amount on-hand exceeds two (2) years historical usage (100% of the portion more than the historical usage).
New parts cannot be entirely excluded from the analysis. However, if a part has been introduced or reintroduced within the last one or two years (for automotive OE parts or non-automotive OE parts/OES parts, respectively), future demand may be considered. The total usage/demand calculation cannot exceed one or two years, respectively.
During review of E&amp;O Inventory Reserves calculation prepared for Q1 2025 (Total Reserve - MXN 54 Mn (USD 2.7 Mn), Material Count - 9797) by inventory team at North Plant Celaya, we noted:
Short reserve of approximately MXN 1 Mn (USD 52K) is created for 49 Materials.
Excess reserve of approximately MXN 77K (USD 3,882) is created for 1 Material.</t>
  </si>
  <si>
    <t>Standard methodology must be defined and adopted to determine thresholds and ageing buckets for identifying excess/obsolete items.
Institute a two-tier review - Require a secondary sign-off (e.g., Inventory Manager and Finance Controller) on the E&amp;O schedule, with a reconciliation of total reserve movements.</t>
  </si>
  <si>
    <t>A corporate excess and obsolete reserve policy exists and is documented as part of the Inventory accounting policy.
In order to prevent errors the quarterly analysis will be reviewed in conjunction with the materials management area to prevent errors and or omissions.</t>
  </si>
  <si>
    <t>TEN-1720</t>
  </si>
  <si>
    <t>Employee Master Data</t>
  </si>
  <si>
    <t>PAYR-23</t>
  </si>
  <si>
    <t>Payroll processed for 2 employees with duplicate bank accounts</t>
  </si>
  <si>
    <t>During onboarding, HR updates creates a profile of a new hire in SuccessFactors (HRIS) and updates new-hire data in the employee profile in SuccessFactors, which automatically synchronizes with SAP for payroll processing.
During review of employee master (for inactive employees) as on 26th March 2025 and its reconciliation with payout data in SAP (for sample outliers identified basis analytics), we noted:
The same bank-account number was appearing in employee master for 2 terminated hourly employees. Further, we obtained bank transfer screenshots from SAP for both employees and noted that payroll of MXN 3,460 was processed to both employees in January 2021 payroll.
On further enquiry with HR team, we noted 1 out of the 2 employees no longer had an active profile in SuccessFactors (but had an active profile in SAP payroll register), indicating that their master-data was not properly updated upon termination. 
On further review of employee master as on 26th March 2025, we noted incomplete details of employees entered in SAP such as:
Blank Social Security Number (SSN) - 21 employees
Blank Bank Account Number - 273 employees
Lack of formal review or validation for new‑hire data updated in SuccessFactors.</t>
  </si>
  <si>
    <t>Configure SuccessFactors to trigger an automatic termination lock in the payroll system, preventing pay runs for departed staff.
Institute a monthly reconciliation of Employee Master, HRIS profiles and payroll rosters to identify and resolve discrepancies.</t>
  </si>
  <si>
    <t>1. System Implementation and Historical Data: Success Factors (SF) was implemented in September 2022. Employees who were terminated before that date were not migrated into SF, which explains the presence of inactive profiles in SAP but not in SF. This context will be documented and communicated to clarify the scope of the issue.
2. Quarterly Payroll Master Data Review: A quarterly review of Payroll Master Data is already in place and has proven effective in identifying and correcting inconsistencies. As evidence of its effectiveness, only one duplicate record has been detected since 2021. This control will continue to be executed and documented as part of the internal control framework.
3.Feasibility Review for Duplicate Bank Account Validation in SF: A feasibility review will be initiated to explore the implementation of a control in SuccessFactors that prevents saving duplicate bank account numbers across employee profiles.</t>
  </si>
  <si>
    <t>Cuauhtemoc Morales, HR Generalist</t>
  </si>
  <si>
    <t>TEN-1721</t>
  </si>
  <si>
    <t>Scheduling Agreements</t>
  </si>
  <si>
    <t>SOD conflict in approval of Scheduling Agreements</t>
  </si>
  <si>
    <t>Creation request for Scheduling Agreements (created for Direct Materials only) are raised in SharePoint by the Procurement Team. All requests are approved in SharePoint prior to creation of a Scheduling Agreement in SAP.
During our review of the SharePoint‑based Scheduling Agreement (SA) approval process for Direct Materials, we noted that the Procurement Team manually selects approvers for new requests and modifications—no automated, role‑based approval workflow is defined.
Furthermore, end‑users (rather than the Procurement Team) are responsible for identifying new vendors and obtaining quotations, resulting in a lack of segregation of duties and oversight</t>
  </si>
  <si>
    <t>Configure SharePoint to enforce a predefined, role‑based approval flow for all new SA requests and modifications
Define and document clear roles—assign vendor identification and quotation collection exclusively to the Procurement team and restrict users from sourcing vendors.</t>
  </si>
  <si>
    <t>SharePoint will be reconfigured to include only the users with approval rights &amp; restrict the balance users from approval rights if any.
The above restriction will ensure only the users with authorized rights to approve modification in SharePoint.</t>
  </si>
  <si>
    <t>Luis Felipe Mijangos, Plant Sr. SCM,
Arup Mukherjee, PS Controller
Michael Prashaw, Global IT Manager</t>
  </si>
  <si>
    <t>TEN-1722</t>
  </si>
  <si>
    <t>Vendor Master</t>
  </si>
  <si>
    <t>Absence of Periodic Review/Approval of Vendor Master Modifications</t>
  </si>
  <si>
    <t xml:space="preserve">Request for vendor code creation/ modification is raised by the Procurement Team via SharePoint. Once approved, the vendors are created in SAP instance PTAx by the Vendor Master Team (based out of United States). 
During our walkthrough of vendor code creation/ modification process, we noted that for Direct Materials the commodity buyer/ procurement team can directly update vendor master data fields (address, contact number, email) without any system‑enforced approval. 
Likewise, no approval workflow exists for vendor code creation, modification (Bank Change Request (BCR)/Term Change Request (TCR)), blocking or deletion—even changes to bank and payment‑term details are affected by the vendor‑master team and merely communicated via email, with no documented authorization.
Moreover, there is no modification log maintained/ monitored for all changes made to vendor master, BCR and TCR. </t>
  </si>
  <si>
    <t>Enforce Dual‑Control Workflows: Configure SAP to require at least one independent approver for all vendor‑master changes (including new codes, modifications, blocking/deletion)
Periodic Vendor‑Master Review: Conduct quarterly audits of all vendor‑master changes and reconciliations against a baseline report, escalating any unauthorized updates.</t>
  </si>
  <si>
    <t>Rights to edit/update vendor master data fields shall be restricted and limited to only designated personnels. Furthermore, approvals shall be documented in case of any change in vendor master data fields.
Periodic quality checks/review will be performed on all vendor master changes</t>
  </si>
  <si>
    <t>TEN-1723</t>
  </si>
  <si>
    <t>Payroll Disbursement</t>
  </si>
  <si>
    <t>Lack of encryption on bank file and lack of maker checker process for bank file review on bank portal</t>
  </si>
  <si>
    <t>Currently payroll team processes payroll (weekly for hourly and bi-weekly for salaried employees) in SAP PTAx which generates a bank file (txt file) at the end of payroll run. There are currently 2 joint bank accounts (Bank account numbers - 1000162447 &amp; 1000198823) of Citi which are used for employee payroll processing and supplier payments.
During our January 2025 payroll-to-bank review, we found that the payroll team both generates and uploads the SAP-PTAx bank file on the Citi portal—and self-reviews it prior to disbursement. Moreover, the file is transmitted in clear text, without encryption or password protection.</t>
  </si>
  <si>
    <t>Document and enforce a “maker–checker” policy that separates file preparation (Payroll) from approval and execution (Treasury).
Delegate bank-file upload and payment authorization exclusively to the Treasury team.
Mandate encryption or secure delivery of payroll files; prohibit clear-text transfers</t>
  </si>
  <si>
    <t>Starting June 2025, Treasury will be responsible for uploading payout file directly on the bank portal. Furthermore, payout file will be password protected to ensure additional security.</t>
  </si>
  <si>
    <t>Mario Gudino, Payroll Manager</t>
  </si>
  <si>
    <t>TEN-1724</t>
  </si>
  <si>
    <t>Fixed Assets Verification</t>
  </si>
  <si>
    <t>Discrepancies noted in Fixed Assets as per Physical Count Vs SAP</t>
  </si>
  <si>
    <t>As per Fixed Assets policy, 100% verification of Fixed Assets must be completed once in every 5 years. 
Physical verification of Fixed Assets was last conducted at Celaya plant in 2021. The next physical count of Fixed Assets is due in 2026.
During our Physical Verification of 30 Fixed Assets samples conducted on 16-Apr-25, we noted the following anomalies:
Assets not found physically – 2 assets having current book value (USD -3K) were available in the Fixed Assets Register, but not traceable physically in the plant.
Assets found physically, but not in books – Noted 9 RFD Scanners which were found physically, however, the same were not traceable in the Fixed Assets Register.
Noted 1 asset where the asset tag was missing and hence could not be reconciled with the Fixed Assets Register.</t>
  </si>
  <si>
    <t>Enhance Location Mapping Controls: Update real time location for inter/intra plant movements in SAP.
Perform a periodic review to ensure asset tags are pasted on each fixed asset and initiate corrective actions for discrepancies, as required.</t>
  </si>
  <si>
    <t>We will investigate further for the short/ excess Fixed Assets found, and take corrective action
Fixed assets physical inventory will be executed in Q1 2026 basis the policy guidelines and requisite corrective actions for updating physical locations in SAP will be initiated.
Furthermore, necessary instructions and guidelines will be provided to Plant staff for compliances around asset movement.
Additionally, a periodic review for sample asset movements will be conducted to prevent tagging of incorrect locations in Fixed Asset Register (FAR).</t>
  </si>
  <si>
    <t>Gloria Carolina Belman, Jr. Controller</t>
  </si>
  <si>
    <t>TEN-1725</t>
  </si>
  <si>
    <t>Physical Security Controls</t>
  </si>
  <si>
    <t>Weaknesses noted in the plant’s physical security controls</t>
  </si>
  <si>
    <t>During our physical visit at Celaya North Plant, we visited security checkpoints (dated 28th March 2025) and reviewed the gate entry and exit process. 
Vehicle entry bypasses screening – Salaried employees driving in through the main gate were not subject to bag or body checks; only vehicles were visually inspected
Partial metal‑detector coverage - Walk‑through detectors were installed solely at the hourly‑employee pedestrian gate; salaried employees and all visitors enter un‑screened
Insufficient CCTV at entry points - Only 2 cameras cover the salaried‑employee entrance; no cameras monitor hourly‑employee entry/exit lanes.
Non‑functional cameras in high‑risk zones - 6 of 64 cameras (9 %) were inoperative—located in the Finished‑Goods inventory and shipping yard, areas with high theft/pilferage risk.</t>
  </si>
  <si>
    <t>Install vehicle‑gate guard booths with handheld metal detectors and configure walk‑through detectors at all pedestrian entrances, including salaried and visitor lanes
Restore &amp; Expand CCTV Coverage: Repair/replace the six inoperative cameras and add cameras to cover hourly‑employee entry/exit lanes; integrate feeds into the central monitoring room</t>
  </si>
  <si>
    <t>A new practice for entry and exit to plant premises will be implemented, by ensuring visitors and employees’ entry/exit will be done through the metal detectors.
Additionally, all cars/vehicles entering/exiting the premises will be screened while reviewing the current security assessment with external service provider.</t>
  </si>
  <si>
    <t>Sergio Jair Guzman, EHS Manager</t>
  </si>
  <si>
    <t>TEN-1726</t>
  </si>
  <si>
    <t>Standard Operating Procedures</t>
  </si>
  <si>
    <t>Policies - Not Updated / Does not exist</t>
  </si>
  <si>
    <t>Absence of Standard Operating procedures (SOPs)</t>
  </si>
  <si>
    <t>SOPs were available for Cash and Bank, Payroll and Inventory. SOPs for the following areas were not available:
Production
Maintenance
EHS
Physical security
Sales order creation
Scrap
Further we noted, key elements were missing in existing SOPs such as DOA Matrix, RACI Matrix, Key controls, KPI/SLAs, Key MIS &amp; reporting framework</t>
  </si>
  <si>
    <t>Benchmark SOPs against industry best in class standards: Standard Operating procedures (SOPs) should be modified to include all the key elements 
Create SOPs for key areas , train employees and implement usage</t>
  </si>
  <si>
    <t xml:space="preserve">Will work with other Tenneco plants and leverage the format to draft SOP’s for each process. </t>
  </si>
  <si>
    <t>Hector Casas, Plant Controller</t>
  </si>
  <si>
    <t>Wiesbaden</t>
  </si>
  <si>
    <t>Scrap Sales</t>
  </si>
  <si>
    <t>Wiesbaden - Full Scope 2025</t>
  </si>
  <si>
    <t>09/04/2025</t>
  </si>
  <si>
    <t>Master Data Review</t>
  </si>
  <si>
    <t>TEN-1730</t>
  </si>
  <si>
    <t>Personal Data Archives</t>
  </si>
  <si>
    <t>Failure to take into account the timely deletion of personal data in the human resources department</t>
  </si>
  <si>
    <t>HR department archives personal data in paper form in a file that is not regularly checked to determine which documents must be deleted/destroyed due to legal requirements. In Detail: documents stored in the file must be deleted within the specified time limits (even if the employee is still active). Examples:
• 4 years: performance reviews, warnings, police clearance certificates,
• 6 years: social security statements, parental leave certificates, personal data of temporary employees
• 10 years: approvals for secondary employment, termination agreements, notices of termination
• 30 years: pension obligations, employee contracts in the event of legal disputes (legal background: Article 17, GDPR). The data must then be deleted or destroyed in accordance with data protection regulations. It does not matter whether the data is in analog or digital form or how it is destroyed. The decisive factor is that it is removed completely, traceably, and securely. The maximum penalty for violations of the GDPR, such as failure to delete personal data within the prescribed period, can be up to $20 million or 4% of the company's global annual turnover, whichever is higher.
Additional notes: Retention periods may vary due to collective agreements or company agreements. The retention obligation also applies to electronic personnel files.</t>
  </si>
  <si>
    <t>1. Efficient, long-term, and flexible deletion of personal data requires the implementation of an electronic personnel file with clearly defined deletion periods
2. Ensuring that data is permanently deleted in accordance with GDPR
3. When scanning existing personnel files, destroy any documents that are no longer relevant</t>
  </si>
  <si>
    <t>1. There is no budget available for the introduction of an electronic personnel file actually. Neither on a company level or on plant.
2. A new process will be defined. The personnel files (paper) have to be checked until end of Q1 every year for the last year. A responding check list will be maintained.
3. This should ensure that individual subfolders will be check timely and then lead to correct deletion.</t>
  </si>
  <si>
    <t>Andreas Bär, Human Resources Manager
Matthias Millers, Exec Director, EMEA</t>
  </si>
  <si>
    <t>TEN-1731</t>
  </si>
  <si>
    <t>Tres Coracoes</t>
  </si>
  <si>
    <t>Vendor Management</t>
  </si>
  <si>
    <t>Tres Coracoes - Full Scope 2025</t>
  </si>
  <si>
    <t>Non-compliance with the purchasing policy and procedures</t>
  </si>
  <si>
    <t>From the listing of the top ten locally sourced vendors, we selected one purchase order for each vendor and requested the supporting documentation such as: Request for Quotation (RFQ), Competitive quotations (bids), Purchase Order and Invoice.
IA analyzed the sample (10 items with total R$ 1.5m around US$ 253k), and found the following gaps:
• A supplier (WELINGTON THIAGO MARQUES) lacked any evidence of bids or contract, with plant manager at the time (Emerson Filipin) bypassed established internal controls. Over seven months (February 24 to August 24), the supplier received R$34k per month totaling R$279k(~US$56k) for consultancy services purportedly aimed at improving productivity.
• For nine other items in the sample, we received proper evidence for only one supplier (TRIGO BRASIL). For five items (R$1.2m around US$ 212k), we did not receive competitive bids, only the approved quotation. For the remaining three items, bids were not applicable as the purchase orders pertained to electricity payments.
• Analytics from July to December 2024 revealed that Bona, Sodexho, Alcar, and Minas Verde issued purchase orders retroactively due to a team oversight in not creating the POs in advance. The total invoice amounts received prior to PO approval was approximately US$88k.</t>
  </si>
  <si>
    <t>1. Oversee and implement supplier contractual formalization to ensure compliance and operational alignment. 
2. Establish a centralized document management system and clearly assign responsibility for maintaining procurement records at each stage of the process. 
3. Standardize procurement workflows with clear roles, responsibilities, and escalation paths.</t>
  </si>
  <si>
    <t>1) New goods receiving/PO cross check process – Block of goods/PO during receiving action.
2) Escalation process to evaluate (approval: Yes or No) root cause by case and provide actions.
3) Disclosure of Purchasing Policy and reinforce this topic.
4) Review and implement contractual formalization for suppliers in TC.</t>
  </si>
  <si>
    <t>Camila Lido, Sr. Manager Purchasing</t>
  </si>
  <si>
    <t>TEN-1734</t>
  </si>
  <si>
    <t>Absence of scrap sales contracts in Tres Coracoes</t>
  </si>
  <si>
    <t>Overproduction in 2024 (shown in table below) led to scrap in excess of ~US$ 400k between Nov and Dec 2024. In 2024, 18,838 kg of noble scrap (sucata nobre) were sold, and 67,081 kg of non noble scrap (sucata não nobre) were sold. "Noble" refers to higher-value or higher-quality materials and "Non-noble" refers to lower-value or contaminated materials. This corresponds to an average of 6,279 kg/month for 'noble' scrap and 13,416 kg/month for 'non noble' scrap. In terms of revenue, this amounted to R$174k (~US$ 29k) and R$134k (~US$ 22k) respectively, with monthly averages of R$58k (~US$ 9,6k) and R$27k (~US$ 4,5k).
• Scrap levels at the Três Corações plant are approximately 50% higher than the average across other powertrain facilities, primarily due to weak controls and deficiencies in the demand planning process in 2024. The valve V77637M0-4030 (WIP), originally produced for Volkswagen, represented the highest scrap cost of the year due to excess inventory, following the loss of the business to a competitor.
Subsequently, a commercial agreement was reached to sell the remaining stock to Apex at a 50% discount.
• Due to the existence of only one available supplier (Villares), a competitive bidding process is not feasible. Nevertheless, a quotation process was carried out and the approval was documented via email.
• As discussed with the Purchasing Team and the Purchasing Director, there is no formal contract in place for scrap sales in Brazil.</t>
  </si>
  <si>
    <t>1.Define a standardized, cross-functional demand planning process involving Sales, Operations, and Finance.
2. Formalize contractual agreements with the sole supplier that clearly define terms, pricing, service levels, and responsibilities.
These contracts should be duly signed and approved by the appropriate authorization levels and securely stored to ensure accessibility for future reference.</t>
  </si>
  <si>
    <t>1) Formalize scrap sales process and nominated responsibilities
2) Formalize contractual agreement.</t>
  </si>
  <si>
    <t>PEFR-78</t>
  </si>
  <si>
    <t>Fernando Bizerra, Financial Controller/ Adriana Ramos, Financial Controller</t>
  </si>
  <si>
    <t>C, E/O</t>
  </si>
  <si>
    <t>TEN-1741</t>
  </si>
  <si>
    <t>Policy &amp; Procedures</t>
  </si>
  <si>
    <t>Gap in SOPs</t>
  </si>
  <si>
    <t>• There is a document containing process narratives for processes such as Purchasing, Receiving, New Vendors, Payments, Reconciliation, HR, Financial Closing, Inventory, Shipments, Sales, and Treasury. However, it only includes control references and basic process descriptions, lacking critical elements such as KPIs, SLAs, policy references, RACI matrices, defined process owners, and process flowcharts.
• Each business unit is accountable for maintaining and updating its own Standard Operating Procedures (SOPs). However, due to current resource constraints and limited team capacity, this activity has not been prioritized.</t>
  </si>
  <si>
    <t>1. Update process narratives for all critical operations to include KPIs, RACI, SLAs, policy references and flowcharts.
2. Define clear ownership and accountability for SOP lifecycle management.
3. Establish a review cycle (e.g., annually or after major process changes) to keep SOPs current and relevant.</t>
  </si>
  <si>
    <t>Update process narratives to include KPIs, RACI, SLAs, and policy references where practical.</t>
  </si>
  <si>
    <t>TEN-1742</t>
  </si>
  <si>
    <t xml:space="preserve">Background: All locations were required to complete self-testing by July 31, 2025. However, the self-testing was not completed for the year 2025 and neither an extension was requested. 
Risk: Absence of self-evaluation of controls increases risk of non-compliance of applicable controls.  </t>
  </si>
  <si>
    <t xml:space="preserve">Self-testing for 2026 will be completed as per corporate directed timelines. </t>
  </si>
  <si>
    <t>Munish Kashyap (Executive Finance Director)</t>
  </si>
  <si>
    <t>09/05/2025</t>
  </si>
  <si>
    <t>TEN-1743</t>
  </si>
  <si>
    <t>Argentina Aftermarket</t>
  </si>
  <si>
    <t>Background: All locations were required to complete self-testing by July 31, 2025. However, the self-testing was not completed for the year 2025 and neither an extension was requested. 
Risk: Absence of self-evaluation of controls increases risk of non-compliance of applicable controls.</t>
  </si>
  <si>
    <t>Self-testing for 2026 will be completed as per corporate directed timelines.</t>
  </si>
  <si>
    <t>Jorge Coccozzella (Plant Controller)</t>
  </si>
  <si>
    <t>TEN-1744</t>
  </si>
  <si>
    <t>Argentina Bearings and Pistons</t>
  </si>
  <si>
    <t>TEN-1745</t>
  </si>
  <si>
    <t>Angola</t>
  </si>
  <si>
    <t>Greg Goudeseune (Plant Controller)</t>
  </si>
  <si>
    <t>TEN-1746</t>
  </si>
  <si>
    <t>Leasing Center of Excellence</t>
  </si>
  <si>
    <t>Leases</t>
  </si>
  <si>
    <t>Lease Impairment</t>
  </si>
  <si>
    <t>LEAS-10</t>
  </si>
  <si>
    <t>(Leasing) (Corporate) - Management Self-Testing 2025</t>
  </si>
  <si>
    <t>Leased assets are not reviewed for possible impairment</t>
  </si>
  <si>
    <t>This control requires active communication from executive management to the lease team regarding plant closures.  With the plant closure in Australia there was a gap in communication.  PwC Australia instructed the plant to impair the lease in their statutory books however they did not impair at the US GAAP level.</t>
  </si>
  <si>
    <t>Lease accounting proposes that this control is redesigned to be included in the controls matrix at the regional level.  Plant closures are typically confidential and lease accounting is not privy to this information until closer to the public announcement.  Lease accounting will implement an additional checklist to send to regional controllers each quarter in order to verify that impairments have been provided to us.</t>
  </si>
  <si>
    <t>Michael Pangrazzi, Global Techinal Accounting Director &amp;
 Kevin Diegel, SNR Accounting Manager</t>
  </si>
  <si>
    <t>09/18/2025</t>
  </si>
  <si>
    <t>Lease Identification</t>
  </si>
  <si>
    <t>LEAS-01</t>
  </si>
  <si>
    <t>C, E/O, R&amp;O</t>
  </si>
  <si>
    <t>Lease Accounting Completeness</t>
  </si>
  <si>
    <t>LEAS-09</t>
  </si>
  <si>
    <t>Mogi Mirim (Clean Air)</t>
  </si>
  <si>
    <t>South America (Clean Air)</t>
  </si>
  <si>
    <t>Time Recording</t>
  </si>
  <si>
    <t>(MOGI MIRIM) (Clean Air)  - Management Self-Testing 2025</t>
  </si>
  <si>
    <t>Marcos Castro, Controller</t>
  </si>
  <si>
    <t>Consolidation</t>
  </si>
  <si>
    <t>TEN-1755</t>
  </si>
  <si>
    <t>Financial Statement Presentation and Disclosures</t>
  </si>
  <si>
    <t>PEFR-45</t>
  </si>
  <si>
    <t>Financial statements (2024) are not yet reviewed by External Auditor</t>
  </si>
  <si>
    <t>The 2024 Annual Financial Statements are still under analyses by the External Audit.</t>
  </si>
  <si>
    <t>The External Audit of the Annual Financial Statements is expected to be completed by September 30th. The matter will be referred to Internal Audit after September 30th.</t>
  </si>
  <si>
    <t>P&amp;D</t>
  </si>
  <si>
    <t>TEN-1756</t>
  </si>
  <si>
    <t>(Wiesbaden) (Powertrain)  - Management Self-Testing 2025</t>
  </si>
  <si>
    <t>Physical verification of PPE was not performed as per policy</t>
  </si>
  <si>
    <t xml:space="preserve">A complete physical inventory of the fixed assets has not been performed in the last years. </t>
  </si>
  <si>
    <t>Instructions for a physical inventory has been sent out to cost center managers on June 18, 2025</t>
  </si>
  <si>
    <t>Axel Korn, Plant Finance Leader</t>
  </si>
  <si>
    <t>TEN-1758</t>
  </si>
  <si>
    <t>Blacksburg</t>
  </si>
  <si>
    <t>(Blacksburg) (Powertrain)  - Management Self-Testing 2025</t>
  </si>
  <si>
    <t>An asset physical inventory should be performed every five years. This is the corporate policy for asset inventory The asset inventory was last performed in 2018. We have not completed an asset physical inventory since this date, putting us out of compliance with this policy so the plant is going to close this finding ASAP before Q4 2025 close.</t>
  </si>
  <si>
    <t xml:space="preserve">The facilities Engineer and Cost accountant are currently performing a Complete physical inventory of all the Land &amp; Buildings, improvements and Fixtures, Machinery and Equipment, Computer hardware and automobiles considered as Tenneco Owned PP&amp;E to verify the Existence, Physical location, use and condition of all Asset Items.  </t>
  </si>
  <si>
    <t>Clayton Brown, Plant Manager
Eric Bill, Facilities Engineer
Rudy Reyes, Plant Finance Leader
Marissa Barbieri, Accountant</t>
  </si>
  <si>
    <t>Adjustments &amp; Period-end Close for Payroll</t>
  </si>
  <si>
    <t>Production and Costing</t>
  </si>
  <si>
    <t>PINV-49</t>
  </si>
  <si>
    <t>Review evidence not retained</t>
  </si>
  <si>
    <t>TEN-1761</t>
  </si>
  <si>
    <t>(Regional Aftermarket - NAM (Excludes Mexico)) (Regional Aftermarket - SAM) (AFFINIA (Excluding NAPD) / Southfield APS) (DRiV)   - Management Self-Testing 2025</t>
  </si>
  <si>
    <t>We could not verify the confirmation took place</t>
  </si>
  <si>
    <t>To remediate this we will work with the leasing team to identify the proper contacts and re-establish the former cadence of confirming the leases.</t>
  </si>
  <si>
    <t>Michael Kurinsky, Senior Accounting Manager
Erion Kola, FP&amp;A Manager</t>
  </si>
  <si>
    <t>TEN-1762</t>
  </si>
  <si>
    <t>PINV-44</t>
  </si>
  <si>
    <t>Process to review inventory adjustments over $500 USD not in place</t>
  </si>
  <si>
    <t>Process not in place to approved inventory adjustments over $500 USD</t>
  </si>
  <si>
    <t>Same approval process from Felpro will be implemented</t>
  </si>
  <si>
    <t>Varsha Manghnani, Distribution Center Senior Analyst</t>
  </si>
  <si>
    <t>Adjustments &amp; Period-end Close for Purchasing &amp; payables</t>
  </si>
  <si>
    <t>Unapproved Payments</t>
  </si>
  <si>
    <t>Sep</t>
  </si>
  <si>
    <t>Top Issue Themes basis issue classifications</t>
  </si>
  <si>
    <t>Kevin Peterson, Director Tax Reporting &amp; Audits</t>
  </si>
  <si>
    <t>Sept 30, 2025  SAP P&amp;L EBIT and BS details need to be updated for new accounts added in prior years.  Need IT support for review of report and programming of our SAP RP2 system.  IT support originally obtained backed out and we have been without IT support, but a contractor was finally secured starting 9/29/2025.  We will meet on 10/1/2025 to identify SAP RP2 updates needed.  The IT contractor will then identify the programming updates to t completed.   Tentatively should be updated and resolved by 10/31/2025.</t>
  </si>
  <si>
    <t xml:space="preserve">Sept 30, 2025   Worked with IT to identify current roles.  IT determined they would not be creating any new roles in SAP RP2 system due to obsolescence of system and lack of programming support,  Controller was provided list of all roles by employee.  Will further request that the employees' roles be compared to the SOD and CT system used when establishing new employee security.  Once this is completed, we will request either specific roles to be removed and/or adding new CT risk mitigations, to be identifed as needed.  Plan is to complete by Oct. 31, 2025. </t>
  </si>
  <si>
    <t xml:space="preserve">For this Control need the  extension  till December 2025 due to  Year end  we  perform  wall to wall Inventory by  locking the  ERP user lock and tag properly  </t>
  </si>
  <si>
    <t>This   is not related with SPG. So need to removed  from SPG Audit list and  report in PT</t>
  </si>
  <si>
    <t>At Global level SPG  SAP Security  team is working on the SOD and  fixed it soon</t>
  </si>
  <si>
    <t>Inventory - Scrap recording delays / Contracts &amp; Sale process not per policy</t>
  </si>
  <si>
    <t>Periodic reviews not performed as per policy</t>
  </si>
  <si>
    <t>TEN-1770</t>
  </si>
  <si>
    <t>Order/ Purchasing</t>
  </si>
  <si>
    <t>Santo Andre - Powertrain - Full Scope 2025</t>
  </si>
  <si>
    <t>Several prices for same material</t>
  </si>
  <si>
    <t>Between January and March 2025, a review of purchase order (PO) data analytics noted that the same material was being purchased at varying prices across different POs. This raised concerns about pricing consistency, potential control gaps, and data integrity within the procurement process. To better understand the underlying causes, 16 cases were analyzed, where 9 revealed the following findings:
• 5 items are related to supplier ALCAR, which has interface issues between Mercado Eletrônico (ME) and SAP. It was verified that the amounts in ME and the invoices match, but SAP does not reflect this accurately.
• 2 material codes had purchase orders initially raised with incorrect information. A second PO was created with the correct details, but the original PO was neither deleted nor canceled.
• 2 material codes were used as generic material codes in SAP (ME0000638 and ME0003147), while the corresponding invoices list distinct products. For example:
o ME0000638 is used to identify both "QUADRO MAGNÉTICO A4" and "EXPOSITOR FORMATO A4 - MAGNÉTICO" (A4 Magnetic Board and A4 Format Magnetic Display Holder)
o ME0000638 is used to identify both "CONTROLADOR POTENCIA P501 3F 150A+RETRANS 0A10V" and "CONTROLADOR POTENCIA P501 2F 200A" (Power Controller P501 3-Phase 150A with 0–10V Retransmission and Power  Controller P501 2-Phase 200A)</t>
  </si>
  <si>
    <t>1. Reconfigure interface to fix the integration problem between SAP and ME 
2. Create SOPs for all critical operational tasks, especially those involving cross-functional processes and store all SOPs in a centralized, easily accessible digital repository.
3. Structured enhancement of the Material Master data to incorporate detailed classification and invoice mapping, ensuring that each invoice line item can be uniquely and accurately linked to its corresponding material code in SAP</t>
  </si>
  <si>
    <t>1. Fix interface between ME and SAP – Complete as of June 2025.
2. Improve SOPs to include instructions about approvals.
3. Reinforce training for the team to avoid approving requisitions and purchase orders using generic codes.
4. Assess the capabilities of Mercado Eletrônico to determine whether it can generate alerts for mismatches.</t>
  </si>
  <si>
    <t>Flavio Cadan (Purchasing Supervisor) / Fernando
Bizerra (Plant Finance Lead)</t>
  </si>
  <si>
    <t>09/23/2025</t>
  </si>
  <si>
    <t>TEN-1771</t>
  </si>
  <si>
    <t>From the list of the top ten locally sourced vendors, one purchase order was selected for each vendor. For each, supporting documentation was requested, including: Request for Quotation (RFQ), competitive bids, purchase order, and invoice. A sample of 10 items, totaling approximately R$1.6m (~US$ 273k), was tested based on the defined procedure, which involved selecting one purchase order from each of the top 10 vendors. The total population consisted of 127 purchase orders, amounting to $5,9m. The following gaps were identified during the review:
• 5 samples were contracts processed through Mercado Eletronico (an electronic bidding and contracting platform), but no historical quotation data was available for the time the contracts were signed. POs total amount was  $ 424k (~US$ 74k).
• 1 item without a bid because it is a "Programa Remessa", which is a form of purchase, the prices are agreed every month by email with the supplier (Villares).</t>
  </si>
  <si>
    <t>1. Create standardized SOP templates to ensure consistency across departments and store SOPs in a centralized, accessible location.
2. Conduct quarterly audits of high-value POs to verify the presence of RFQs, bids, and approvals.
3. Establish a log of all procurement exceptions with justifications and approvals</t>
  </si>
  <si>
    <t>1. New goods receiving/PO cross check process – Block of goods/PO during receiving action.
2. Escalation process to evaluate (approval: Yes or No) root cause by case and provide actions.
3. Disclosure of Purchasing Policy and reinforce this topic.
4. Review and implement contractual formalization for suppliers in SA.</t>
  </si>
  <si>
    <t>Camila Lido (Purchasing Senior Manager)</t>
  </si>
  <si>
    <t>TEN-1773</t>
  </si>
  <si>
    <t>Absence of scrap sales contracts in Santo Andre</t>
  </si>
  <si>
    <t>There is no formal contract in place for all three scrap vendors (Villares, Orinox, and Cronimet).
The plant measures scrap in kilograms (kg). Once the minimum quantity is reached — based on criteria related to freight cost — the buyer is responsible for collecting the material directly from the plant and covering the transportation costs. The materials are initially weighed at the plant and later confirmed by the buyer. The price per kilogram is agreed via email, although ideally, this agreement should be formalized through a contract. In 2024, 105,121 kg of scrap were sold which corresponds to an average of 8,760 kg/month. In terms of revenue, this amounted to R$1.3m (~US$ 223k), with monthly average of R$111k (~US$ 18k).
In 2025, from January to April, 27.837 kg of scrap were sold, which corresponds to an average of 6.959 kg/month. In terms of revenue, this amounted to R$295k (~ US$50k), with monthly average of R$80k (~US$ 13k). There are 10 types of metal scrap in Santo André due to differences in material purity. The prices range from R$1.90/kg (~US$0.32/kg) to R$41 (~ US$6.83/kg).</t>
  </si>
  <si>
    <t>1. Develop and formalize SOPs for managing scrap contracts, including responsible roles, documentation requirements and policy reference.
2. Formalize contractual agreements between Powertrain plants in Brazil with suppliers that clearly define terms, pricing, service levels, and responsibilities. These contracts should be duly signed and approved by the authorized levels.
3. Develop and implement a structured training and awareness program for all relevant staff.</t>
  </si>
  <si>
    <t>1. Formalize scrap sales process and nominate responsibilities.
2. Formalize contractual agreement.
3. Perform trainings.</t>
  </si>
  <si>
    <t>TEN-1774</t>
  </si>
  <si>
    <t>Master Data Management</t>
  </si>
  <si>
    <t>Inaccuracy of material master records</t>
  </si>
  <si>
    <t>An analysis was performed on the material master data, covering both direct and indirect materials, to identify potential duplications based on identical descriptions or codes. The review revealed that approximately 40% of the material codes are being used inaccurately, indicating a high volume of identical material descriptions for different codes. The key findings from this analysis are summarized below:
1) 20,367 materials are registered in SAP.
2) 11,925 unique combinations of codes and descriptions were identified.
3) 8,445 materials were found where a single description is associated with multiple codes.
*For example, the description "ACO SILCROME 1" appears under 34 different material codes, and 22 of those have stock or associated costs.
**For example, the description "FORMA DE CUNHAGEM" appears under 555 different material codes, of which 156 have stock or associated costs.
This inconsistency leads to inaccurate inventory tracking, inflated stock valuation, inefficient procurement and planning, increased risk of stockouts or overstocking.</t>
  </si>
  <si>
    <t>1. Configure SAP to prevent duplicate entries by checking for existing descriptions or codes during material creation.
2. Conduct a Master Data cleansing initiative to identify and consolidate duplicate material codes and delete obsolete or redundant records.</t>
  </si>
  <si>
    <t>1. Perform trainings and update SOPs.
2. Improve material description and remove inactive or duplicate items from the system.</t>
  </si>
  <si>
    <t xml:space="preserve"> Rafael Magalhaes (Materials Mgr - Raw
Materials) / Fernando Bizerra (Plant Finance Lead - Indirect
Materials)</t>
  </si>
  <si>
    <t>TEN-1777</t>
  </si>
  <si>
    <t>Chongqing (Performance Solutions)</t>
  </si>
  <si>
    <t>Policies and SOPs require enhancement</t>
  </si>
  <si>
    <t>Chongqing - Performance Solutions - Full Scope 2025</t>
  </si>
  <si>
    <t>Local SOPs were reviewed, covering areas in purchase, inventory management, production, quality, payroll, finance and EHS, noted that local policies/SOPs were not updated in a timely manner which require revision：​
Purchase: The local &lt;Indirect Purchasing Process&gt; was last updated in June 2018. Although processes of quotation and bidding, placing PO, and reviewing the status of PO were included, the deficiencies were found in open PO review. (Refer to Obsn 3.) ​
     The local &lt;Indirect Procurement Approval Procedure&gt; defined the process of applying PR and approval but was last updated in October 2015. Through no deviation was found for PR approval.​
​
Master data: The local plant lacks detailed guidelines in master data management such as the definition of roles and responsibilities, scope, creation, deletion, modification processes, and periodic review for full list (currently only covered change logs). This has caused deficiencies in redundant master data. (Refer to Obsn 4 &amp; 5.)​
​
Payroll: The local &lt;New-hire and Termination Policy&gt; was last updated in 2018, defines employee onboarding and off-boarding procedures. However, it does not address periodic badge access reviews, and the deficiencies were found in delays in deactivating resigned employees' access rights. (Refer to Obsn 8.)​
​
T&amp;E: The local &lt;T&amp;E Policy&gt; was last revised in 2018, but in 2021, the Braking APAC team updated guidance on pre-trip approvals, long-term accommodation standards and reimbursement cap for business meals. The local team has not integrated these updates into the local policy. No control gap was noted though.</t>
  </si>
  <si>
    <t>1) Review the policies and SOPs periodically to assess the need to update documents.​
2) Deliver prompt training to ensuring employees compliance with the latest standards.</t>
  </si>
  <si>
    <t>Review procedure and to facilitate the process to better serve the plant operation and in line with the corporate guidelines.</t>
  </si>
  <si>
    <t>CK (Zhenqiang Yu) (Plant Finance Lead)</t>
  </si>
  <si>
    <t>TEN-1778</t>
  </si>
  <si>
    <t>Insufficient review of Open POs ​</t>
  </si>
  <si>
    <t>PAPA-19</t>
  </si>
  <si>
    <t>The current open PO review only focused on production related purchase
orders. Services and MRO orders were not reviewed regularly. Noted that
in April 2025 open PO review record, 410 orders (28.6%) from 2017-2024 were
not deleted, which represents RMB 2.1m out of total RMB 7.5m (around
US$0.3m and US$ 1m). These items were found purchased in newer
orders in 2024 and 2025, with value of RMB 1m (about US$ 140k).</t>
  </si>
  <si>
    <t>Review open PO in all categories including MRO and services orders on monthly basis.</t>
  </si>
  <si>
    <t>Cleared all the historical open PO and review the open PO quarterly basis in future.</t>
  </si>
  <si>
    <t>Jacky Xiang (Dijia Xiang, Purchasing Manager)</t>
  </si>
  <si>
    <t>TEN-1779</t>
  </si>
  <si>
    <t>Ineffective periodic review of master data and duplicate vendor code​ and Vendor code for Terminated Employee was not closed timely​</t>
  </si>
  <si>
    <t>The master data is reviewed monthly by the business team and approved by the
functional manager and plant controller. However, this review focuses only on
information changes and overlooks the completeness and accuracy of the master
data list, resulting in undetected duplicate vendor codes. Moreover, the review
process has never been conducted on a full-scale basis, meaning not all master data
entries have been thoroughly examined.​​
Upon onsite review of the vendor master data, it was noted that 1 vendor code has
duplicate vendor names in SAP. Per inquiry with the local team, the duplicate
accounts were not identified and removed promptly due to different contact persons.​
Upon onsite review of the vendor master data, it was noted that 14 out of 275 vendor
codes for the terminated were not blocked or deleted in SAP. Among these, 7
accounts had a delay ranging from 180 to 360 days, while 4 were delayed for 50 to 150
days.​</t>
  </si>
  <si>
    <t>Implement a comprehensive and full-scale review of all master data to ensure the removal of duplicate vendor codes and maintain the integrity of financial records, including enhancing the review process to cover completeness and accuracy.</t>
  </si>
  <si>
    <t xml:space="preserve">Per corporate practise, vendor information in SAP was maintained by Vendormaster team. Local Purchasing team would have a overall review of the all the vendors annually. </t>
  </si>
  <si>
    <t>TEN-1782</t>
  </si>
  <si>
    <t>Idle asset review</t>
  </si>
  <si>
    <t xml:space="preserve"> Lack of effective review and proper management oversight of idle assets</t>
  </si>
  <si>
    <t>The plant performs quarterly reviews of idle fixed assets. However, per inspection of the idle asset review report on April 2025, noted that:​
Idle asset review lacks key information such as the idle start date and asset amount, which makes the reviewer hard to assess the condition and action plan for the idle assets.​
The review records were confirmed only by the local plant user department managers, without review or approval from the finance controller or plant manager.​
1 out of 31 idle assets was found remained in idle status for at least three years. Per 2022 physical fixed asset count report, such asset was reported as idle. Furthermore, per on-site inspection, the maintenance staff confirmed that the asset has not been put in use for three years. The asset was fully depreciated, resulting in no remaining residual value.​</t>
  </si>
  <si>
    <t xml:space="preserve">1) Develop a mandatory review template that includes all critical fields (e.g., idle start date, asset amount, asset condition, recommended action, and timeline for resolution).​
2) Require sign-off by all relevant stakeholders (as per the instrument of delegation, Finance Controller and Plant Manager should be included as reviewers) to ensure accountability and completeness of the record. </t>
  </si>
  <si>
    <t>Idle asset review perform quarterly​
Idle asset report state with sufficient information, including idle start date, asset amount, and etc.​
Idle asset review approve by financial controller and plant manager</t>
  </si>
  <si>
    <t>Zhenqiang Yu (Plant Finance Lead)</t>
  </si>
  <si>
    <t>TEN-1785</t>
  </si>
  <si>
    <t>Madrid DC</t>
  </si>
  <si>
    <t>Password Management</t>
  </si>
  <si>
    <t>Madrid DC - DRiV - Full Scope 2025</t>
  </si>
  <si>
    <t>Shared accounts on logistics platforms and warehouse computers prevent user-level tracking, reducing accountability and increasing security and audit risks</t>
  </si>
  <si>
    <t>Vendor System: The vendors Dimaral Express, TXT and Flax employ digital platforms where warehouse personnel log shipment details, utilizing a shared username and password unique to each platform. As Tenneco collaborates with four vendors in Spain, namely Dimaral Express, TXT, Flax, and Arcese. In contrast, communication with Arcese involves sending an email, which includes an attached document that comprehensively lists all processed shipments.​
Regarding the registration of the person responsible for the shipment in the systems, by sharing credentials among different operators, no record is kept in each system of which operator manages each shipment on the platforms and prints the label.​
​Windows System: Currently, there are eight computers in the warehouse capable of printing labels. All of these computers are shared among the staff who manage shipments, and Windows usernames and passwords are also shared.​</t>
  </si>
  <si>
    <t>Each operator responsible for making shipments must have a username and password on each supplier's platform. ​
Logistics service provider platforms should record which user makes each shipment for tracking purposes.​
Each employee must have their own username and password to access a computer. Training should be conducted to understand the importance of individual user accounts.</t>
  </si>
  <si>
    <t>1&amp;2. Request to carrier to have individual users and not generic. Pending confirmation from carrier's IT departments to see if possible. ​
3. Already requested to Tenneco's IT department. Moreover, training will be delivered to operators to ensure proper duties segregation and highlight importance of individual user accounts</t>
  </si>
  <si>
    <t>Agustín Cabello (Warehouse Manager) &amp; Fernando Campo (DC Operations Manager)</t>
  </si>
  <si>
    <t>TEN-1786</t>
  </si>
  <si>
    <t>Address and shipping details</t>
  </si>
  <si>
    <t>Periodic shipment reconciliations between the Customer Order and Shipment
Counts are not performed and there is no existing SOP delineating the process
and procedures around invoice approval and shipment reconciliations</t>
  </si>
  <si>
    <t>Periodic reconciliations between systems: DRiV Spain does not perform periodic
reconciliations between shipments made by logistics service providers and SAP information to verify that the information entered the providers' platforms matches SAP records. Therefore, a reconciliation was performed between the delivery notes recorded in the suppliers' systems and SAP, and 187 (out of 67,650) shipments were detected that did not match the information in SAP because the recipients were not Tenneco’s clients. Of the 187 cases identified as non-customer recipients, 164 (88%) belong to Dimaral Express and 23 (12%) to TXT. ​
No SOP: No SOP (Standard Operating Procedure) exists that details the procedures around the invoice approvals and reconciliations between the Customer Order and Shipments.​</t>
  </si>
  <si>
    <t>Logistics providers' systems should interface with SAP to automatically fill in details and avoid manual entry. ​
SOP delineating invoice approvals and reconciliations between Customer Order and Shipments should be implemented.</t>
  </si>
  <si>
    <t>1. IT will upgrade the current SW (AEB/ Assist4) to the latest version. The new version will integrate into SAP. ​
2. Quarterly, starting mid October 2025 (once received invoices from Arcese) we will reconcile all shipments.</t>
  </si>
  <si>
    <t>IT - Scott Ready (Executive Director, IT - Applications)​
Fernando Campo (DC Operations Manager)</t>
  </si>
  <si>
    <t>TEN-1787</t>
  </si>
  <si>
    <t>Surveillance Camera Management ​</t>
  </si>
  <si>
    <t>On-site camera system is nonfunctional and lacks access to nearby property-owned surveillance, limiting security monitoring and visibility</t>
  </si>
  <si>
    <t>CCTV System: Currently, the camera system is not functioning in both Tenneco's
offices and the warehouse. Specifically, out of the total 13 cameras that are in place (5
in the office and 8 in the warehouse), all 13 cameras are not functioning correctly.
Below are some example images from three office cameras that are not in operation:​
The office has five cameras, three on the ground floor and two in the basement. The warehouse has eight cameras. ​
The distribution center reports that in February 2023, they noticed the cameras were not working, and the service they had paid for as maintenance of the camera system was canceled.​
The Plant Controller confirmed via email that the service was cancelled, with the final payment of EUR 302.50 in February 2023.​</t>
  </si>
  <si>
    <t>There should be a closed-circuit camera system that records both inside the offices and the warehouse, especially in key areas such as where shipments are loaded and received.</t>
  </si>
  <si>
    <t>1. Assessment of current installation and define plan to update to the Standard CCTV System.​
2. Execute plan to install and configure the standard CCTV system</t>
  </si>
  <si>
    <t>Peter Bammens (IT Director)</t>
  </si>
  <si>
    <t>TEN-1788</t>
  </si>
  <si>
    <t>Door/ Badge Access</t>
  </si>
  <si>
    <t>Physical access controls lack segregation of duties and comprehensive logging</t>
  </si>
  <si>
    <t>Access management: The warehouse manager manages access cards and passwords, which represents a conflict of segregation of duties, so another area should take on that responsibility.​
Physical Access to the Facility: Currently, out of a total of 3 entrances to the facility, noted that for two side entrances, the keycard device system that is installed does not automatically record the entry and exit of user access.  For these two entrances, physical access is only possible via card entry, but the key card system is not configured to store entry and exit information.​
​</t>
  </si>
  <si>
    <t>For proper segregation of duties, access card management should be handled by HR, not the Warehouse Manager.​
All entrances should be accompanied with a keypad device system that automatically records user access (entry and exit).</t>
  </si>
  <si>
    <t>1. This will be managed by Enrique Nadal (Finance) and/or Gema Navas (Sales) for proper segregation of duties. ​
2 .a. Assessment of current implemented system and define plan to cover current building with Standard Access Control System​
2.b.Execute plan to install and configure the standard Access &amp; Control System.</t>
  </si>
  <si>
    <t>Jose María Martinez​ (DC Finance Lead)
Peter Bammens (IT Director)</t>
  </si>
  <si>
    <t>India (Clean Air)</t>
  </si>
  <si>
    <t>TEN-1795</t>
  </si>
  <si>
    <t>Greenville</t>
  </si>
  <si>
    <t>Greenville (Powertrain) - ICFR) 2025</t>
  </si>
  <si>
    <t xml:space="preserve">Cycle count not performed based on the corporate cycle count policy. </t>
  </si>
  <si>
    <t xml:space="preserve">A. RCO observed that only a portion of the procedures from the Corporate Policy were executed by the cycle count team during the annual physical inventory process. Please see below for the issues identified:
1. RCO identified that approvals of inventory adjustments and communication of results were obtained verbally between the logistics manager and the plant controller, with no documented evidence or formal sign-off retained. 
2. The results of counts and significant variances identified were not consistently communicated to the Group Operating Controller or Corporate. 
3. As per the corporate policy the Inventory manager must perform random test counts. However, RCO noted that for 2 of the counts (“Bearings” and “Plating”) the inventory manager did not perform the random test counts.
Based on an inquiry with Sarah Kellum, Senior Finance Accountant, RCO noted that these inconsistencies stemmed from high turnover of key personnel, including the former plant controller during the count, coupled with the absence of a defined process for formally documenting results or issuing communications (e.g., via email or reporting package).  
B. Per inspection of the report parameters used for extracting the list of items in the plant, RCO noted that the parameters did not correspond to the current period. Hence, RCO was unable to validate the completeness and accuracy of the report. </t>
  </si>
  <si>
    <t>1.	Management should ensure inventory cycle counts are performed based on the corporate cycle count policy.
2.	RCO recommends that management retain screenshots of the appropriate parameters at the time of extraction to support validation of report completeness and accuracy.</t>
  </si>
  <si>
    <t xml:space="preserve">Going forward Logistics Manager will do a print screen of the inventory not found and Plant Controller will sign off. The sign off will be saved. Once the final numbers are calculated Plant Controller will e-mail corporate to get their approval. All approvals will be saved. 
Plant accountants closing and managing the cycle counts will be more diligent in getting all paperwork and ensuring they are saved. </t>
  </si>
  <si>
    <t>Robyn Krupiczewicz, Plant Controller</t>
  </si>
  <si>
    <t>TEN-1800</t>
  </si>
  <si>
    <t>Cotia</t>
  </si>
  <si>
    <t>COTI-PAYR-23</t>
  </si>
  <si>
    <t>(Cotia) (Performance Solutions) - Management Self-Testing 2025</t>
  </si>
  <si>
    <t>Management approval was not secured for the month of February 2025</t>
  </si>
  <si>
    <t>Approvals will be documented and kept in cloud and not only email for cases where employees are out on a license. Priscila Miwa is the owner for these approvals from now on.</t>
  </si>
  <si>
    <t>Priscila Miwa (HR Manager)</t>
  </si>
  <si>
    <t>TEN-1801</t>
  </si>
  <si>
    <t>COTI-PINV-41</t>
  </si>
  <si>
    <t>Approval from Plant Manager was not secured for 2nd Quarter 2025 for LCM- lower of cost or market.</t>
  </si>
  <si>
    <t xml:space="preserve">Reinforced with the team that this provision need plant manager´s approval, cost supervisor added a meeting to his calendar as a reminder. </t>
  </si>
  <si>
    <t>Fabiano Dagmar Simonetti (Cost Supervisor)/ Lidia Murakami (Quality Manager)</t>
  </si>
  <si>
    <t>TEN-1802</t>
  </si>
  <si>
    <t>Invoicing</t>
  </si>
  <si>
    <t>COTI-REVE-17</t>
  </si>
  <si>
    <t>Approval from management was not secured</t>
  </si>
  <si>
    <t>Cost supervisor put a reminder in his calendar to make sure this gets approved on time and documents will be kept in cloud after all approvals secured and not only in email.</t>
  </si>
  <si>
    <t>Fabiano Dagmar Simonetti (Cost Supervisor)</t>
  </si>
  <si>
    <t>TEN-1803</t>
  </si>
  <si>
    <t>Customer Returns, Discounts, and Allowances</t>
  </si>
  <si>
    <t>COTI-REVE-43</t>
  </si>
  <si>
    <t>Warranty accrual was not reviewed and  not approved by management for the Month of February 2025.</t>
  </si>
  <si>
    <t>Supervisor put a reminder on calendar to make sure this approval is secured in time, and provisions approved monthly.</t>
  </si>
  <si>
    <t>Lidia Murakami (Quality Manager)</t>
  </si>
  <si>
    <t>TEN-1806</t>
  </si>
  <si>
    <t>Smyrna</t>
  </si>
  <si>
    <t>(Smyrna) (DRiV) - Management Self-Testing 2025</t>
  </si>
  <si>
    <t>Timely Approval of reconciliation</t>
  </si>
  <si>
    <t>The approval of the reconciliation was not completed within the first 10 days of close.</t>
  </si>
  <si>
    <t>The approval will need to be completed within 10 business days of close.  Management has created an additional checklist with approval dates to help manage the reconciliation process and has setup a monthly meeting to occur on the 11th of each month with the finance team to go over the reconciliations.</t>
  </si>
  <si>
    <t>Aaron Southworth, Controller</t>
  </si>
  <si>
    <t>TEN-1807</t>
  </si>
  <si>
    <t>Adjustments &amp; Period-end Close for Period-end Financial Reporting</t>
  </si>
  <si>
    <t>The additional control on the Manual Journal Trackers for May was sent for approval and confirmation beyond the month end deadline.</t>
  </si>
  <si>
    <t>The controller will follow up with the "Corporate Finance" team in regard to the monthly tracker.</t>
  </si>
  <si>
    <t>TEN-1809</t>
  </si>
  <si>
    <t>Lansing</t>
  </si>
  <si>
    <t>PINV-47</t>
  </si>
  <si>
    <t>(Lansing MI) (Clean Air)  - Management Self-Testing 2025</t>
  </si>
  <si>
    <t>Issue in Inventory scrap amounts delivered to scrap vendors.</t>
  </si>
  <si>
    <t xml:space="preserve">No weights are taken by the plant or by a 3rd party. The only weights received are from PADNOS, the scrap vendor. </t>
  </si>
  <si>
    <t>PADNOS will begin taking a weight at a 3rd party CAT Scale once a year</t>
  </si>
  <si>
    <t>Amy Burgess, Logistic Analyst</t>
  </si>
  <si>
    <t>A, E/O, R&amp;O, V</t>
  </si>
  <si>
    <t>TEN-1810</t>
  </si>
  <si>
    <t>PAYR-06</t>
  </si>
  <si>
    <t>Exception report of unusual time recording is not reviewed</t>
  </si>
  <si>
    <t xml:space="preserve">Not all attendance trackers are being signed each week. </t>
  </si>
  <si>
    <t xml:space="preserve">HR has had a meeting with all of management that approves attendance trackers to remind them of the importance of signing each one every week. All attendance trackers will be reviewed before payroll is submitted for completion. If the supervisor has not completed the sign-off the plant manager will review and sign in their place. </t>
  </si>
  <si>
    <t>Shelby Bear, HR Manager</t>
  </si>
  <si>
    <t>TEN-1811</t>
  </si>
  <si>
    <t>Scrap tickets are reviewed and approved (by an individual other than the requester) prior to posting</t>
  </si>
  <si>
    <t xml:space="preserve">Scrap ticket either did not match the SAP qty entered or did not have a scrap ticket at all. </t>
  </si>
  <si>
    <t xml:space="preserve">A meeting with all TMs reiterating the need for all scrap to have ticket and the process for scrap. </t>
  </si>
  <si>
    <t>Vignesh Janardhanan, Quality Manager</t>
  </si>
  <si>
    <t>PEFR-19</t>
  </si>
  <si>
    <t>TEN-1813</t>
  </si>
  <si>
    <t>(Skokie) (DRiV)  - Management Self-Testing 2025</t>
  </si>
  <si>
    <t>The reconciliation general ledger and subledger amounts does not agree to the supporting documentation.</t>
  </si>
  <si>
    <t>Lease invoices did not tie out to what Visual Lease has loaded.</t>
  </si>
  <si>
    <t>Work with TFS and corporate lease accounting to ensure leasing documents are up-to-date in Visual Lease.</t>
  </si>
  <si>
    <t>John Kamph and Max Eurich, Senior Controller/ Finance Manager</t>
  </si>
  <si>
    <t>Payroll Calculations</t>
  </si>
  <si>
    <t>PAYR-14</t>
  </si>
  <si>
    <t>A, C, CO, E/O, V</t>
  </si>
  <si>
    <t>Sint Truiden</t>
  </si>
  <si>
    <t>TEN-1825</t>
  </si>
  <si>
    <t>Shared Services Center  - GL (IceCo)</t>
  </si>
  <si>
    <t>SSC Certification  - GL (IceCo) - Management Self-Testing 2025</t>
  </si>
  <si>
    <t xml:space="preserve">Mexico SSC:  Reconciliations are being done, but they are not being completed before WD10, in addition to the fact that there are pending reconciliations from other months. Gdansk SSC AP: split of responsibilities for the AP Reconciliation not clear for certain plants (AP SSC vs. Plant) and delays might be occurred </t>
  </si>
  <si>
    <t>Mexico SSC:  Mexico SSC: Assess the workload and assign additional resources to help to cover the tasks for current month and the backlog from prior months.                    Gdansk SSC AP: split of responsibility on AP Reconciliation to be clarified with each plant and start preparing on a monthly basis those identified as in scope</t>
  </si>
  <si>
    <t>Cristhian Rascon/Natalia Engler/Dragalina Marandici/Petru Baciu, SSC Team AP/GL</t>
  </si>
  <si>
    <t>TEN-1826</t>
  </si>
  <si>
    <t xml:space="preserve">Gdansk SSC: SSC Closing Checklist not implemented for all plants in scope. The plants that have a Closing Checklist in place are not submitted for approval/approved.                 Mexico SSC:  Closing checklist in place but not approved </t>
  </si>
  <si>
    <t xml:space="preserve">Gdansk SSC: Implement SSC Closing Checklist for all plants in SSC Scope and get those approved on a monthly basis.                                                                                    Mexico SSC: Implement approval process for the Closing Checklists </t>
  </si>
  <si>
    <t>Pater-Laskowska, Aleksandra/Cristhian Rascon/Dragalina Marandici, SSC Team AP/GL</t>
  </si>
  <si>
    <t>TEN-1827</t>
  </si>
  <si>
    <t>Mexico SSC:  Reconciliations are being done, but they are not being completed before WD10, in addition to the fact that there are pending reconciliations from other months.</t>
  </si>
  <si>
    <t xml:space="preserve">Mexico SSC: Assess the workload and assign additional resources to help to cover the tasks for current month and the backlog from prior months. </t>
  </si>
  <si>
    <t>Cristhian Rascon/Dragalina Marandici, SSC Team GL</t>
  </si>
  <si>
    <t>TEN-1828</t>
  </si>
  <si>
    <t>TEN-1829</t>
  </si>
  <si>
    <t>TEN-1830</t>
  </si>
  <si>
    <t>Shared Services Center  - AR (DRiV)</t>
  </si>
  <si>
    <t>Order Processing</t>
  </si>
  <si>
    <t>REVE-09</t>
  </si>
  <si>
    <t>SSC Certification  - AR (DRiV) - Management Self-Testing 2025</t>
  </si>
  <si>
    <t>Timely Approval of Orders compared to established credit limits</t>
  </si>
  <si>
    <t>DRiV EMEA: Effective                                                                                                  DRiV US/CAN: Ineffective - Review has not been conducted monthly in line with the process for this region</t>
  </si>
  <si>
    <t>DRiV US/CAN: Reinstate monthly review process. IT development may be required for PTAx</t>
  </si>
  <si>
    <t>Daniel Calin, AR Manager</t>
  </si>
  <si>
    <t>E/O, V</t>
  </si>
  <si>
    <t>TEN-1831</t>
  </si>
  <si>
    <t xml:space="preserve">Timely Approval of Customer master file </t>
  </si>
  <si>
    <t xml:space="preserve">EMEA: Review Owner confirms the monthly review has not been performed within the usual timeline.                                 US/CAN: Review not conducted as per standard process - reason is related to organizational changes/restructuring                </t>
  </si>
  <si>
    <t>EMEA: retroactive review will be completed by End of Sept.         US/CAN: Re instatement of monthly review effective End of Nov [IT development may be required for PTAx]</t>
  </si>
  <si>
    <t>Roxana Popescu, Daniel Calin, Customer Master Data/AR Manager</t>
  </si>
  <si>
    <t>TEN-1832</t>
  </si>
  <si>
    <t>REVE-66</t>
  </si>
  <si>
    <t xml:space="preserve">Timely Approval of Credit master file </t>
  </si>
  <si>
    <t xml:space="preserve">EMEA: Effective                                                                    Not effective: US/CAN: Review not conducted as per standard process - reason is related to organizational changes/restructuring  </t>
  </si>
  <si>
    <t>Reinstate monthly credit master review for EP1 and PTA DRiV US/CAN [IT development may be required for PTAx]</t>
  </si>
  <si>
    <t>10/08/2025</t>
  </si>
  <si>
    <t>TEN-1838</t>
  </si>
  <si>
    <t>Beck/Arnley</t>
  </si>
  <si>
    <t>(Beck/Arnley) (DRiV)  - Management Self-Testing 2025</t>
  </si>
  <si>
    <t>Proper segregation of duties does not exist for the preparation and review of the account reconciliation.</t>
  </si>
  <si>
    <t>The Jue 2025 AP reconciliation was reviewed and tested.  The two subledgers have variances that have been identified as system (Lawson) adjustments.  The adjust AP 230 report ties to the AP 232 report and general ledger.  Those ledgers also tie to OneStream.  Segregation duties are not present in the reconciliation as the Controller is completing the Reconciliation with no additional signoff.  AP invoices are trying to be converted over to SAP, but the Controller is unable to find the A/P process for the Product team expenses which has led to continual AP process on the Beck/Arnley Ledger.  Will be completed in 2025.</t>
  </si>
  <si>
    <t>All journal entries and reconciliation will be presented to the Finance Manager (Dan Brugger) on a monthly basis going forward.  General ledger should be closed by the end of the year with little activity.</t>
  </si>
  <si>
    <t>TEN-1839</t>
  </si>
  <si>
    <t>Compared OneStream to the Fixed Assets Reconciliation from May 2025 and to the general ledger and subledger.  The OneStream and net Fixed Assets are in balance, and the reconciliation did not support supported proper segregation of duties.  OneStream to Lawson reconciliation is completed on each reconciliation.
Audit Request:
1.Deficiency found:  The reconciliation was not reviewed, and the Controller is performing the activity and the reconciliation as a result of the Beck/Arnley finance team being dissolved in January 2025.
2. Sample Tested:  The May 2025 Fixed Asset Reconciliation was tested.  It was completed by the Controller (Aaron Southworth) and was not reviewed.</t>
  </si>
  <si>
    <t>TEN-1840</t>
  </si>
  <si>
    <t>PEFR-67</t>
  </si>
  <si>
    <t>The June Intercompany Journal entry was reviewed and tested.  The Journal entry was recorded in a timely manner and provided accurate support.  Segregation duties are not present in the journal entry combine with no additional signoff.</t>
  </si>
  <si>
    <t>TEN-1841</t>
  </si>
  <si>
    <t>The June A/R reconciliation was observed.  The subledger is currently out of balance by $2k that is being researched.  Segregation duties are not present in the journal entry combine with no additional signoff.  The A/R balance is in a credit balance as a result of unused credit by customers.  These balances will be written off in 2025</t>
  </si>
  <si>
    <t>TEN-1842</t>
  </si>
  <si>
    <t>The May 2025 fixed asset reconciliation was reviewed and tested.  The subledger and general ledger are in balance.  Those ledgers also tie to OneStream.  Segregation duties are not present in the reconciliation as the Controller is completing the Reconciliation with no additional signoff.  These balances will be transferred to SMYRNA in August 2025.</t>
  </si>
  <si>
    <t>TEN-1843</t>
  </si>
  <si>
    <t>TEN-1844</t>
  </si>
  <si>
    <t>Corporate Accounting</t>
  </si>
  <si>
    <t>PEFR-73</t>
  </si>
  <si>
    <t>(Corporate Accounting)  (Corporate)- Management Self-Testing 2025</t>
  </si>
  <si>
    <t xml:space="preserve">Lack of Available Documentation </t>
  </si>
  <si>
    <t xml:space="preserve"> Supporting documentation in the JE workbook does not show the overall source of the accrual estimation, such as a most recent periodic actuarial calculation, plus monthly provisions for workers comp, less claims paid, and the allocation methodology determining the reserve balance recorded on each business segment.  Documentation is not clear enough for a reviewer to reperform and reach same conclusion. </t>
  </si>
  <si>
    <t>The company needs a comprehensive WC workpaper that supports the overall company balance, referencing most recent actuarial valuations as a baseline, plus WC provisions based on actuarial Loss Pick, less claim payments, arriving at the period end balance.  Balances allocated to each BU need to agree to an approved allocation methodology.</t>
  </si>
  <si>
    <t>Chris Maulbetsch, Accounting Consultant</t>
  </si>
  <si>
    <t>TEN-1845</t>
  </si>
  <si>
    <t xml:space="preserve">Sub-ledgers are reconciled to OneStream. The reconciliation is not reviewed and approved. </t>
  </si>
  <si>
    <t>There is no manual roll forward or any recon of account 2300 for any ledger. There are however recons for 2200 accounts (2200.120 Machinery &amp; equipment) it looks like we stopped reconciling the net PPE in June 2024</t>
  </si>
  <si>
    <t xml:space="preserve">Implement preparation of PPE roll-forwards for each applicable ledger on a monthly basis.  </t>
  </si>
  <si>
    <t>Sandra Carpenter, Finance Director</t>
  </si>
  <si>
    <t>TEN-1848</t>
  </si>
  <si>
    <t>Skokie DC</t>
  </si>
  <si>
    <t>(Skokie DC)  (DRiV)- Management Self-Testing 2025</t>
  </si>
  <si>
    <t>John Kamph and Max Eurich,  Senior Controller/ Finance Manager</t>
  </si>
  <si>
    <t>TEN-1850</t>
  </si>
  <si>
    <t>Gdansk</t>
  </si>
  <si>
    <t>(Gdansk) (Powertrain) - Management Self-Testing 2025</t>
  </si>
  <si>
    <t>Reserve assumptions have not been reviewed</t>
  </si>
  <si>
    <t xml:space="preserve"> We asked Corporation for deviation several times from January 2025, we did not receive. In September there was e-mail from Corporate that they are changing the way of calculating E&amp;O and this is approved deviation. </t>
  </si>
  <si>
    <t>Because of the short time the new way of calculating E&amp;O reserve will not be implemented in Q3 2025, rather in Q4</t>
  </si>
  <si>
    <t>Tomasz Andryskowski, Plant controller</t>
  </si>
  <si>
    <t>TEN-1855</t>
  </si>
  <si>
    <t>Patiala</t>
  </si>
  <si>
    <t>PAYR-21</t>
  </si>
  <si>
    <t>(Patiala ) (Powertrain)   - Management Self-Testing 2025</t>
  </si>
  <si>
    <t xml:space="preserve">Payroll leave encashment is not approved by Head HR,  </t>
  </si>
  <si>
    <t>HR Will provide the Monthly leave encashment provision details to finance duly approved by Head HR</t>
  </si>
  <si>
    <t>Yogesh Gupta (Head HR)</t>
  </si>
  <si>
    <t>A, C, R&amp;O</t>
  </si>
  <si>
    <t>TEN-1857</t>
  </si>
  <si>
    <t>Consolidate Employee Master Change Log is not available in SAP,  There is not Monthly Sign off Process of change log</t>
  </si>
  <si>
    <t>SAP team will raise the ticket with IT to get Monthly Employee Master change log &amp; Sign off with samples</t>
  </si>
  <si>
    <t>TEN-1858</t>
  </si>
  <si>
    <t>China AM Trading</t>
  </si>
  <si>
    <t>Asia Pacific (DRiV)</t>
  </si>
  <si>
    <t>Shipping</t>
  </si>
  <si>
    <t>Inadequate certification process</t>
  </si>
  <si>
    <t>PINV-36</t>
  </si>
  <si>
    <t>(China AM Trading ) (DRiV)   - Management Self-Testing 2025</t>
  </si>
  <si>
    <t>Review could not performed due to system constrain</t>
  </si>
  <si>
    <t>SF delivery record only can maintain 3 months in the system, the delivery information get refreshed and cannot be recovered beyond 3 months, any data over 3 months will be removed.</t>
  </si>
  <si>
    <t>Supply chain team will keep the  SF  screenshots for all the orders made through express.</t>
  </si>
  <si>
    <t>Jackie Zhu (Senior Manager, Logistics)</t>
  </si>
  <si>
    <t>CO</t>
  </si>
  <si>
    <t>TEN-1859</t>
  </si>
  <si>
    <t>Grass Lake</t>
  </si>
  <si>
    <t>(Grass Lake) (Clean Air)    - Management Self-Testing 2025</t>
  </si>
  <si>
    <t xml:space="preserve">Even managers review and correct if needed, there is not and "reviewed and approved"  statement for some of the payrolls </t>
  </si>
  <si>
    <t>instruction to HR to get "reviewed and approved" for every pay roll</t>
  </si>
  <si>
    <t>Diana Vazquez, 	FP&amp;A Manager</t>
  </si>
  <si>
    <t>10/10/2025</t>
  </si>
  <si>
    <t>TEN-1860</t>
  </si>
  <si>
    <t>TEN-1861</t>
  </si>
  <si>
    <t>New Delhi (FMG)</t>
  </si>
  <si>
    <t>Corporate (Powertrain)</t>
  </si>
  <si>
    <t>(New Delhi (FMG)) (Powertrain)     - Management Self-Testing 2025</t>
  </si>
  <si>
    <t>Management did not reviewed and approved the accrual in a timely manner.</t>
  </si>
  <si>
    <t xml:space="preserve">Payroll leave encashment is not approved by HR head </t>
  </si>
  <si>
    <t xml:space="preserve">Payroll team will provide the monthly leave encashment provision details to finance which will be duly approved by the HR head. </t>
  </si>
  <si>
    <t>Anuj Kaushik / Ashish Kumar, HR Manager/ Lead - HR Manufacturing Excellence</t>
  </si>
  <si>
    <t>TEN-1862</t>
  </si>
  <si>
    <t xml:space="preserve">Consolidated Employee Master Change log is not available in SAP. Also as of now there is no monthly sign off process of change log. </t>
  </si>
  <si>
    <t>Payroll team will raise the ticket with IT to get the change log on the monthly basis &amp; will sign off the same along with sample testing.</t>
  </si>
  <si>
    <t>TEN-1863</t>
  </si>
  <si>
    <t>Barcelona</t>
  </si>
  <si>
    <t>(Barcelona) (Performance Solutions)  - Management Self-Testing 2025</t>
  </si>
  <si>
    <t>Implementation Delay</t>
  </si>
  <si>
    <t>Informed the changes but leasing team didn't apply</t>
  </si>
  <si>
    <t>Review contracts and send to corporate</t>
  </si>
  <si>
    <t>Esmeralda Tabernero, 	Plant Finance leader</t>
  </si>
  <si>
    <t>TEN-1864</t>
  </si>
  <si>
    <t>Lease transactions are not communicated to Corporate Accounting in a timely manner</t>
  </si>
  <si>
    <t>Nobody has the contract to send finance team and resend to leasing team</t>
  </si>
  <si>
    <t>TEN-1865</t>
  </si>
  <si>
    <t>Leasing team changed the data and we couldn't balance</t>
  </si>
  <si>
    <t>TEN-1866</t>
  </si>
  <si>
    <t>Ordering</t>
  </si>
  <si>
    <t>PAPA-01</t>
  </si>
  <si>
    <t>Missing Requisition</t>
  </si>
  <si>
    <t>There isn't the requisition from vendor to reconcile purchase order 5200124550</t>
  </si>
  <si>
    <t>I informed the policy of the company to have always a PO from vendor by email instead of by phone</t>
  </si>
  <si>
    <t>C</t>
  </si>
  <si>
    <t>TEN-1867</t>
  </si>
  <si>
    <t>PAPA-03</t>
  </si>
  <si>
    <t xml:space="preserve">System enforced spending limits and approval procedures - No updation </t>
  </si>
  <si>
    <t>Due to all the changes on our census we have to update the users and replace by the news</t>
  </si>
  <si>
    <t>I opened a ticket INC1832346 to update the users</t>
  </si>
  <si>
    <t>Gloria Samper, 	Financial Specialist</t>
  </si>
  <si>
    <t>TEN-1868</t>
  </si>
  <si>
    <t>Incorrect stock balance</t>
  </si>
  <si>
    <t>The stock is wrong. Order pending to close or missing</t>
  </si>
  <si>
    <t>Closed the orders in WIP</t>
  </si>
  <si>
    <t>Esmeralda Tabernero, Ricardo Gonzalez, Plant Finance leader/ Logistics Manager</t>
  </si>
  <si>
    <t>TEN-1869</t>
  </si>
  <si>
    <t>Missing check mark</t>
  </si>
  <si>
    <t>It is missing the check mark on delivery note of vendor</t>
  </si>
  <si>
    <t>Remember the policy of the company to follow the instructions</t>
  </si>
  <si>
    <t>Ricardo Gonzalez/Gloria Samper, Logistics Manager, Financial Specialist</t>
  </si>
  <si>
    <t>TEN-1870</t>
  </si>
  <si>
    <t>PINV-06</t>
  </si>
  <si>
    <t>Wrong Inventory Posting due to multiple PO</t>
  </si>
  <si>
    <t>It is updated wrongly in inventory to consignment instead of property. PO 5500040526 wrong, PO correct 5500040289. Delivery note 5003739534. Reference X0000047004</t>
  </si>
  <si>
    <t>The logistic employee who do the goods entry, it must be informed of whatever change on PO instead of using the wrong PO which appearing on delivery note of vendor</t>
  </si>
  <si>
    <t>TEN-1871</t>
  </si>
  <si>
    <t>PINV-07</t>
  </si>
  <si>
    <t>Purchase orders and return authorizations are  not closed by the system upon goods receipt</t>
  </si>
  <si>
    <t>PO 4500266284 not closed.</t>
  </si>
  <si>
    <t>TEN-1872</t>
  </si>
  <si>
    <t>PINV-11</t>
  </si>
  <si>
    <t>System does not updates inventory costs in the sub-ledger based on the return authorization costs when goods are received</t>
  </si>
  <si>
    <t>PO 5500040348 , reference X0753396061. price difference due to it wasn't updated the price into the system.</t>
  </si>
  <si>
    <t>The price must be updated into the system. Due to missing purchase manager, without back-up, this task is pending to assign to be solved</t>
  </si>
  <si>
    <t>Plant manager. Francesc Davant</t>
  </si>
  <si>
    <t>TEN-1873</t>
  </si>
  <si>
    <t>Inventory - Production recording delays</t>
  </si>
  <si>
    <t>PINV-35</t>
  </si>
  <si>
    <t>System does not relieves inventory quantity based on shipment</t>
  </si>
  <si>
    <t>It doesn't appear the inventory to do the shipment. Example Brembo customer</t>
  </si>
  <si>
    <t>Do an inventory of finishing good, analyze the differences, figure out where it was the problem to solve this issue and after remember the process of production</t>
  </si>
  <si>
    <t>Esmeralda Tabernero/ Ricardo Gonzalez, Plant Finance leader/ Logistics Manager</t>
  </si>
  <si>
    <t>A, R&amp;O</t>
  </si>
  <si>
    <t>TEN-1874</t>
  </si>
  <si>
    <t>PINV-40</t>
  </si>
  <si>
    <t>The stock is wrong. It wasn't possible to calculate the accrual</t>
  </si>
  <si>
    <t>Do an inventory count and adjust the difference, update the cost</t>
  </si>
  <si>
    <t>TEN-1875</t>
  </si>
  <si>
    <t>PINV-41</t>
  </si>
  <si>
    <t>The stock is wrong. It wasn't possible to calculate the LCM</t>
  </si>
  <si>
    <t>TEN-1876</t>
  </si>
  <si>
    <t>Inventory - Consignment stocks not per policy</t>
  </si>
  <si>
    <t>PINV-43</t>
  </si>
  <si>
    <t>Consigned inventory on hand is not segregated</t>
  </si>
  <si>
    <t>We received goods from Tribotecc not related to consignment stock but we posted as consignment.</t>
  </si>
  <si>
    <t>TEN-1877</t>
  </si>
  <si>
    <t>The stock is wrong. It wasn't possible to calculate the E&amp;O</t>
  </si>
  <si>
    <t>TEN-1878</t>
  </si>
  <si>
    <t>TEN-1879</t>
  </si>
  <si>
    <t>Tepotzotlan - OE</t>
  </si>
  <si>
    <t>(Tepotzotlan - Friction) (Performance Solutions)  - Management Self-Testing 2025</t>
  </si>
  <si>
    <t>Cycle counts are performed in accordance with policy</t>
  </si>
  <si>
    <t>We identify that there are not systematically cycle counts performed by the plant.</t>
  </si>
  <si>
    <t>The Materials Manager and Controller should stablish the cycle counts calendar and ensure the counts are performed in timely manner. We should identify and quest the necessary resources to perform this key activity.</t>
  </si>
  <si>
    <t>Cesar Vega, Omar Espinoza, Supply Chain Manager/Plant Finance leader</t>
  </si>
  <si>
    <t>TEN-1880</t>
  </si>
  <si>
    <t>Bhiwadi (FMG)</t>
  </si>
  <si>
    <t>(Bhiwadi (FMG)) (Powertrain)   - Management Self-Testing 2025</t>
  </si>
  <si>
    <t>Lack of available Documents - No payroll register to reconcile</t>
  </si>
  <si>
    <t>There is no payroll register available with HR,  HR team is processing salary on wage report,  HR Team has raised the ticket with IT Team</t>
  </si>
  <si>
    <t>HR team has raised the ticket with IT team for Payroll Register</t>
  </si>
  <si>
    <t>TEN-1881</t>
  </si>
  <si>
    <t>PINV-39</t>
  </si>
  <si>
    <t>Lack of available Documents</t>
  </si>
  <si>
    <t xml:space="preserve"> Inventory related working, no evidence in documents where Production and SCM reviewed the inventory. </t>
  </si>
  <si>
    <t xml:space="preserve">More documentation to be needed with proper planning and communication upon inventory targets and tasks with Production team. </t>
  </si>
  <si>
    <t>Ganesh Gairola and Mohinder Shridhar, Senior Manager/DGM Quality</t>
  </si>
  <si>
    <t>A, C, CO, E/O</t>
  </si>
  <si>
    <t>TEN-1882</t>
  </si>
  <si>
    <t>Ermua</t>
  </si>
  <si>
    <t>(AST Ermua) (Performance Solutions)   - Management Self-Testing 2025</t>
  </si>
  <si>
    <t>Incorrect inventory classification</t>
  </si>
  <si>
    <t>MRO stock is splitted between spare parts and consumables. The categorization of several part numbers as either one or the other is in discussion, as no clear criteria are established to determine when an item is one or the other.
As a consequence, the BSR for the stock booked in each category cannot be considered correct, as we cannot rely on the support documentation provided</t>
  </si>
  <si>
    <t>The main problem is related with the PN defined as Spare parts. The objective is split from this category all the PN that are perisable tooling. The action plan to achieve this objective is:
- Review of each spare part to identify those ones that are perisable tooling by Ermua Maintenance department
- Update the status to perisable tooling in SAP
- Update obsolescence calculation for MRO material</t>
  </si>
  <si>
    <t>Jon Larrasquitu, Ermua Plant Maintenance Team</t>
  </si>
  <si>
    <t>TEN-1883</t>
  </si>
  <si>
    <t>Scrap was not invoiced in the correct period.</t>
  </si>
  <si>
    <t>In two of the four months of the reference period, some scrap outside the ordinary productive process has been sent to the scrap vendor without any delivery note being generated in the plant. As a consequence, that scrap was not invoiced in the correct period.</t>
  </si>
  <si>
    <t xml:space="preserve">Reinforce in Ermua plant scrap sales process. Main point is to centralize all the process in one Logistic member. </t>
  </si>
  <si>
    <t>Jon Larrasquitu, Ermua Logistic Team</t>
  </si>
  <si>
    <t>TEN-1884</t>
  </si>
  <si>
    <t>REVE-59</t>
  </si>
  <si>
    <t>Timely issue of invoices</t>
  </si>
  <si>
    <t>Two main problems: 1) Issue with deliveries from Engineering center in Ermua (Tenneco Innovación) to TAECC in Poland that are not invoiced in a timely manner.
2) Issue with some of the  T7 units supplied in JIS to VW, that are invoiced a day after supplied to customer (est impact 2k€ per day)</t>
  </si>
  <si>
    <t>1) Ermua and MEEC are working for establishing a procedure to invoice all the material that is sent from Ermua for prototype building.
2) As for the T7 invoicing issues, IT is working on a solution to avoid this problem</t>
  </si>
  <si>
    <t>Jon Larrasquitu, MEEC prototype material  - MEEC, Ermua Logistic Team, Innovación Team
T7 - IT, Ermua Logistic Team, Ermua Finance Team</t>
  </si>
  <si>
    <t>C, CO, V</t>
  </si>
  <si>
    <t>TEN-1886</t>
  </si>
  <si>
    <t>Sealing JV Victor Gaskets</t>
  </si>
  <si>
    <t>(Sealing JV Victor Gaskets) (Powertrain)   - Management Self-Testing 2025</t>
  </si>
  <si>
    <t>Lease agreement for the period was not updated by corporate lease accounting team</t>
  </si>
  <si>
    <t xml:space="preserve"> Finance Management will send an email to Corporate Lease with the new lease information.  </t>
  </si>
  <si>
    <t>Dhaneswar Das, Assistant Finance Controller</t>
  </si>
  <si>
    <t>TEN-1887</t>
  </si>
  <si>
    <t>Non-compliance to labor law</t>
  </si>
  <si>
    <t>Workers are not allowed to work in excess of 12 hours per day per India law.</t>
  </si>
  <si>
    <t>Operations Management and Finance Management will work together to ensure that the weekly schedule for hourly workers does not exceed 12 hours per day.  In addition the line supervisor will ensure that employees do not work more than 12 hours on any given day.</t>
  </si>
  <si>
    <t>TEN-1888</t>
  </si>
  <si>
    <t>(Parwanoo - Bearings) (Powertrain)    - Management Self-Testing 2025</t>
  </si>
  <si>
    <t xml:space="preserve">As per sec 65(3) of Factories Act,1948; work hours of any worker shall not exceed twelve hours in a day however in our samples we have found that we are not comply this condition. </t>
  </si>
  <si>
    <t xml:space="preserve">Om Parkash - HR Head will create a process to ensure that time worked by employees is reviewed daily and any employee that has worked more than 12 hours in a day is reported Krishan Kumar - HR Executive immediately.  </t>
  </si>
  <si>
    <t>Om Parkash, HR Head</t>
  </si>
  <si>
    <t>TEN-1889</t>
  </si>
  <si>
    <t>There is no payroll register available with HR,  HR team is processing salary on wage report,  HR Team has raised the ticket with IT Team`</t>
  </si>
  <si>
    <t xml:space="preserve">HR team has raised the ticket with IT team for Payroll Register
</t>
  </si>
  <si>
    <t>Yogesh Gupta, HR Head</t>
  </si>
  <si>
    <t>TEN-1890</t>
  </si>
  <si>
    <t>SSC Certification  - AR (IceCo) - Management Self-Testing 2025</t>
  </si>
  <si>
    <t>Any sales order that superseded the approved customer limit was not reviewed and approved by management prior to processing.</t>
  </si>
  <si>
    <t>Approvals not done thru the workflow system</t>
  </si>
  <si>
    <t>Workflow review done by the appropriate people monthly( due to several transitions along 2024-2025 approval process got lost and was restarted Q2 post stabilization); now process in place with current approvers until new process owners are in place</t>
  </si>
  <si>
    <t>NA CA-Sr AR Manager/Sr OTI Finance Manager</t>
  </si>
  <si>
    <t>TEN-1891</t>
  </si>
  <si>
    <t>Periodic Review not performed for credit master file.</t>
  </si>
  <si>
    <t xml:space="preserve">CA NA - Reports were not run until June 2025 - no report to test between Jan to June </t>
  </si>
  <si>
    <t>Although there were no transactions, control should be done every month; due to transitions and loss of information, training and people, this frequency was lost. Control will be reinstated to be run on a monthly basis moving forward.</t>
  </si>
  <si>
    <t>Lisa Ball, Genpact AR Contractor</t>
  </si>
  <si>
    <t>TEN-1892</t>
  </si>
  <si>
    <t>Regional Clean Air North America</t>
  </si>
  <si>
    <t>(Regional Clean Air North America (Grace Lake)) (Clean Air) - Management Self-Testing 2025</t>
  </si>
  <si>
    <t>Management did not reviewed and approves workers compensation reserves</t>
  </si>
  <si>
    <t>Entries are booked by an entity outside of the Regional CA group and not communicated nor understood by the Regional CA group, therefore.</t>
  </si>
  <si>
    <t>Follow up with Bucharest/Genpact (or wherever that leads you….) to obtain the most recent analysis to review.  Once received, gain full understanding of calculation to determine if the reserves are at the appropriate levels.</t>
  </si>
  <si>
    <t>Ingrid Luna, Finance Manager</t>
  </si>
  <si>
    <t>TEN-1894</t>
  </si>
  <si>
    <t>Customer master file is reviewed and additions and changes are not approved by management</t>
  </si>
  <si>
    <t>CA Deficiency- No Manager approval</t>
  </si>
  <si>
    <t xml:space="preserve">Review for manager approval at time of changes ( due to several transitions along 2024-2025 approval process got lost and was restarted Q2 post stabilization); now process in place manual approval from direct manager </t>
  </si>
  <si>
    <t>NA CA Response-AR Global Process Leader</t>
  </si>
  <si>
    <t>TEN-1895</t>
  </si>
  <si>
    <t>(Tepotzotlan - Friction) (Performance Solutions) - Management Self-Testing 2025</t>
  </si>
  <si>
    <t>The account reconciliation is not mathematically accurate.</t>
  </si>
  <si>
    <t>The list of vehicles leased are not updated</t>
  </si>
  <si>
    <t>Plant will report the updated changes on vehicles leased to Corporate Lease Accounting, to ensure the proper accounting treatment.</t>
  </si>
  <si>
    <t>Omar Espinoza, 	Plant Finance Leader</t>
  </si>
  <si>
    <t>Bangalore - Steel Rings</t>
  </si>
  <si>
    <t>(Bangalore - Steel Rings) (Powertrain) - Management Self-Testing 2025</t>
  </si>
  <si>
    <t>Prakash AS, HR Head</t>
  </si>
  <si>
    <t>TEN-1897</t>
  </si>
  <si>
    <t>Payroll register is not available with the HR</t>
  </si>
  <si>
    <t xml:space="preserve">
HR team to raise ticket with IT team for Payroll Register with summary matching to Salary JV</t>
  </si>
  <si>
    <t>TEN-1898</t>
  </si>
  <si>
    <t>Consolidated HR Log is not available</t>
  </si>
  <si>
    <t>No Consolidated HR Log is Available</t>
  </si>
  <si>
    <t>HR will raise a ticket on this since consolidated report is not available in the present HR payroll system</t>
  </si>
  <si>
    <t>PINV-28</t>
  </si>
  <si>
    <t>Bangalore - Pistons</t>
  </si>
  <si>
    <t>(Bangalore - Pistons) (Powertrain) - Management Self-Testing 2025</t>
  </si>
  <si>
    <t>TEN-1901</t>
  </si>
  <si>
    <t xml:space="preserve">HR team to raise ticket with IT team for Payroll Register with summary matching to Salary JV
</t>
  </si>
  <si>
    <t>TEN-1902</t>
  </si>
  <si>
    <t>Bangalore - Rings</t>
  </si>
  <si>
    <t>(Bangalore - Rings) (Powertrain) - Management Self-Testing 2025</t>
  </si>
  <si>
    <t>TEN-1905</t>
  </si>
  <si>
    <t>TEN-1906</t>
  </si>
  <si>
    <t>TEN-1910</t>
  </si>
  <si>
    <t>South Bend</t>
  </si>
  <si>
    <t>PAPA-39</t>
  </si>
  <si>
    <t>(South Bend) (Powertrain) - Management Self-Testing 2025</t>
  </si>
  <si>
    <t>Approval not provided timely</t>
  </si>
  <si>
    <t xml:space="preserve"> Approval did not meet the 10 day work day completion requirement.</t>
  </si>
  <si>
    <t xml:space="preserve">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Indirectly.  IT will be involved to quickly grant access to the reconciliation process documents/systems as expeditiously as possible.
</t>
  </si>
  <si>
    <t>Mark MacInnis- Plant Controller/Jeff Fouts - Plant Controller</t>
  </si>
  <si>
    <t>TEN-1911</t>
  </si>
  <si>
    <t xml:space="preserve">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IT will be involved to quickly grant access to the reconciliation process documents/systems as expeditiously as possible.
</t>
  </si>
  <si>
    <t>TEN-1912</t>
  </si>
  <si>
    <t xml:space="preserve">The Payroll packet is not reviewed and signed off by the Controller or Plant Manager
</t>
  </si>
  <si>
    <t>Effective 10/1, The controller will review the payroll reports each Tuesday after they have been downloaded and saved in the appropriate file directory in the plant's server system, and compare them to journal entries booked, and sign-off to indicate his review.  Any discrepancies between the reports and the journal entries will be investigated and corrected.</t>
  </si>
  <si>
    <t>TEN-1913</t>
  </si>
  <si>
    <t xml:space="preserve">Reconcilement has not been prepared, reviewed or approved in a timely manner.
</t>
  </si>
  <si>
    <t xml:space="preserve">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IT will be involved to quickly grant access to the reconciliation process documents/systems as expeditiously as possible.
</t>
  </si>
  <si>
    <t>TEN-1914</t>
  </si>
  <si>
    <t>Process-Wide Considerations</t>
  </si>
  <si>
    <t>PEFR-01</t>
  </si>
  <si>
    <t>Review not performed timely</t>
  </si>
  <si>
    <t>Finance and Logistics data was not represented in the presentations</t>
  </si>
  <si>
    <t xml:space="preserve">Controller to add to checklist to make sure that financial information is sent to PM and also reviewed at the appropriate meeting with leaders hip team, and document this by meeting agenda, or similar.
</t>
  </si>
  <si>
    <t>TEN-1915</t>
  </si>
  <si>
    <t>PEFR-12</t>
  </si>
  <si>
    <t xml:space="preserve"> Approval did not meet the 10 day work day completion requirement.
</t>
  </si>
  <si>
    <t>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The review will consist of executing a report in SAP known as the "Compact Document Journal" and comparing this report to the list of journal entries.
IT will be involved to quickly grant access to the reconciliation process documents/systems as expeditiously as possible.</t>
  </si>
  <si>
    <t>C, CO, E/O, P&amp;D</t>
  </si>
  <si>
    <t>TEN-1916</t>
  </si>
  <si>
    <t>New detail accounts should be updated on the reconciliation.  Approval did not meet the 10 day workday completion requirement.</t>
  </si>
  <si>
    <t xml:space="preserve">The OneStream to GL reconciliation should contain a listing of all the GL accounts in the SAP subsystem and their referent accounts in OneStream.  All financial reports in OneStream should be reviewed and agreed in all respects to their SAP-generated counterparts.  The Controller should sign off on this review and retain the file in the appropriate electronic archive to evidence that the review was completed on a timely basis.
</t>
  </si>
  <si>
    <t>TEN-1917</t>
  </si>
  <si>
    <t xml:space="preserve">There are no samples to review
</t>
  </si>
  <si>
    <t xml:space="preserve">A reminder will be added to the Controller's calendar (Outlook) to conduct the review of journal entries posted to the supporting list to ensure that all Journal entries were authorized, and no unauthorized Journal entries were posted in the period.  The controller should sign-off and retain the report in the appropriate electronic archive to evidence compliance.
</t>
  </si>
  <si>
    <t>TEN-1918</t>
  </si>
  <si>
    <t xml:space="preserve"> Approval did not meet the 10 day work day completion requirement.  A slight difference in WIP detail (MB5L and KKOA Report) to SAP balance.  April 2025 10Stream numbers pulling in on the reconcilement instead of May.
</t>
  </si>
  <si>
    <t>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IT will be involved to quickly grant access to the reconciliation process documents/systems as expeditiously as possible.</t>
  </si>
  <si>
    <t>TEN-1919</t>
  </si>
  <si>
    <t>PINV-16</t>
  </si>
  <si>
    <t>TEN-1920</t>
  </si>
  <si>
    <t>Required Management approval.  Even though Souad Anaam, SOUTHBEN Materials Manager, Manufacturing signed and dated the MM60 report, the Plant Controller or Plant Manager should also sign off, since Souad created some of the entries.</t>
  </si>
  <si>
    <t xml:space="preserve">In the 4th quarter of each year, the plant controller or his designate will prepare calculations of the plant standard material cost for all purchased items,  labor cost, variable OH cost and fixed OH cost rates.  These calculations should be approved by the plant controller and reviewed with the Plant Manager.  Evidence in the form of emails or similar should be captured and saved in the appropriate archive for this review.  These amounts should be loaded by the Plant Controller or his designate into the SAP system appropriately, and standard costs should be calculated within the SAP system for the following year.  AFter this calculation, the projected new standard costs for each item should be compared to the existing standard costs, and any unusual or unexpected or unusual items should be investigate and corrected as necessary. On 1/1 of the following year, in SAP the new standards should be frozen, to be used for the entire following year.  Changes to purchase prices (Scheduling Agreement prices) for each purchased item are allowed.  However any changes should be reviewed and approved by the Controller when made.  A review of the PPV account activity should be made on a monthly basis, with the report reviewed and approved by the controller and the report retained for evidence of the review. 
</t>
  </si>
  <si>
    <t>TEN-1921</t>
  </si>
  <si>
    <t>LCM analysis was not completed in the second quarter of 2025.</t>
  </si>
  <si>
    <t xml:space="preserve">The LCM Reserve calculation was not made and adjustment posted, because the Controller was absent attending to an ongoing family emergency.  The action plan is to make certain the position of Controller is staffed with a full-time staff member, or that a backup, with access and authorization to complete the reconciliation, is identified and designated on a timely basis.  The process will be performed at the next scheduled quarter end (Q3), on 10/1/2025
</t>
  </si>
  <si>
    <t>TEN-1922</t>
  </si>
  <si>
    <t>There was no Lower Cost/Market (LCM) analysis for the second quarter of 2025.</t>
  </si>
  <si>
    <t xml:space="preserve">On a quarterly basis, the controller or his designated team member performs a calculation to compare the on-hand quantity for all inventory items to recent sales history (according to corporate policy, as amended from time to time) to determine if there are any quantities on hand which meet the corporate criteria for being excess to needs or potentially obsolete, and therefore in need of being reserved for.  For items where this condition is shown to exist, the excess quantity-on-hand for each item for which this condition exists is extended by the standard cost. These amounts are summed and compared to the existing reserve amount as of the balance sheet date, and an adjusting JE is posted to adjust the balance to the calculated amount.  If the calculation is performed by other than the controller, the controller is responsible to review the calculation to ensure correctness.  The Plant's Logistics/Materials manager reviews the listing and confirms the existence and quantities of the excess/obsolete items.  After calculation, the report is reviewed with the plant manager.
</t>
  </si>
  <si>
    <t>Jeff Fouts - Plant Controller</t>
  </si>
  <si>
    <t>TEN-1923</t>
  </si>
  <si>
    <t>This scrap is not verified by an independent party.</t>
  </si>
  <si>
    <t xml:space="preserve">Scrap inventory disposal tickets are not verifiable in the plant because the plant does not have scales large enough.  However, when production scrap is reported into the SAP system, the system uses the standard weight of the scrapped parts to calculate an expected scrap weight and posts that to inventory.  When scrap is disposed, the scrap ticket obtained from the scrap hauler should be compared to this amount by Finance step and unusual differences (+/- 10%) should be investigated. The Controller should document this verification to evidence that this review was undertaken.  While this is not an independent verification, it is a reasonableness check for the amount.  Given the immaterial value of the scrap amounts generated, this is a reasonable detective control in lieu of an independent verification.
</t>
  </si>
  <si>
    <t>TEN-1924</t>
  </si>
  <si>
    <t>PINV-48</t>
  </si>
  <si>
    <t>This scrap is not accrued.  Weights should be forwarded to the Finance Team to be accrued.</t>
  </si>
  <si>
    <t xml:space="preserve">Cash receipts received at the plant should be reconciled in amount to the value of the scrap relieved from the inventory records.  This should be done by plant Finance Staff.   To make certain that scrap transactions are accrued appropriately, an historical calculation of an average scrap value disposed per month should be calculated on a running monthly basis, and a journal entry for the average for the past 12 months should be booked as an accrual each month, and reversed the following month.  Actual cash receipts would be posted when received.  If this method is followed, we will have adequate assurance that a reasonable estimate of scrap revenue will be accrued each month.
</t>
  </si>
  <si>
    <t xml:space="preserve">Mark MacInnis- Plant Controller/Jeff Fouts - Plant Controller
</t>
  </si>
  <si>
    <t>A, C, E/O, R&amp;O, V</t>
  </si>
  <si>
    <t>TEN-1925</t>
  </si>
  <si>
    <t>Depreciation, Subsequent Measurement, and Impairment</t>
  </si>
  <si>
    <t>Inadequate CIP analysis</t>
  </si>
  <si>
    <t>PPAE-16</t>
  </si>
  <si>
    <t>No documented evidence of capital project status updates being performed.</t>
  </si>
  <si>
    <t xml:space="preserve">The controller will add to his Outlook calendar an appointment to review, on a monthlybasis, the active and potential CAR CapEx projects, with emphasis on timing, actual amounts to be spend, necessary updates to the CAR system and estimated completion dates, for reporting to corporate.  Minutes should be taken and saved in the appropriate electronic archive that evidences that this meeting took place.
</t>
  </si>
  <si>
    <t>TEN-1926</t>
  </si>
  <si>
    <t>TEN-1927</t>
  </si>
  <si>
    <t>Acquisitions and Capital Projects</t>
  </si>
  <si>
    <t>(Reynosa) (Performance Solutions) - Management Self-Testing 2025</t>
  </si>
  <si>
    <t>CAR's projects not fully approved on time on CART System</t>
  </si>
  <si>
    <t>CART System must be reviewed and fully approved before creating a new PO request no matter the urgency.  Finance internal review in monthly basis. (Controller &amp; Financial Analyst)</t>
  </si>
  <si>
    <t>Ricardo Garcia Finance analyst/Nubia Sanchez-Finance Lead</t>
  </si>
  <si>
    <t>TEN-1928</t>
  </si>
  <si>
    <t>Multiple invoices of same customer is posted</t>
  </si>
  <si>
    <t>Hugo Bauer was paid by proforma and after we received the invoice with other amount that they were posted and pay again instead to clear with the payment prososal. The system couldn't detect due to different numbers and different amount</t>
  </si>
  <si>
    <t>Create a list of vendor which are usually paid by proforma or both (proforma and invoice) . When we receive an invoice check if there is a payment done before, if yes, check if the amount is the same, if it isn't the same amount, check proforma and invoice by quantities, reference, date and if there is an extra cost. Request after an approval of logistic team requestor if this invoice are related to this proforma, if it is ok, then post the invoice and clear up with the payment immediately to avoid paying twice.</t>
  </si>
  <si>
    <t>Livia Gilcescu, AP Consultant Genpact</t>
  </si>
  <si>
    <t>TEN-1929</t>
  </si>
  <si>
    <t>Payroll register is not reconciled to the general ledger; Review and approval of the reconciliation</t>
  </si>
  <si>
    <t>I couldn't test all evidence</t>
  </si>
  <si>
    <t>Provide the evidence which is reconciled</t>
  </si>
  <si>
    <t>Esmeralda Tabernero, Plant controller</t>
  </si>
  <si>
    <t>TEN-1930</t>
  </si>
  <si>
    <t>IT - Backups</t>
  </si>
  <si>
    <t>System does not prevent while creating duplicate invoices</t>
  </si>
  <si>
    <t xml:space="preserve">The control failed for the locations using the following ERP's: PLEX and AS400 . These systems do not flag duplicate invoices. </t>
  </si>
  <si>
    <t>The modules or features that would prevent duplicate postings are to be enabled in those systems. If not possible a robust DAT process needs to be implemented prior to payment execution (external process not embedded in the ERP's). The proffered solution is the system driven one in order to avoid payment delays or manual errors.</t>
  </si>
  <si>
    <t>Gaston Roeschli</t>
  </si>
  <si>
    <t>TEN-1931</t>
  </si>
  <si>
    <t>Ploiesti</t>
  </si>
  <si>
    <t>(Ploiesti) (Performance Solutions) - Management Self-Testing 2025</t>
  </si>
  <si>
    <t>Slow-moving spare parts not reviewed timely; annual review required.</t>
  </si>
  <si>
    <t>The review of slow moving, obsolete stock is not properly performed on timely basis. As we are speaking about spare parts inventory, slow moving inventory has to be reviewed at least on annual basis to ensure there is no obsolete risk.</t>
  </si>
  <si>
    <t>Plant needs to perform on annual basis a full review of slow moving and obsolete stock together with maintenance department</t>
  </si>
  <si>
    <t>Roxana Pilea, Snr Financial Analyst</t>
  </si>
  <si>
    <t>TEN-1932</t>
  </si>
  <si>
    <t>Napoleon</t>
  </si>
  <si>
    <t>PAPA-22</t>
  </si>
  <si>
    <t>(Napoleon) (Performance Solutions) - Management Self-Testing 2025</t>
  </si>
  <si>
    <t>Approval not received before purchase is complete</t>
  </si>
  <si>
    <t xml:space="preserve">Working on including pro-card purchases in the purchase request system in SharePoint for Napoleon.  </t>
  </si>
  <si>
    <t>Diane Stahl, Plant Finance Leader</t>
  </si>
  <si>
    <t>TEN-1933</t>
  </si>
  <si>
    <t>Missing scrap codes, unsigned labor sheets, incomplete red tag logs.</t>
  </si>
  <si>
    <t>There are missing scrap codes on the labor sheets.  There are labor sheets that are not signed/dated.  There are missing number of parts on the red tag log.</t>
  </si>
  <si>
    <t>For labor sheets not signed, HR will be sending the unsigned labor sheets to the Operations Manager to get signed by the supervisors. We are currently moving the scrap entry over to the supervisors.  1st shift is now being trained and completing the scrap entry.  Once that is complete, this method will be rolled out to the other shifts.  We are also in the process of setting a process in place and training individuals on how to move inventory into blocked status and scrap from that blocked status.  This will eliminate the fact that the red tag log does not have part numbers listed.</t>
  </si>
  <si>
    <t>Kay Massel (Human Resources Administrator), Charles Zupan (Operations Manager), &amp; Diane Stahl (Plant Finance Leader)</t>
  </si>
  <si>
    <t>TEN-1934</t>
  </si>
  <si>
    <t>PPAE-05</t>
  </si>
  <si>
    <t>Project spending exceeds approved CART; see Fixed Asset List 05/31/2025.</t>
  </si>
  <si>
    <t>Some projects have spending that exceeding the approved CART amount.  Refer to the G:\NAPACCT\COMMON\Month End\2025\Capital\Fixed Assets folder and the report is Fixed Asset List 05.31.2025</t>
  </si>
  <si>
    <t>Project leads need to manage and track their forecasting and spend to ensure that they do not exceed original CART amount if there is not a supplemental submitted to cover the difference.  Capital spend meetings are scheduled monthly to communicate where each project is and what has and has not been spent.</t>
  </si>
  <si>
    <t>Madeline Cordes, Financial Analyst</t>
  </si>
  <si>
    <t>TEN-1935</t>
  </si>
  <si>
    <t>Meadowview</t>
  </si>
  <si>
    <t>(Meadowview) (DRiV)- Management Self-Testing 2025</t>
  </si>
  <si>
    <t>The impairment analysis has not been performed.</t>
  </si>
  <si>
    <t>An impairment analysis should be performed at least once a year. The analysis for 2025 will be performed in November.</t>
  </si>
  <si>
    <t>Teresa Martinho, Accountant</t>
  </si>
  <si>
    <t>TEN-1936</t>
  </si>
  <si>
    <t>(Celaya - OE) (Performance Solutions)- Management Self-Testing 2025</t>
  </si>
  <si>
    <t>Lease balances are not supported</t>
  </si>
  <si>
    <t xml:space="preserve">Lease and car leasing records in SAP do not match, the monthly balances reviewed in the reconciliation have differences datas, the lease information is outdated with the current agreement of the vehicle plant. This variance started since January 2025. </t>
  </si>
  <si>
    <t>Internal action plan is review the monthly record between lease corporate team and celaya team to find the variances and propose the JE corrections to reconciliate the balances. due internal changes, it not been possible to carry out solution, the due date to solve this deficency will be december close 2025.</t>
  </si>
  <si>
    <t xml:space="preserve">Alejandro R. </t>
  </si>
  <si>
    <t>TEN-1937</t>
  </si>
  <si>
    <t>Reconciliation was not reviewed and approved</t>
  </si>
  <si>
    <t xml:space="preserve">During review of reconciliations, was founded lease reconciliation without review and without approval on April specifiqly. this reconciliation not is complishment with the policy of the plant. </t>
  </si>
  <si>
    <t>Action plan is request the revision and approval the reconciliation, additional clarify the variances if there are. Applying this action plan we are in complisment with the policy of the plant. This activity must be completed on october 17th, 2025.</t>
  </si>
  <si>
    <t>TEN-1938</t>
  </si>
  <si>
    <t>PEFR-79</t>
  </si>
  <si>
    <t>Unsupported and Ageing balances</t>
  </si>
  <si>
    <t xml:space="preserve">During accrual reconciliation revision was founded balance accruals without document support and the aging of the balances coming from several years ago, according policy it should keep during one year in booking.   </t>
  </si>
  <si>
    <t>Request the revision of the all accrual reconciliations to clear the balances and leave document support for each record in SAP. After that the balances should keep reconciliates and under revision and control. Reconciliation must be done on november 30th, 2025.</t>
  </si>
  <si>
    <t>A, CO, R&amp;O, V</t>
  </si>
  <si>
    <t>TEN-1939</t>
  </si>
  <si>
    <t>Approval has not been documented</t>
  </si>
  <si>
    <t xml:space="preserve"> Some document not have manager approval, lack of control of the approval documents. </t>
  </si>
  <si>
    <t>Analysis and control the master file and keep all approvals updated and completed by each movement not than december 2025.</t>
  </si>
  <si>
    <t>TEN-1940</t>
  </si>
  <si>
    <t>Inventory Adjustments not approved</t>
  </si>
  <si>
    <t xml:space="preserve">Some document reviewed not approved by management, the revision the document not is appropriate because is missed approvals. </t>
  </si>
  <si>
    <t>The control and analysis of inventory adjustments must be reviewed and approved before being updated in the system, if something is not approved, must be rejected. all the changes approval must be completed not than december 2025.</t>
  </si>
  <si>
    <t>Carolina Espinoza</t>
  </si>
  <si>
    <t>TEN-1941</t>
  </si>
  <si>
    <t>PPAE-13</t>
  </si>
  <si>
    <t>CWIP not capitalized timely</t>
  </si>
  <si>
    <t xml:space="preserve">According CWIP revision there are item not capitalized since 2021 year, lack of follow up in this items and missing the useful life analysis for this items. </t>
  </si>
  <si>
    <t>Implement better control and analysis for CWIP, keep a follow up monthly and do an analysis for capitalize all item coming from several year ago, not than december 2025.</t>
  </si>
  <si>
    <t>A, V</t>
  </si>
  <si>
    <t>TEN-1942</t>
  </si>
  <si>
    <t>Control was not performed</t>
  </si>
  <si>
    <t xml:space="preserve">Was requested evidence from inventories the fixed assets, however, not are any evidence or document for support the activity, internal changes in the position and lack of follow up on this activity. </t>
  </si>
  <si>
    <t xml:space="preserve">Inventory fixed asset is planed will be carried out in march 2026, and all the information must be identify and recorded in the system, any disposal or movement must be approved by management team, and the final file must be control monthly. </t>
  </si>
  <si>
    <t>TEN-1943</t>
  </si>
  <si>
    <t>Lack of follow up with the movement balances, some balances not make mach with the SAP and worksheet, lack of control with some items.</t>
  </si>
  <si>
    <t xml:space="preserve">The information reviewed until september 2025 is implemented and the control and balances are rigths. The montly reconciliation the roll forward is showing a good balances, and the approvals is supported with documents. </t>
  </si>
  <si>
    <t>TEN-1944</t>
  </si>
  <si>
    <t>Unsupported and Negative balances</t>
  </si>
  <si>
    <t xml:space="preserve">Some balances are in negative, is necessary request a tickt for IT in order to solve it. </t>
  </si>
  <si>
    <t xml:space="preserve">Some balances are in negative, is necessary request a ticket for IT in order to solve it. Already request to IT to solve the issue, we are waiting for the respond. </t>
  </si>
  <si>
    <t>Alejandro R.</t>
  </si>
  <si>
    <t>(Stadtallendorf) (Powertrain)- Management Self-Testing 2025</t>
  </si>
  <si>
    <t>PAPA-38</t>
  </si>
  <si>
    <t>A, C, CO</t>
  </si>
  <si>
    <t>Wilhelm Rönninger, Plant Controller</t>
  </si>
  <si>
    <t>A, C, CO, V</t>
  </si>
  <si>
    <t>TEN-1972</t>
  </si>
  <si>
    <t>PINV-30</t>
  </si>
  <si>
    <t>Standard costs effective Dec 31, 2024 lacked required Group Controller approval.</t>
  </si>
  <si>
    <t>Newly calculated standard costs must be approved at the Group Controller/Finance Director level to become effective as of December 31st. It was noted that the standard costs that became effective as of December 31st 2024 were not approved from the Group Controller/Finance Director.</t>
  </si>
  <si>
    <t>We will ask the Group Controller to approve the standard costs that will be calculated in December 2025 and which will become effective as of December 31, 2025.</t>
  </si>
  <si>
    <t>TEN-1978</t>
  </si>
  <si>
    <t>REVE-17</t>
  </si>
  <si>
    <t xml:space="preserve"> Pricing Override Report was not reviewed</t>
  </si>
  <si>
    <t xml:space="preserve">"The Pricing Override Report was not reviewed and approved on a timely basis and not appropriately signed by the Plant Controller to evidence timely sign-off.
</t>
  </si>
  <si>
    <t xml:space="preserve">The sign-off of the Pricing Override Report will be added to the Controller's standard monthly control review schedule.  As part of this process, the Controller will review and investigate any discrepant prices to ensure that they are correct and adequately explained and documented.  The Controller will sign-off on the report evidence completion of this control and the report will be retained in electronic format in the appropriate file directory.
</t>
  </si>
  <si>
    <t>TEN-1979</t>
  </si>
  <si>
    <t xml:space="preserve">Support for the pricing file was for May 2024 Approval did not meet the 10 day workday completion requirement.
</t>
  </si>
  <si>
    <t>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 eht reconciliation, is identified and designated on a timely basis.  In addition, the Controller should make certain as part of his review and sign-off that the pricing reports are dated appropriately and cover the period for which the approval is being made.
 IT will be involved to quickly grant access to the reconciliation process documents/systems as expeditiously as possible.</t>
  </si>
  <si>
    <t>TEN-1980</t>
  </si>
  <si>
    <t>Shared Services Center - AR (PS)</t>
  </si>
  <si>
    <t>Shared Service (Performance Solutions)</t>
  </si>
  <si>
    <t>REVE-03</t>
  </si>
  <si>
    <t>SSC Certification - AR (PS) - Management Self-Testing 2025</t>
  </si>
  <si>
    <t>Approval Sign-off missing</t>
  </si>
  <si>
    <t>No manager approval signature</t>
  </si>
  <si>
    <t>Define Manager sign off process with correct parties</t>
  </si>
  <si>
    <t>Amy Osborne</t>
  </si>
  <si>
    <t>TEN-1981</t>
  </si>
  <si>
    <t>Was not approved thru workflow process</t>
  </si>
  <si>
    <t xml:space="preserve">Define workflow process owners ( due to several transitions along 2024-2025 approval process got lost and was restarted Q2 post stabilization); now process in place with current owners until new owners can be defined </t>
  </si>
  <si>
    <t>TEN-1982</t>
  </si>
  <si>
    <t>Bad Debts</t>
  </si>
  <si>
    <t>REVE-46</t>
  </si>
  <si>
    <t>Bad Debt reserve analysis not done until June 2025</t>
  </si>
  <si>
    <t>Bad Debt reserve analysis performed effectively after September month-end close</t>
  </si>
  <si>
    <t>Lisa Ball / Catalina Boeru / Antonio Guzman</t>
  </si>
  <si>
    <t>TEN-1983</t>
  </si>
  <si>
    <t>Payer creation was not sent for approval</t>
  </si>
  <si>
    <t>Amy Osborne / Olga Chirila / Roxana Popescu</t>
  </si>
  <si>
    <t>TEN-1984</t>
  </si>
  <si>
    <t>NATC/USDC</t>
  </si>
  <si>
    <t>Background: All locations were required to complete self-testing by July 31, 2025. The location requested an extension up to September 30 2025. However, the self-testing was not completed for the year 2025 at extended timeline also.
Risk: Absence of self-evaluation of controls increases risk of non-compliance of applicable controls.</t>
  </si>
  <si>
    <t>Shana Shults (Plant Finance Leader)</t>
  </si>
  <si>
    <t>TEN-1985</t>
  </si>
  <si>
    <t>Brunswick</t>
  </si>
  <si>
    <t>TEN-1986</t>
  </si>
  <si>
    <t>Athens</t>
  </si>
  <si>
    <t>(Athens) (Powertrain)- Management Self-Testing 2025</t>
  </si>
  <si>
    <t>The system does not prevent duplicates</t>
  </si>
  <si>
    <t xml:space="preserve">The system does not prevent duplicates. Share services now enters all invoices in this transition it's been learning curve and delay in cleaning up the duplicates. </t>
  </si>
  <si>
    <t xml:space="preserve">Weekly report, meeting and cleaning up unmatched live and document control system  is being held with shared services. </t>
  </si>
  <si>
    <t>Syd Barnes -  Sr. Accountant/Hector Cordova - Plant Finance Manager/New Person filling this role - Plant Accountant</t>
  </si>
  <si>
    <t>10/13/2025</t>
  </si>
  <si>
    <t>TEN-1987</t>
  </si>
  <si>
    <t>PAPA-20</t>
  </si>
  <si>
    <t>Payments do not align with the approved proposal</t>
  </si>
  <si>
    <t>Checks are not handled in Athens. Requires collaboration with Coporate Purchasing and AP SSC to ensure they are reconciling account. Proposal is approved by Director of Purchasing and processed by AP SSC. Initial review for prioritization performed at the site, however, based on cash flow management via Corporate Purchasing, payments are approved and processed per the the Purchasing Team considering the priorities established by the site. This may or may not align with the amount and priorities set for the proposal due to cash management strategy.</t>
  </si>
  <si>
    <t>Follow up with AP SSC and Corporate Purchasing to identify a control or action to meet the desired result.</t>
  </si>
  <si>
    <t>Syd Barnes - Sr. Accountant in collaboration with the Corporate Purchasing and AP Shared Services</t>
  </si>
  <si>
    <t>TEN-1988</t>
  </si>
  <si>
    <t>AP Aging and General Ledger totals do not balance.</t>
  </si>
  <si>
    <t xml:space="preserve">Our AP function has been transferred to the AP shared services team.  Interface AP unmatched live has duplicate invoices, paid invoices and receipts unmatched which creates out of balance between aging report and balance sheet balances.   </t>
  </si>
  <si>
    <t xml:space="preserve">We are working with the shared services team to remove duplicate and invalid transactions from the unmatched live report.   </t>
  </si>
  <si>
    <t>Syd Barnes - Sr. Accountant/Hector Cordova - Plant Finance Manager</t>
  </si>
  <si>
    <t>TEN-1989</t>
  </si>
  <si>
    <t>Inventory master file changes are not appropriately reviewed by management</t>
  </si>
  <si>
    <t xml:space="preserve">The ECRs containing the BOM and Routing changes are not tracked and are not reviewed by the cost accountant. There is not a revision of before and after cost, and the paper can be easily lost. </t>
  </si>
  <si>
    <t>The ECR needs to migrate to ECR tool, which is in PLEX and with this the workflow can be easily approved electronically. The ECR tool will be migrated to PLEX on July month. This was postponed to October as the complexities and training has taken more time than anticipated.</t>
  </si>
  <si>
    <t>Fabiola Briceno - Sr. Cost Accountant</t>
  </si>
  <si>
    <t>TEN-1991</t>
  </si>
  <si>
    <t>Impairment analysis not performed periodically</t>
  </si>
  <si>
    <t>Due to several issues related to the PPE process, an impairment was not completed in 2024-2025. Now that these issues have been resolve, we anticipate completing an impairment analysis before year end.</t>
  </si>
  <si>
    <t>Complete an impairment analysis before year end and schedule an impairment analysis procedure to be completed, annually.</t>
  </si>
  <si>
    <t>Syd Barnes - Sr. Accountant                                                    Hector Cordova - Plant Finance Manager</t>
  </si>
  <si>
    <t>TEN-1992</t>
  </si>
  <si>
    <t>Changzhou</t>
  </si>
  <si>
    <t>(Changzhou RC) (Performance Solutions)- Management Self-Testing 2025</t>
  </si>
  <si>
    <t>Timely Capitalization of completed capital projects</t>
  </si>
  <si>
    <t xml:space="preserve">Assets associated with completed projects haven't been capitalized in timely manner. </t>
  </si>
  <si>
    <t>Regular review with related departments to accelerate the capitalization process. CIP aging over 1 year reduced from last year Jun end $10M to this year Jun end $3.1M.
Great improvement in past 1 year, keep same process</t>
  </si>
  <si>
    <t>Rachel Xiang, Plant Finance Leader</t>
  </si>
  <si>
    <t>TEN-1993</t>
  </si>
  <si>
    <t>Production inventory metrics review not performed</t>
  </si>
  <si>
    <t>No information was found related to this point. Per discussion with the Cost Supervisor due to internal changes in the position this control was not executed.</t>
  </si>
  <si>
    <t>The review of the Production inventory metrics should be performed every month. Per discussion with Cost Supervisor, the control will be executed from December 2025.</t>
  </si>
  <si>
    <t>Jezabel Rodriguez/Adriana Pacheco</t>
  </si>
  <si>
    <t>TEN-1994</t>
  </si>
  <si>
    <t>PAYR-18</t>
  </si>
  <si>
    <t>(Ploiesti) (Performance Solutions)- Management Self-Testing 2025</t>
  </si>
  <si>
    <t xml:space="preserve">MIP monthly Accrual is based on AOP level and it is not updated once a manager is leaving or a position was not yet hired. </t>
  </si>
  <si>
    <t>The update of MIP monthly accrual should be done on quarterly basis if the situation requires that. A true up should be perform if needed.</t>
  </si>
  <si>
    <t>Elena Savu (Payroll Specialist)</t>
  </si>
  <si>
    <t>C, CO, R&amp;O</t>
  </si>
  <si>
    <t>TEN-1995</t>
  </si>
  <si>
    <t>Not performed in December 2024, scheduled to be performed during the year-end inventory count in December 2025.</t>
  </si>
  <si>
    <t>To be performed at the year-end inventory count in Dec-2025</t>
  </si>
  <si>
    <t>Fixed assets stock take should be performed by December 25</t>
  </si>
  <si>
    <t>Luciana Coman, GL Supervisor</t>
  </si>
  <si>
    <t>10/24/2025</t>
  </si>
  <si>
    <t>Incomplete Review</t>
  </si>
  <si>
    <t>TEN-2001</t>
  </si>
  <si>
    <t>(Burscheid) (Powertrain)  - Management Self-Testing 2025</t>
  </si>
  <si>
    <t>GL  and Sub-ledger does not agree</t>
  </si>
  <si>
    <t xml:space="preserve">General ledger does not match with subledger due to 2 different independet systems which are not synchronized correctly. </t>
  </si>
  <si>
    <t>SSC will return to the old system (move from FP1 to RLP)</t>
  </si>
  <si>
    <t>GASTON ROESCHLI, Director, Operational Finance BRM</t>
  </si>
  <si>
    <t>TEN-2005</t>
  </si>
  <si>
    <t>(Napoleon) (Performance Solutions)   - Management Self-Testing 2025</t>
  </si>
  <si>
    <t>Supervisors are not signing every single time card that is submitted by the workers in their departments</t>
  </si>
  <si>
    <t>The supervisor enters the time into SAP for payroll.  They also submit a paper timecard which is not being signed regularly.  HR will be sending the unsigned timecards to the Operations Manager to get signatures going forward.</t>
  </si>
  <si>
    <t>TEN-2006</t>
  </si>
  <si>
    <t>Communication not clear and not reaching all people involved in process</t>
  </si>
  <si>
    <t>We recently hired an Engineering Manager and we are working with him to get this control in place.  In the meantime, we review the production variance report to look for any variances weekly and we review the sales planned out three months to look for any parts that do not have a standard cost.</t>
  </si>
  <si>
    <t>Steven Tayler, Manufacturing Engineering manager</t>
  </si>
  <si>
    <t>TEN-2007</t>
  </si>
  <si>
    <t>Last physical inventory for fixed assets was completed in December 2019.  It is supposed to take place every 5 years.</t>
  </si>
  <si>
    <t>Physical Inventory of fixed assets needs to be completed Q3/Q4 of 2025</t>
  </si>
  <si>
    <t>TEN-2008</t>
  </si>
  <si>
    <t>Elkhart</t>
  </si>
  <si>
    <t>(Elkhart) (Clean Air)    - Management Self-Testing 2025</t>
  </si>
  <si>
    <t xml:space="preserve">Payroll master file is not reviewed </t>
  </si>
  <si>
    <t>Reports were not available.  With personnel changes this was left out.</t>
  </si>
  <si>
    <t>Report will be ran and audited monthly.</t>
  </si>
  <si>
    <t>Janet Anthony, Plant Controller</t>
  </si>
  <si>
    <t>TEN-2009</t>
  </si>
  <si>
    <t>Braking America</t>
  </si>
  <si>
    <t>(Braking America) (Performance Solutions)     - Management Self-Testing 2025</t>
  </si>
  <si>
    <t>Q2 Lease Validation has not been completed and returned to Corporate Leasing</t>
  </si>
  <si>
    <t>Complete training of financial analyst to take over Lease Validation submission</t>
  </si>
  <si>
    <t>Holly York - Operational Finance Leader</t>
  </si>
  <si>
    <t>TEN-2010</t>
  </si>
  <si>
    <t>Lack of Documentation</t>
  </si>
  <si>
    <t>Approval process was not formally documented</t>
  </si>
  <si>
    <t>All recons moving to OS reconciliation process</t>
  </si>
  <si>
    <t>TEN-2011</t>
  </si>
  <si>
    <t>TEN-2012</t>
  </si>
  <si>
    <t>TEN-2013</t>
  </si>
  <si>
    <t>TEN-2014</t>
  </si>
  <si>
    <t>(Grass Lake) (Clean Air)     - Management Self-Testing 2025</t>
  </si>
  <si>
    <t>Periodic review not performed</t>
  </si>
  <si>
    <t>Recons have not been done since last Feb 2025 due to personnel change, lack of knowledge and training and also of access to Visual Lease platform.</t>
  </si>
  <si>
    <t>1. require Access to Visual Lease platform
2. reconcile One Stream vs Visual Lease accounts
3. Look for discrepancies causes
4. make sure contracts are updated, all leases expense under Grass Lake are properly reflect in Visual Lease data base
5. complete Visual Lease recons on monthly basis</t>
  </si>
  <si>
    <t>Diana Vazquez, Finance Plant Leader</t>
  </si>
  <si>
    <t>TEN-2015</t>
  </si>
  <si>
    <t>Timely communication to the corporate team</t>
  </si>
  <si>
    <t>Renewals have not been informed to plant and therefore to Visual Lease management, discrepancies have not been identified as monthly recons have not been completed</t>
  </si>
  <si>
    <t>TEN-2016</t>
  </si>
  <si>
    <t>Lack of knowledge of processes within the team</t>
  </si>
  <si>
    <t>lack of knowledge about the existence of the platform and process</t>
  </si>
  <si>
    <t>TEN-2017</t>
  </si>
  <si>
    <t>BS monthly recons were tested, however the t4est is different from control described, also ADP report doesn't detail employee names or numbers to determinate if there is someone inactive getting paid. |</t>
  </si>
  <si>
    <t>1. meet with HR team, to review the whole process and understand how ADP gets payment instructions
2. put in place a documental process through Teams Approval app, to review, correct and approve weekly hour to be paid.
3. along with HR determinate best way to cross the weekly reviewed file with payment runs recorder by ADP in SAP</t>
  </si>
  <si>
    <t>Diana Vazquez (Finance plant leader)
Emily Herd (HR plant manager)</t>
  </si>
  <si>
    <t>TEN-2018</t>
  </si>
  <si>
    <t>PAYR-15</t>
  </si>
  <si>
    <t xml:space="preserve">BS monthly recons were tested, however the t4est is different from control described, also ADP report doesn't detail employee names or numbers to determinate if there is someone inactive getting paid. </t>
  </si>
  <si>
    <t>1. meet with HR team, to review the whole process and understand how ADP gets payment instructions
2. put in place a documental process through Teams Approval app, to review, correct and and approve weekly hour to be paid.
3. along with HR determinate best way to cross the weekly reviewed file with payment runs recorder by ADP in SAP</t>
  </si>
  <si>
    <t>TEN-2019</t>
  </si>
  <si>
    <t>Smithville (Performance Solutions)</t>
  </si>
  <si>
    <t>(Smithville) (Performance Solutions)  - Management Self-Testing 2025</t>
  </si>
  <si>
    <t>Quarterly shrink reserve management review</t>
  </si>
  <si>
    <t xml:space="preserve"> Shrink reserve has not been calculated as the inventory adjustments have been immaterial.   Going forward, the reserve will be calculated quarterly and reviewed by management.</t>
  </si>
  <si>
    <t>Shrink reserve entries will be calculated by Sept. 2025 month-end to be in compliance with the accounting policy.</t>
  </si>
  <si>
    <t>Christi Pereira, Plant Finance Leader</t>
  </si>
  <si>
    <t>TEN-2020</t>
  </si>
  <si>
    <t>Subledger and ledger entries mismatch</t>
  </si>
  <si>
    <t xml:space="preserve">Subledger does not agree with the general ledger.  The Purchase Accounting entries were made on the general ledger level but not in the subledger. </t>
  </si>
  <si>
    <t xml:space="preserve">Send differences to fixed asset and general ledger Shared Services teams for resolution.  Plant level finance does not have access to the SAP FA subledger to make corrections. </t>
  </si>
  <si>
    <t>TEN-2021</t>
  </si>
  <si>
    <t>Puebla - Bearings</t>
  </si>
  <si>
    <t>((Puebla - Bearings) (Powertrain)  - Management Self-Testing 2025</t>
  </si>
  <si>
    <t>Control has not been executed</t>
  </si>
  <si>
    <t xml:space="preserve">Not recently activity. Last example was on November 22th, 2024.    </t>
  </si>
  <si>
    <t xml:space="preserve">This activity will be performed with due date November 24th . And every quarter in order to identify inactive or idle assets </t>
  </si>
  <si>
    <t>R. Sorcia, Cost Analyst</t>
  </si>
  <si>
    <t>TEN-2022</t>
  </si>
  <si>
    <t>Rosario</t>
  </si>
  <si>
    <t>(Rosario) (Performance Solutions)   - Management Self-Testing 2025</t>
  </si>
  <si>
    <t>Reconciliation not performed timely</t>
  </si>
  <si>
    <t>Approval date after 10th business day according to policy 0-40</t>
  </si>
  <si>
    <t xml:space="preserve">Reconciliation policy 0-040 compliance </t>
  </si>
  <si>
    <t>Jorgelina Bessone, Accounting Manager</t>
  </si>
  <si>
    <t>TEN-2023</t>
  </si>
  <si>
    <t>Rich Fox, Accountant</t>
  </si>
  <si>
    <t>TEN-2024</t>
  </si>
  <si>
    <t>TEN-2031</t>
  </si>
  <si>
    <t>Cambridge</t>
  </si>
  <si>
    <t>(Cambridge - Ignition) (Powertrain)   - Management Self-Testing 2025</t>
  </si>
  <si>
    <t xml:space="preserve">Master data reports have been printed but not consistently signed off on. </t>
  </si>
  <si>
    <t>This step will be added to a closing checklist and moving forward they will be saved in Adobe PDF and sent for E-signature to Controller, Sadie Yontz.</t>
  </si>
  <si>
    <t>Sadie Yontz, Plant Finance Leader
	 and Bonnie Warne, Senior Financial Analyst</t>
  </si>
  <si>
    <t>Lack of Documentation &amp; Incomplete review</t>
  </si>
  <si>
    <t>There has not been a proper review or maintenance of a journal entry checklist, entries could be at risk for being missed.</t>
  </si>
  <si>
    <t>Sadie Yontz, Plant Finance Leader</t>
  </si>
  <si>
    <t>TEN-2033</t>
  </si>
  <si>
    <t>There will be a central checklist that will include required journal entries to be made, individual will initial and date when JE is completed and posted in Plex. Controller review the list and sign off monthly for approval using Adobe E Sign. There will be a comparison of the ledger in Plex to the JE sign off sheet to make sure all entries are accounted for in ledger.</t>
  </si>
  <si>
    <t>TEN-2034</t>
  </si>
  <si>
    <t>TEN-2035</t>
  </si>
  <si>
    <t xml:space="preserve">These reports were sent monthly as a part of the closing process up until March 2025. Since then, due to leadership struggles, attrition, and workload, the review has fallen away. </t>
  </si>
  <si>
    <t>Bonnie Warne will start sending the master data changes file again monthly to the Plant Controller, Sadie Yontz, for review and approval. We will add it to the month end closing checklist for October and future months.</t>
  </si>
  <si>
    <t>TEN-2036</t>
  </si>
  <si>
    <t>Tenneco Romania Services (Bucharest Corporate)</t>
  </si>
  <si>
    <t>PEFR-05</t>
  </si>
  <si>
    <t>(Bucharest) (Corporate) - Management Self-Testing 2025</t>
  </si>
  <si>
    <t>Access logs not available for review after approval is granted</t>
  </si>
  <si>
    <t>Going forward we will be retaining screenshots of the approval provided in the system on a real-time basis.</t>
  </si>
  <si>
    <t>Georgiana Pavel, Site Finance Controller</t>
  </si>
  <si>
    <t>10/28/2025</t>
  </si>
  <si>
    <t>TEN-2037</t>
  </si>
  <si>
    <t>DRiV Romania Services (Bucharest DRiV)</t>
  </si>
  <si>
    <t>Corporate (DRiV)</t>
  </si>
  <si>
    <t>(Bucharest) (DRIV) - Management Self-Testing 2025</t>
  </si>
  <si>
    <t>TEN-2038</t>
  </si>
  <si>
    <t>REVE-41</t>
  </si>
  <si>
    <t>Review not performed</t>
  </si>
  <si>
    <t xml:space="preserve">Will be review in November, because we need the process in the company. </t>
  </si>
  <si>
    <t xml:space="preserve">Action plan will be tested in November, because we need involve on the process to review it.  </t>
  </si>
  <si>
    <t>Alejandro R., Financial Analyst</t>
  </si>
  <si>
    <t>TEN-2039</t>
  </si>
  <si>
    <t>Customer Funded Tooling</t>
  </si>
  <si>
    <t>REVE-48</t>
  </si>
  <si>
    <t>TEN-2041</t>
  </si>
  <si>
    <t xml:space="preserve">There has not been a regular review for impairment on assets in the most recent year, which does not align with the quarterly requirement as dictated by policy. </t>
  </si>
  <si>
    <t xml:space="preserve">We will be an impairment review to our finance meetings on a quarterly basis. This will involve finance meeting with the operations team to review the list of assets and determine if impairment is necessary. This will be added on to our quarterly close check list as required reporting. </t>
  </si>
  <si>
    <t>Oct</t>
  </si>
  <si>
    <t>Monroe Ride Solutions (Performance Solutions) - APAC</t>
  </si>
  <si>
    <t>Systems Protection (Performance Solutions) - APAC</t>
  </si>
  <si>
    <t>OE Braking (Performance Solutions) - EMEA</t>
  </si>
  <si>
    <t>Monroe Ride Solutions (Performance Solutions) - EMEA</t>
  </si>
  <si>
    <t>Aartselaar/Kontich</t>
  </si>
  <si>
    <t>NVH (Performance Solutions) - Americas</t>
  </si>
  <si>
    <t>A 4 eyes control in place//all the JV are approved by the plant controller and the approval e-mails are attached in SAP for audit trail. But this is a manual process therefore having a workflow to manage this is preferable. IT to suggest workflows that can be implemented to replace the manual process ex. Serrala.</t>
  </si>
  <si>
    <t>India (Champion Ignition)</t>
  </si>
  <si>
    <t>Monroe Ride Solutions (Performance Solutions) - Americas</t>
  </si>
  <si>
    <t>Self-testing not completed timely/ not updated as per guidelines</t>
  </si>
  <si>
    <t>Cardiff (DRiV) -Management Self-Testing Report 2025</t>
  </si>
  <si>
    <t>Argentina Aftermarket (DRiV) - Management Self-Testing Report 2025</t>
  </si>
  <si>
    <t>Argentina Bearings &amp; Pistons (DRiV) - Management Self-Testing Report 2025</t>
  </si>
  <si>
    <t>Angola (PS) -Management Self-Testing Report 2025</t>
  </si>
  <si>
    <t>Fixed Asset validation is complete, still pending to finalize the reconciliation VS Plex System so the remediation date is targeted to be completed at the end of Q4 2025.</t>
  </si>
  <si>
    <t>GVT Brazil (Santo Andre)</t>
  </si>
  <si>
    <t>OE Braking (Performance Solutions) - APAC</t>
  </si>
  <si>
    <t>OE Braking (Performance Solutions) - Americas</t>
  </si>
  <si>
    <t>Americas (Champion Ignition)</t>
  </si>
  <si>
    <t>TEN-2042</t>
  </si>
  <si>
    <t>Shanghai</t>
  </si>
  <si>
    <t>Asia Pacific (Clean Air)</t>
  </si>
  <si>
    <t>SAP access</t>
  </si>
  <si>
    <t>Shanghai - Clean Air - Full Scope 2025</t>
  </si>
  <si>
    <t>SAP user access management requires improvement</t>
  </si>
  <si>
    <t xml:space="preserve">Per analytics review of 111 SAP user accounts, identified the following control deficiencies:
Nanjing：
SAP Password Sharing: According to global &lt;Access Control Policy&gt;, each user must be assigned a unique sign-on ID and password to ensure individual accountability. Sharing user IDs and passwords is strictly prohibited. Per on-site inspection, noted that 1 SAP account from QA supervisor were shared to 3 QA inspectors. 
Shanghai：
SOD SAP User Access: By comparing SAP access rights with employees' R&amp;R, noted that the Cashier, responsible for payment process, is granted with SAP vendor master create/change/delete access rights. Though no changes made by the Cashier.
Untimely Deletion of Resign Employee’s SAP Access: 1 SAP accounts for a terminated employee was not revoked timely after departure.
</t>
  </si>
  <si>
    <t xml:space="preserve">Reinforce training and communication on access security policies, with emphasis on individual accountability and the risks of password sharing. 
Clarify and strengthen the responsibilities of Role Approvers and Role Owners in access request reviews and periodic certifications, including validation against job functions and SOD rules. 
Implement a checklist to ensure HR consistently submits request ticket to global IT team for access deactivation.
</t>
  </si>
  <si>
    <t xml:space="preserve">During employee onboarding training, the topics of "one username per ID number" and "passwords must not be shared" should be delivered to employee.
SOD review and separate authority and responsibility and complete for 2 SAP account for 2 QA inspectors.
HR regularly update the employee list with SAP user name. Finance check the consistency between the list with the SAP system.  The result was reviewed by HR.
</t>
  </si>
  <si>
    <t>Emma Meng (Senior HR Manager)</t>
  </si>
  <si>
    <t>10/31/2025</t>
  </si>
  <si>
    <t>TEN-2043</t>
  </si>
  <si>
    <t>Surveillance Camera Management ​
Door / Badge Access</t>
  </si>
  <si>
    <t>Plant safety management requires improvement</t>
  </si>
  <si>
    <t xml:space="preserve">Ningbo:
Inadequate Site Security: Ningbo Plant is not an independent site, which shares the campus with other external companies. However, noted that the raw materials are stored in an outdoor area with no anti-theft measures, and security at the campus gate did not inspect any departing vehicles.
Gaps in CCTV Surveillance: Ningbo Plant performs CCTV footage checks monthly. Per review of footage, noted that 3 out of the 38 surveillance cameras (Name with FG area, Hot-end #3, Hot-end #4) were non-functional between May 21 and June 15, resulting in a 25-day coverage gap. 
Fire Safety Hazard: The production waste warehouse is disorganized and obstructs access to firefighting equipment, posing a direct fire safety risk.
Nanjing：
Access control of Catalyst Warehouse Required Improvement: Nanjing Plant shares the campus with other external companies. Per the Warehouse Supervisor, the entrance gate of the Catalyst Warehouse shall remain closed except during catalyst movements, to safeguard the high-value stock (USD 200 per unit, USD 77k stored in the warehouse as of July 22, 2025). 
However, a review of CCTV footage revealed that the entrance gate remained open for two 48-hour stretches (from May 18 to May 20 and from June 20 to June 22), despite logistic and production staffs being nearby. 
Shanghai：
Delayed Badge Access Revocation: Badge access for three terminated employees was not revoked for 388, 238, and 88 days, despite HR SOPs requiring timely deactivation. No entry or exit logs were recorded after their final working day, indicating no known post-employment access. However, the delayed revocation remains a control weakness, as timely removal is not consistently enforced.
</t>
  </si>
  <si>
    <t xml:space="preserve">1) Reconfigure warehouse layouts and subject materials stored in open area to daily CCTV check or increase patrols to identify theft risks timely.
2) Upgrade firefighting installations in the scrap warehouse in accordance with the fire-safety regulations.
3) Organize training to employees on reinforcing the fire- and theft-prevention awareness.
1) Delete the access of terminated employees.
2) Organize training to enhance employees’ awareness of the risks of theft. 
3) Strictly follow the employee resignation process and conduct periodical review, ensure that the resigned employee’s access is deleted prior to the last working day.
</t>
  </si>
  <si>
    <t xml:space="preserve">Ningbo: 
The surveillance  cameras should be repaired promptly. Security person will provide sufficient inspection  while camera is under repairment.
Move the fire extinguisher outside the scrap warehouse.
Nanjing：
Keep warehouse locked other than using
Shanghai：
In the actual process of resignation, after closing the account in advance as required, sign for confirmation; 
EHS, HR, and IT review the authorization list together every month.
</t>
  </si>
  <si>
    <t>Ningbo: Gou Biao (Plant Manager)
Nanjing: Su Zhenguo (Plant Manager)
Shanghai: Coco Ding (Operation Manager)</t>
  </si>
  <si>
    <t>TEN-2044</t>
  </si>
  <si>
    <t>Payroll register review</t>
  </si>
  <si>
    <t>Deficiency in Segregation of Duties within Payroll Register Review Process</t>
  </si>
  <si>
    <t>The local plants utilize the Platinum system for employee timekeeping and payroll calculation. However, the local C&amp;B SOP does not define roles and responsibilities has resulted in inadequate control over the payroll review and approval process.
In the current practice, the local Plant HR Specialists are responsible for exporting attendance records and transmitting to the Shared Service Center (SSC) C&amp;B Specialist. The SSC C&amp;B Specialist subsequently processes the payroll calculation in Platinum, exports the resulting payroll register to Excel, and returns this file to the same Plant HR Specialists for final review and approval. 
This end-to-end involvement of the same Plant HR Specialists indicates that the individuals who provide the source data also perform the final validation, with no independent second-level review.</t>
  </si>
  <si>
    <t>1) Update the local C&amp;B policy to clearly define the R&amp;R in payroll register review and approval process.
2) Implement a second-level approver to review and formally approve the payroll register before it is finalized, ensuing an independent check is performed.</t>
  </si>
  <si>
    <t>HRM takes C&amp;B calculation review.</t>
  </si>
  <si>
    <t>TEN-2045</t>
  </si>
  <si>
    <t>Inventory Management</t>
  </si>
  <si>
    <t>Inventory Management Requires Improvement</t>
  </si>
  <si>
    <t>Ningbo:
Defective Products Stored for Over a Year Without Disposal: During the plant tour, noted that 11 out of 22 defective WIPs (RMB 300, 0.05m³) have remained in an isolated rejected finished goods warehouse for over one year without timely disposition, indicating inefficiencies in non-confirming material handling and reduce inventory turnover.
Lack of Clear Segregation for Inspection Area: The incoming material inspection area is not physically segregated from the raw material warehouse, increasing the risk of uninspected materials being mistaken for approved stock, potentially leading to quality failures.</t>
  </si>
  <si>
    <t>1) Organize refresher training to relevant employees to enhance warehouse management awareness.
2) Redesign the plant layout and establish a physically quarantine area for incoming material inspection.</t>
  </si>
  <si>
    <t>Process the defective products within 30 days in strict accordance with the SOP.
Build physically quarantine area for incoming material inspection.</t>
  </si>
  <si>
    <t>Gou Biao (Plant Manager)</t>
  </si>
  <si>
    <t>TEN-2046</t>
  </si>
  <si>
    <t>Key Local Policies and SOPs Need Improvement</t>
  </si>
  <si>
    <t>Upon going through local policies and SOPs, covering areas in sales, purchase, inventory/ warehouse management, production, quality, payroll, finance and EH&amp;S, noted that:
Payroll: The C&amp;B SOP lacks defined roles, responsibilities, and process documentation. A critical SOD weakness exists as Plant HR Specialists provide attendance data and perform final payroll approval without independent review. (See Obsn 3)
Procurement : SOPs are incomplete—procedures for service-related purchases are undefined, covering only direct materials and MRO. 
Sales and Account Receivables: The SOPs lack formal documentation for customer credit calculation, changes, and periodic review of payment terms. Credit criteria are currently maintained in editable Excel files with written management approval. While credits and terms are reviewed annually by management with no deviations identified, the process lacks structured, standardized controls.</t>
  </si>
  <si>
    <t>1) Develop local guidelines for undefined areas between the existing global framework policy and local practices, which should include expectations, roles and responsibilities, scope, detailed procedures, policy reference, etc.
2) Review the policies and SOPs periodically to assess the need to update documents</t>
  </si>
  <si>
    <t>Payroll:  Defined roles, responsibilities, and process in C&amp;B SOP for payroll approval review.
 Procurement : Update the in-direct purchasing   procedure documentation, define the service-related purchasing process.
Sales and Account Receivables:  Create and update SOP of customer credit management and payment terms periodic review.</t>
  </si>
  <si>
    <t>Emma Meng (Senior HR Manager)
Xu Xiang (Senior Purchasing Manager&amp; Logistics Leader, Manufacturing)
Alex Pan (Sales Director)</t>
  </si>
  <si>
    <t>TEN-2051</t>
  </si>
  <si>
    <t>Fixed Asset Tagging</t>
  </si>
  <si>
    <t>Smyrna - DRiV - Full Scope 2025</t>
  </si>
  <si>
    <t xml:space="preserve">Issues in the process of tagging Fixed assets </t>
  </si>
  <si>
    <t>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 Management noted it was not feasible or practical to tag these assets (racking, auto store, etc.), however alternatives should be explored such as barcode or RFID tagging for difficult-to-access assets.​
A list of the plant's fixed assets was obtained and a sample of 5 assets, were selected  to verify the existence of these assets. Noted the following exceptions:​
3 assets were found physically, but were not tagged, (~US$4.4M)​
For the second part of the test, ten assets from the plant floor were traced to the fixed asset inventory listing. Noted the following exceptions:​
5 assets had a tag number different from the one registered in the system. (~US$ 72k)</t>
  </si>
  <si>
    <t>Reconcile and tag all currently capitalized but untagged assets.​
Evaluate alternatives like barcode or RFID tagging for difficult-to-access assets. Ensure consistent tag-data reconciliation and update system records with serial/model references where tagging is not feasible.​</t>
  </si>
  <si>
    <t>All feasible assets are tagged in the prior years by the Maintenance Manager and kept with a separate asset listing by the Maintenance Manager, but the Finance asset listing is associated to serial numbers of the equipment vs the “newer” equipment tags.  The finance team will update their listing with the appropriate asset tags to harmonize the two asset listings.</t>
  </si>
  <si>
    <t>Aaron Southworth (Plant Controller​)</t>
  </si>
  <si>
    <t>TEN-2052</t>
  </si>
  <si>
    <t>Marshall</t>
  </si>
  <si>
    <t>Cycle Counts</t>
  </si>
  <si>
    <t>Marshall - Clean Air - Full Scope 2025</t>
  </si>
  <si>
    <t xml:space="preserve">Non-blind cycle counts and operational inefficiencies </t>
  </si>
  <si>
    <t>Cycle counts are performed daily; however, they are not performed blind, as counters can view expected quantities prior to counting. ​
Cycle count adjustments were not posted timely during January–June 2024, with entries only processed once per month potentially resulting in cutoff issues.​
​In the testing period gross inventory adjustments as a result of counts were $14.8M (15 month period), consisting of 5,786-line item adjustments. $11.2M of the gross adjustments were posted in November of 2024 as a result of the full physical inventory performed at the facility. Of the $14.8 M, $11.3M (9.7 in November) was related to movement between locations, the remaining $3.5M was the result of write-offs and write-ups. The resulting differences would hit inventory reserves (shrink).​</t>
  </si>
  <si>
    <t xml:space="preserve">Implement blind counts by adjusting procedures where counters cannot view expected quantities prior to recording results. ​
Ensure inventory adjustments are reviewed by management during month-end close for appropriateness. </t>
  </si>
  <si>
    <t>Review Corporate cycle count protocol to incorporate blind counts into our process.</t>
  </si>
  <si>
    <t>Shawn Coffman (Materials Manager)</t>
  </si>
  <si>
    <t>TEN-2053</t>
  </si>
  <si>
    <t>Governance and Oversight</t>
  </si>
  <si>
    <t>Lack of communication and monitoring activities performed on behalf of the
plant by Shared Service Centers or Corporate</t>
  </si>
  <si>
    <t>There was a general lack of knowledge and visibility into procedures being
performed at the Corporate team for the business unit or Shared Service Centers
(SSC) on behalf of the plant, including who was performing the activities and when
ownership of the activities change. ​
The procedures performed on the plants behalf relate to cash flow management
(cash receipts &amp; payment processing), master data is also controlled and
maintained offsite as the SAP PTA master data changes impact all locations on the
system. This does not impact financial reporting capabilities. ​
Procedures performed on behalf of the plant: ​
-Accounts Receivable​
-Opening/Closing of Bank Account(s) ​
-Salary Payroll​
-Bonuses and Commissions​
-Vendor and Customer Masterfile data​
-Pricing Files ​
-Creation and modification of purchase orders and scheduling agreements​
-Customer Service, sales orders, and accounts receivable management​
-Purchase Card Monitoring​
-Bank Reconciliations ​
-Accounts Payable Payment Processing (Vendor Payments) ​</t>
  </si>
  <si>
    <t xml:space="preserve">Better Communication of all Accounting and Controlling issues. Discuss in periodic Controller meetings, document notable changes for all processing key activities
Develop process between plant and shared services to provide data. </t>
  </si>
  <si>
    <t xml:space="preserve">Better Communication of all Accounting and Controlling issues. Discuss in periodic Controller meetings, document notable changes for all processing key activities​
Develop process between plant and shared services to provide data. </t>
  </si>
  <si>
    <t>John Coppage (Regional Controller);  Craig Bersudar (Corp. Accounting); Chris Roberts (Finance Director, Commercial &amp; Costing)</t>
  </si>
  <si>
    <t>TEN-2054</t>
  </si>
  <si>
    <t>Inconsistent Physical Asset Tagging and Register Maintenance</t>
  </si>
  <si>
    <t>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 Management noted it was not feasible or practical to tag these assets (racking, auto store, etc.), however alternatives should be explored such as barcode or RFID tagging for difficult-to-access assets.
A list of the plant's fixed assets was obtained and a sample of 20 were selected (total USD $) to verify the book to floor existence. Noted the following exceptions: 
1 asset (valued at $113k USD) had been physically transferred from Marshall to Ligonier, while being maintained on Marshall's fixed asset register. The asset has an accumulated depreciation of $103k. The asset had been transferred in 2023 with no approvals or documentation maintained. 
2 assets (valued at $118k USD) were not tagged in areas visible  to identify, and therefore the existence of the tag could not be validated. 1 of the assets was tagged in the middle of the machine work center, and unsafe to view. 
1 asset (valued at $91.k USD), a rack to maintain inventory, was deemed as infeasible to tag
1 asset (valued at $5.3k USD) was not physically tagged. The tag was not maintained with the PO or Invoice Documentation. </t>
  </si>
  <si>
    <t xml:space="preserve">Perform full Asset audit in 2026, per Corporate policy.
</t>
  </si>
  <si>
    <t>Perform full Asset audit in 2026, per Corporate policy.</t>
  </si>
  <si>
    <t>Alan Schneider (Plant Controller), Eric LaForge (Plant Accountant)</t>
  </si>
  <si>
    <t>TEN-2055</t>
  </si>
  <si>
    <t>Precious Metals Access</t>
  </si>
  <si>
    <t>Precious metals used in catalytic converters are stored in a secured cage within the plant. Access to the cage is restricted with badge access. However, several forklifts that are unsecured with open access have a "garage door" opener that can be used to grant access to the cage. 
The value of precious metals stored within the cage at the time of the audit was approximately 9 million dollars, or 50% of the current inventory balance.</t>
  </si>
  <si>
    <t xml:space="preserve">Work order submitted to remove switches on Fork lifts, and replace with badge only access to the precious metals cage. </t>
  </si>
  <si>
    <t>TEN-2059</t>
  </si>
  <si>
    <t>Araras</t>
  </si>
  <si>
    <t>Araras - Powertrain - Full Scope 2025</t>
  </si>
  <si>
    <t>Procurement Oversight Issues</t>
  </si>
  <si>
    <t>Lack of approval evidence in SAP
From the list of the top ten locally sourced vendors, one purchase order was selected for each vendor. For each, supporting documentation was requested, including: Request for Quotation (RFQ), competitive bids, purchase order, and invoice.A sample of 10 items, totaling approximately R$2,4m (~US$ 445k), was tested based on the defined procedure, which involved selecting one purchase order from each of the top 10 vendors. The following gaps were identified during the review:
3 items were processed through Mercado Eletrônico (an electronic bidding and contracting platform), but due to SAP errors during GO LIVE (February 2024) there is no evidence of PO approval in the system totaling R$ 32k (~US$ 5.8k).
Lack of formal review in inputs under Scheduling Agreements
Scheduling agreements are currently used for the procurement of raw materials. Unlike standard purchase orders (POs), these agreements do not require independent approval and primarily function as pricing arrangements. This lack of formal approval introduces a risk that purchases may be executed without appropriate oversight or control.
Quantities entered into these agreements are provided by the Logistics team, based on Electronic Data Interchange (EDI) information received from clients. Additionally, the unit price is updated monthly to reflect fluctuations in the aluminum market and foreign exchange (FX) rates. However, this price update process is not subject to any review or approval, increasing the risk of errors, unauthorized changes, or pricing inconsistencies</t>
  </si>
  <si>
    <t>1. Review and correct SAP approval workflow configurations to ensure purchase requisitions and orders follow the correct approval path without errors or delays. 2. Implement a control that requires independent approval for purchase releases under scheduling agreements.</t>
  </si>
  <si>
    <t>1) Role of SAP approval was fixed - Go live post action.
2) Formalize the scheduling agreement approvals – define the process. 3) Formalize approval for Monthly fluctuations based on LME market – define the process.</t>
  </si>
  <si>
    <t>Camila Lido (Purchasing Manager)</t>
  </si>
  <si>
    <t>TEN-2060</t>
  </si>
  <si>
    <t>Absence of Scrap Sales Contracts</t>
  </si>
  <si>
    <t>Scrap Sales Conducted Without Formal Agreements
There is no formal contract in place for all two scrap vendors (Latasa Reciclagem and Global Steel). 
Plant measures scrap in kilograms (kg). Once the minimum quantity is reached — based on criteria related to freight cost — the buyer is responsible for collecting the material directly from the plant and covering the transportation costs. The materials are initially weighed at the plant and later confirmed by the buyer. The price per kilogram is agreed via email, although ideally, this agreement should be formalized through a contract.
In 2024, 1,191,576 kg of scrap were sold which corresponds to an average of 5,756 kg/month. In terms of revenue, this amounted to R$8,9m (~US$ 1,6M), with monthly average of R$43k (~US$ 7,8k).
In 2025, from January to June, 672,272 kg of scrap were sold which corresponds to an average of 5,293 kg/month. In terms of revenue, this amounted to R$ 5m (~US$ 924k), with monthly average of R$40k (~US$ 7,2k).
There are 9 types of metal scrap in Araras due to differences in material purity. The prices range from R$1.20/kg (~US$0.22/kg) to R$20 (~US$ 3.63/kg).</t>
  </si>
  <si>
    <t>1. Develop and formalize SOPs for managing scrap contracts including responsible roles, documentation requirements and policy reference. 2. Formalize contractual agreements between Powertrain plants in Brazil with suppliers that clearly define terms, pricing, service levels, and responsibilities. These contracts should be duly signed and approved by the appropriate authorization levels and securely stored. 3. Develop and implement a structured training and awareness program for all relevant staff.</t>
  </si>
  <si>
    <t>1. Formalize scrap sales process and nominate responsibilities. 2. Formalize contractual agreement</t>
  </si>
  <si>
    <t>TEN-2061</t>
  </si>
  <si>
    <t>Fixed Assets Inventory</t>
  </si>
  <si>
    <t>Issues in the Process of Tagging Fixed Assets</t>
  </si>
  <si>
    <t>Inadequate Tagging Controls for Fixed Assets
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
A list of the plant's fixed assets was obtained, and a sample of 20 assets was selected, 15 samples were used  to verify the existence of these assets. Noted the following exceptions:
3 assets were physically found but had the tag number from Omega not SAP (go live was in Feb/24) (machines fully depreciated).
2 assets were physically found but had the tag number from Omega not SAP and their tag numbers were partially obscured by paint. (machines fully depreciated).
1 asset was physically found with Omega tag number, but it was located inside a bunker outside the production area. This machine is used for a specific operation process, and it was removed from the plant following the discontinuation of a project with Stellantis in August 2024 and physically relocated on September 30, 2024. In May 2025, negotiations for its sale began but were unsuccessful. The asset remains available for sale and the controller is currently evaluating auctioning options and the most appropriate disposal strategy, with a potential sale deadline of December 31, 2025.
Additionally, 8 assets were not found physically. The local team did not know where the machines were in the plant (machines fully depreciated).
For the second part of the test, five assets from the plant floor were traced to the fixed asset inventory listing:
2 assets was physically found without tags. (R$ 18k ~ US$3,3k)
3 assets were physically found but had the tag number from Omega. (machines fully depreciated)</t>
  </si>
  <si>
    <t>1. Define and implement an SOPs outlining post-capitalization tagging responsibilities.
2. Reconcile and tag all currently capitalized but untagged assets.</t>
  </si>
  <si>
    <t>Physical inventory to be performed in Q1 2026 which will include completeness review of fixed asset register and ensuring all fixed assets on the floor are present in the register.</t>
  </si>
  <si>
    <t>André Cerbi (Plant Finance Lead) /Levi Cruz (Plant Manager)/ Marcos Castro (Finance Director)</t>
  </si>
  <si>
    <t>TEN-2062</t>
  </si>
  <si>
    <t>Material Master Management</t>
  </si>
  <si>
    <t>Inconsistencies in Material Master Data</t>
  </si>
  <si>
    <t>Shared descriptions associate to different codes leading to data inconsistencies
An analysis was performed on the material master data, covering both direct and indirect materials, to identify potential duplications based on identical descriptions or codes. The review revealed that approximately 18% of the material codes are being used inaccurately, indicating a medium volume of duplicate or similar material descriptions and codes. The key findings from this analysis are summarized below:
1) 9,874 materials are registered in SAP.
2) 8,182 unique combinations of codes and descriptions were identified.
3) 1,642 recurring descriptions where:
3.1) 347 codes are active and 401 codes are deleted.
3.2) 944 material codes associated with 181 recurring descriptions, (the same description is assigned to more than one code):</t>
  </si>
  <si>
    <t>1. Configure SAP to prevent duplicate entries by checking for existing descriptions or codes during material creation. 
2. Conduct a Master Data cleansing initiative to identify and consolidate duplicate material codes and delete obsolete or redundant records.</t>
  </si>
  <si>
    <t>1. Perform trainings and update SOPs. 2. Improve material description and remove inactive or duplicate items from the system.</t>
  </si>
  <si>
    <t>Paulo Riceto (Engineering Manager - Direct materials) / Fernando Bizerra (Plant Finance Lead - Indirect Materials)</t>
  </si>
  <si>
    <t>TEN-2066</t>
  </si>
  <si>
    <t>Vendor Invoices &amp; Goods Receipt</t>
  </si>
  <si>
    <t>Reynosa, PS (NVH) - Full Scope 2025</t>
  </si>
  <si>
    <t>Weak controls noted in ERP for processing of Vendor Invoices
&amp;
Anomalies noted in Reviewing/Recording Goods Receipt</t>
  </si>
  <si>
    <t>1. There are 3 types of procurements – Direct Material, Maintenance Repairs &amp; Operations (MRO) and Indirect Services. All 3 types of procurements are handled by the Plant Procurement Team. In case of changes in prices, vendors informs Procurement Team via email. Accordingly, PO is modified by the Procurement Team in SAP.
On review of Scheduling Agreements (SAs) created during the period July 2024 to February 2025, we noted that out of 25 SAs which were created, total 8 SAs had the “ERS” (Evaluated Receipt Settlement) option enabled. This configuration bypasses the standard three‑way match (PO–GRN–invoice) in SAP. A total procurement of MXN 242.27 Mn (USD 12.9 Mn) was done against these 8 SAs without any three‑way match.
2. On receipt of material at the plant gate, inward of material is done by the warehousing team basis the vendor invoice and delivery note. Discrepancies between actual quantity and invoice quantity, if any, are intimated to the material planning team for corrective action.
Inadequate Verification of Received Quantities
Our review of the goods‑receipt process revealed that warehouse staff posts full Goods Receipt Notes (GRNs) for the invoiced quantity despite lesser physical quantity received. Invoices are stamped for 100% delivery and no formal notification of short‑receipts is sent to Accounts Payable, resulting in payment of entire invoiced quantity.
On review of inwards for the sample months of March 2025 &amp; April 2025, we noted 84 shipments (out of 301 shipments) exhibiting a shortfall of 89,758 units (USD 57K, that is, ~25% of invoiced quantity). On further discussion, we noted such mismatches were part of inter-company (Napoleon Plant) &amp; US shipments.
GRN Reuse &amp; Inaccurate Inventory Movement in SAP
During our walkthrough of the SAP inventory‑movement process, we noted that when an initial goods receipt (GRN) is posted for a partial delivery, any subsequent receipt against the same PO line is not recorded as a new GRN. Instead, the system simply converts the “blocked” quantity from the original GRN into “unrestricted” stock. This approach masks the actual receipt date, overwrites a distinct audit log for the follow‑on delivery, and bypasses SAP’s standard inbound controls.</t>
  </si>
  <si>
    <t>Disable ERS for all non‑catalog or high‑value SAs, forcing invoices through the three‑way match
For all POs above a defined materiality threshold (e.g. USD 1,000 per line), mandate 100% unit‑count verification at the dock before GRN posting.
For lower‑value shipments, implement a statistical sample check (e.g. 10% of cartons) to confirm accuracy.
Modify the system so that each receipt—initial or follow‑on is posted as a distinct GRN against the PO line, with its own date and quantity.</t>
  </si>
  <si>
    <t>The plant management will work with Accounts Payable team to investigate old SA invoices processed without ERS and going forward team will disable ERS option manually for invoices to be processed through three-way match.
Further, we will explore opportunity with Global SAP team to block SAP functionality for enabling ERS option.
The plant management will investigate shipments from vendors with a shortfall and book credit notes to resolve these cases.
Further going forward, GRN shall be done in SAP only for the actual quantities received physically.</t>
  </si>
  <si>
    <t>Miguel Jose Palomino, Warehouse Manager
Nubia Patricia Sanchez, Plant Controller 
Michael Prashaw, Global SAP Manager
Juan Carrillo, DM Purchase Manager
Maria Avila, MRO Purchase Supervisor</t>
  </si>
  <si>
    <t>11/03/2025</t>
  </si>
  <si>
    <t>TEN-2067</t>
  </si>
  <si>
    <t>Fixed Assets Spend</t>
  </si>
  <si>
    <t>Variances noted in Budget vs Actual spent of Fixed Assets</t>
  </si>
  <si>
    <t>At the beginning of every project, Corporate Team prepares a budget in excel for Fixed Assets purchases to be made by the plant team. This budget is approved at the Corporate level. Once approved, the plant team makes purchases against the budget
On analysis of Fixed Assets Budget vs Actual spent for FY 2024, we noted the following anomalies:
Total budget for Fixed Assets in 2024 was MXN 56.55 Mn (USD 2.9 Mn), but actual spend was MXN 140.4 Mn (USD 7.2 Mn), thereby leading to excess spent against budget of MXN 83.85 Mn (USD 4.3 Mn). No exceptional approvals (over email) were available for the same.
Noted 2 projects where even though the project was rejected in CART system, an amount of MXN 3.6 Mn (USD 185K) had been spent on the projects. Moreover, no exceptional approvals (over email) were available for the same.
Noted 3 projects where even though the project was under approval stage in CART, an amount of MXN 8.4 Mn (USD 430K) had been spent on the projects. No exceptional approvals (over email) were available for the same.</t>
  </si>
  <si>
    <t>Budget for all projects should be updated in system (CART). Whenever spend requests are created against a budget, the same should be auto-deducted and user should be able to raise new requests within the pending budget only.</t>
  </si>
  <si>
    <t xml:space="preserve">All projects are not only in excel, but each CAR is also in SAP according with the CART system information, each purchase requisition is now approved only when the CAR is fully approved in system,  if there is any change on the approvers, we create a ticket immediately to have all set on time. Reynosa staff was already notified about it. </t>
  </si>
  <si>
    <t>Ricardo Garcia, Finance Analyst</t>
  </si>
  <si>
    <t>TEN-2068</t>
  </si>
  <si>
    <t>Inventory Ageing &amp; Disposal</t>
  </si>
  <si>
    <t xml:space="preserve">Absence of policy guidelines on segregation/disposal of long-aged inventory </t>
  </si>
  <si>
    <t>Currently, Ageing of inventory is tracked by goods receipt date (GR date) of a material and last movement of goods for production and shipping. Moreover, Excess and Obsolete Reserve is created for all inventory in SAP and is tracked by past 2 years usage and future demands. 
During review of Inventory report as on 22nd April 2025 (Total Inventory - MXN 278 Mn (USD 14.1 Mn)) extracted from SAP (T-code SQ01), we noted the following:
Inventory of MXN 35.5 Mn (USD 1.8 Mn) was procured before  2023 (as old as 2007), yet items had been classified as active stock—and there was no physical segregation of stock by movement. However, E&amp;O reserve has been created for the same.
There are additional inventory items of MXN 12 Mn (USD 620K) older than 2021 which were classified as active stock and included in the Inventory Valuation report. On further inquiry, we noted that even-though E&amp;O reserve is created for these obsolete materials, however, no disposal or write‑off plan exists for the same</t>
  </si>
  <si>
    <t>Establish Segregation Criteria: Define clear thresholds (e.g., &gt; 2 years = obsolete; 6–24 months = slow‑moving; &lt; 6 months = fast‑moving) in existing E&amp;O Policy.
Define Obsolescence Criteria: Establish a policy (e.g., &gt; 3 years without movement).
Warehouse Segregation: Physically demarcate and label storage zones for obsolete, slow‑moving and fast‑moving stock
Disposal Plan &amp; Write‑Down: Develop and document a disposal or write‑off process (e.g., quarterly), with dual‑approval for any adjustments to inventory valuation.</t>
  </si>
  <si>
    <t>Mike Filiposki, BU Finance Leader
Ian Burns, Performance Controller
Miguel Jose Palomino, Warehouse Manager</t>
  </si>
  <si>
    <t>TEN-2069</t>
  </si>
  <si>
    <t>Customer Tooling</t>
  </si>
  <si>
    <t>Discrepancies noted in spends related to Customer Tooling</t>
  </si>
  <si>
    <t>For all customer tooling arrangements, a purchase order is received from the customer. All purchases/ spends are made against the respective customer PO. A new/ modified PO is obtained from customer in cases where the spend amount surpasses the original PO amount.
During our review of customer tooling report as on 14-Apr-25, we noted that there were total 72 instances of customer tooling and total spend was MXN 65.8 Mn (USD 3.37 Mn).</t>
  </si>
  <si>
    <t>Configure SAP to restrict spend more than customer PO amount, to avoid risk of under-recovery/ dispute from customer.</t>
  </si>
  <si>
    <t>We will improve the process and perform a periodic review to identify and resolve highlighted cases.
We will work with IT team to restrict SAP configuration.</t>
  </si>
  <si>
    <t>Nadia Melisa Osornio, Finance Analyst
Michael Prashaw, Global SAP Manager</t>
  </si>
  <si>
    <t>TEN-2070</t>
  </si>
  <si>
    <t>Incorrect accounting of inventory variances in SAP</t>
  </si>
  <si>
    <t>Inward inventory is recorded in warehouse team in SAP as per the order released to vendor. In case of excess material received, excess stock is returned to vendor, and inventory is accounted for ordered quantity. In case of any shortages, inventory is accounted for the actual quantities received.
During review of Inventory report as on 22nd April 2025 (Total Inventory - MXN 278 Mn (USD 14.1 Mn)) extracted from SAP (T-code SQ01), we noted the following:
Negative stock of MXN 15.27 Mn (USD 775K) recorded in SAP. Further inquiry revealed that, during the Annual Physical Inventory Verification, excess items found in the warehouse were posted in SAP using negative‐quantity entries rather than correcting the underlying stock records.
Materials accounted with 0 value in SAP. On discussion, we noted that these instances are prototypes, samples received from vendors and materials transferred from intercompany accounted in SAP without GRN’s.</t>
  </si>
  <si>
    <t>Standardize Adjustment Procedures: Develop and train staff on a formal process to investigate and correct inventory variances—using positive‐quantity adjustment transactions tied to documented count sheets.
Inventory levels shall be monitored and reviewed regularly, and necessary adjustments shall be performed to avoid future negative stock.
SAP configuration to prohibit negative stock shall be enabled.
Sample materials shall not be included in the inventory.  Adequate segregation shall be in place to separate sample inventory from regular inventory.
Periodic review of shall be performed to investigate sample inventory received at 0 value.</t>
  </si>
  <si>
    <t>We will work with the materials team to develop a final report that only shows real variances; this modified report should be available for the next API process this year.
Going forward, adequate segregation shall be in place for inventories basis movement.
Further, we will also perform periodic review to investigate sample inventories at 0 values.</t>
  </si>
  <si>
    <t>Cesar Gilberto Avendano, Materials Manager
Nadia Melisa Osornio, Finance Analyst
Ian Burns, Performance Controller</t>
  </si>
  <si>
    <t>TEN-2071</t>
  </si>
  <si>
    <t>Fixed Assets CWIP</t>
  </si>
  <si>
    <t>Anomalies noted in Capital Work in Progress (CWIP)</t>
  </si>
  <si>
    <t>All costs incurred until an asset is completed and ready for use are categorized as CWIP. Once the asset is completed and ready for use, the CWIP amount is transferred to the relevant asset account by the Corporate Team (basis inputs received from Plant Finance Team), and depreciation calculation is then initiated for the asset.
On review of CWIP files for the period August 2024 to March 2025, we noted that there was no process to review the expected capitalization dates given by Engineering/ Finance team:
In 45 projects, the date of capitalization was pushed continuously in more than 3 quarterly review meetings (Total spend till Feb’25 ~ MXN 322 Mn/USD 16.52 Mn) without logical reasons.
In 11 projects, no amount has been spent in 2024 &amp; 2025. However, these projects have still not been capitalized as on 28-Feb-25. Total amount spent in 2023 – MXN 301 Mn (USD 15.45 Mn)
In May 2024 CWIP file: Noted 13 out of 63 projects which are not capitalized as on date. (Expected date of capitalization was of prior period - May 2024)</t>
  </si>
  <si>
    <t>Establish maker-checker mechanism over CWIP project monitoring, to ensure timeliness and accuracy of the projects.</t>
  </si>
  <si>
    <t>We will have a detailed review of CWIP report with the Project Managers to have most accurate capitalization dates.
We will have a discussion with the Corporate Team regarding the projects where no amount has been spent in the past 2 years and still not capitalized. Once we have an update regarding the put-to-use date of the said machineries, we will take necessary action on these CWIP projects.</t>
  </si>
  <si>
    <t>Nadia Melisa Osornio, Finance Analyst</t>
  </si>
  <si>
    <t>TEN-2072</t>
  </si>
  <si>
    <t>Scrap Agreement</t>
  </si>
  <si>
    <t>Scrap generated at Reynosa is sold to a single scrap vendor (Silver). The existing scrap vendor is in business with Reynosa Plant since year 2021. Daily, plant scrap team dumps the scrap in containers and ships the scrap to vendor’s site.
Tenneco’s plant cannot produce a fully executed contract with its scrap‑recycling vendor for either of the last two periods examined. Single vendor empaneled for scrap sale. 
No signed agreement , Lack of governance and documentation over scrap market rates by the Procurement team.</t>
  </si>
  <si>
    <t>Local purchasing team will implement a scrap auctioning initiative to select most competitive vendor. 
Furthermore, we shall bind an agreement with the existing scrap vendor.</t>
  </si>
  <si>
    <t>Maria Avila, Purchasing Supervisor</t>
  </si>
  <si>
    <t>TEN-2073</t>
  </si>
  <si>
    <t>Scrap Receipts</t>
  </si>
  <si>
    <t>Discrepancies noted in Scrap Receipts</t>
  </si>
  <si>
    <t>Scrap generated at Reynosa is sold to a single scrap vendor (Silver). Daily, plant scrap team dumps the scrap in containers and ships the scrap to vendor’s site. Once the scrap is delivered to scrap vendor, a debit memo is issued, and scrap revenue is recognized. 
We obtained population of scrap sale from SAP for the period March 2024 to March 2025 worth MXN 1.4 Mn (USD 72K) and selected 20 sample scrap invoices generated for sale. During review of 20 sample scrap invoices (debit memos) worth MXN 466K (USD 24K) along with backup supporting, we noted below discrepancies:
1. Delay in issuing debit memos ranging up to 82 days - Count - 15, Impact - 385K MXN
2. Tenneco stamp missing in gate pass for scrap exit. Count - 11, Impact - 247K MXN
3. Scrap vendor’s sign missing in gate pass for scrap exit. Count - 10, Impact - 224K MXN
4. Scrap Manager (Tenneco) Authorization missing in gate pass for scrap exit. Count - 10, Impact - 225K MXN
5. Operator sign missing in gate pass for scrap exit, Count - 12, Impact - 282K MXN</t>
  </si>
  <si>
    <t>Standardized procedure pertaining to scrap documentation must be defined and staff shall be trained to adhere to the procedures.</t>
  </si>
  <si>
    <t>We will prepare detailed standardized procedure consisting of checks and documentations to be maintained for scrap management and shall circular to the team.
Further, we shall also perform a periodic review to ensure all necessary supporting documents are maintained.</t>
  </si>
  <si>
    <t>Nadia Melisa Osornio, Finance Analyst
Jarib Yasser Montes, Finance Accountant</t>
  </si>
  <si>
    <t>TEN-2074</t>
  </si>
  <si>
    <t>Access Cards Issuance</t>
  </si>
  <si>
    <t>Delay in deactivation of access cards issued to terminated/resigned employees</t>
  </si>
  <si>
    <t>Salaried (Non-Union) and Hourly (Union) Employees at Reynosa plant punch access cards to record entry and exit in plant premises. Attendance of Hourly (Union) employees is calculated as per entry and exit recorded by punching access cards. IT Securities and HR team monitor access cards issued and manually deactivate access cards if an employee is terminated/resigned in AltraxNG application.
During our review of the process around issuance, periodic monitoring and deactivation of access cards, we noted the following:
1. Noted 10 terminated/resigned employees whose access cards are not deactivated
2. Noted 3 employees who are assigned multiple (2-3) active access cards.
3. Further, we noted AltraxNG application is not integrated with active directory, hence, last working dates of terminated/resigned employees is not updated on real time basis.</t>
  </si>
  <si>
    <t>Automate deactivating access cards: Configure AltraxNG to automatically deactivate access cards of terminated/resigned employees.
Periodic Review: Institute a periodic review of access cards issued to employees to update status on real time basis.
Integrate AltraxNG with active directory capture real time updates of last working dates.</t>
  </si>
  <si>
    <t>New process established with HR to receive weekly all the employees terminated, for badge deletions.
Restored fines for theft or loss to reduce recurrent replacements
AxTraxNG Software upgraded V27.7.1.9  V27.7.1.20  &amp; Firmware  expecting improvements to automate the employees updates (still is not available)</t>
  </si>
  <si>
    <t>Emma Castro, HR Manager
Carlos Becerril, IT Manager</t>
  </si>
  <si>
    <t>TEN-2075</t>
  </si>
  <si>
    <t>Discrepancies noted in Inventory as per Physical Stock Vs SAP</t>
  </si>
  <si>
    <t>As per Physical Count Policy,
A complete full physical inventory verification must be performed at least once each calendar year.
To perform cycle counts, a location must meet the requirements of one of the following tow alternatives – ABC Cycle Counting and Row Audit Cycle Counting.
Inventory team at Reynosa plant performed Annual Physical Inventory (API) verification on 23rd November 2024. Additionally, we independently selected 30 samples during plant visit and performed a physical count of inventory at Reynosa Plant warehouse on 28th April 2025.
During physical count of 30 sample inventory items (raw materials, finished goods and CWIP) at the all Plants (Reynosa), with a total book value of MXN 804K (USD 41K), we noted discrepancies in 21/30 samples: details below - 
13 items (MXN 186K (USD 9.5K)) recorded in SAP but not found in the warehouse.
5 items (MXN 85K (USD 4.3K)) located in a different warehouse zone than SAP records.
3 items (MXN 69K (USD 3.5K)) located in an unnamed/ untagged storage bin in warehouse.</t>
  </si>
  <si>
    <t>Miguel Jose Palomino, Warehouse Manager</t>
  </si>
  <si>
    <t>TEN-2076</t>
  </si>
  <si>
    <t>Anomalies noted in processing and review of bank payout file</t>
  </si>
  <si>
    <t>Currently payroll (weekly for hourly and bi-weekly for salaried employees) is processed in SAP PTAx and a bank payout file in txt format is generated at the end of payroll run. 
On review of process over generation of bank payout file for the sample month of January’25, we noted that – 
Payroll team generates and uploads the SAP-PTAx bank file on the Citi portal and self-reviews it prior to disbursement and the review is not performed by plant Treasury team.
Moreover, the bank payout file is transmitted in clear text, without encryption or password protection.</t>
  </si>
  <si>
    <t>TEN-2077</t>
  </si>
  <si>
    <t>During our physical visit at Reynosa plant, we visited security checkpoints (dated 22nd April 2025) and reviewed the gate entry and exit process. 
Non‑functional cameras in high‑risk zones - 3 of 180 cameras (2 %) were inoperative—located in the Finished‑Goods inventory and shipping yard, areas with high theft/ pilferage risk. 
Partial metal‑detector coverage - Walk‑through detectors are not installed at the hourly‑employee as well as salaried pedestrian gate.
Lack of demarcation: Walkthrough pathways in production area (Plant 1 &amp; 2) were not demarcated to segregate movement among employees and Forklifts.</t>
  </si>
  <si>
    <t>Install vehicle‑gate guard booths with handheld metal detectors and configure walk‑through detectors at all pedestrian entrances, including salaried and visitor lanes
Restore &amp; Expand CCTV Coverage: Repair/replace the inoperative cameras and add cameras to cover hourly‑employee entry/exit lanes; integrate feeds into the central monitoring room.
Walkthrough pathways shall be maintained and demarcated with adequate signage.</t>
  </si>
  <si>
    <t>A new practice for entry and exit to plant premises will be implemented, by ensuring visitors and employees’ entry/exit will be done through the thorough checks.
Additionally, all cars/vehicles entering/exiting the premises will be screened while reviewing the current security assessment with external service provider.
Further, non-operational cameras will be repaired and shall be replaced if needed.
Also, walkthrough pathways shall be maintained regularly to avoid risk of hazards.</t>
  </si>
  <si>
    <t>Cinthia Yuriana Ramirez, EHS Manager
Roberto Israel Ortiz, Global Security Head</t>
  </si>
  <si>
    <t>TEN-2078</t>
  </si>
  <si>
    <t>Fixed Assets Physical Verification</t>
  </si>
  <si>
    <t>As per Fixed Assets policy -
100% verification of Fixed Assets must be completed once in every 5 years. 
Physical verification of Fixed Assets was last conducted at Reynosa plant in August 2020. The next physical count of Fixed Assets is due in 2025. During our Physical Verification of 28 Fixed Assets samples (26 – Fixed assets &amp; 2 CWIP) conducted on 28-Apr-25, we noted the following anomalies:
Incorrect capitalization of Fixed Assets – 4 assets of book value MXN 8.48 Mn (USD 435K) noted where the costs were incurred for services (freight, designing, layout, material handling), however, were incorrectly capitalized as fixed assets (5013996, 5014162, 5014172, 5014200).
2 out of 2 CWIP samples of Book Value – MXN -1.38 Mn (USD -70K) noted which were put to use but not capitalized.
Asset found physically, but asset Tag/ equipment or machine name not found – 25 out of 26 sample fixed assets were noted with missing asset tags. Due to missing asset tags, we were not able to verify the identity of sample assets.</t>
  </si>
  <si>
    <t>Necessary instructions and guidelines will be provided to Plant staff for compliances around asset movement and capitalization.
Additionally, a periodic review for sample asset movements will be conducted to ensure asset tags are pasted on each asset.</t>
  </si>
  <si>
    <t>TEN-2079</t>
  </si>
  <si>
    <t>Absence of review around Creation/ Modification of PO</t>
  </si>
  <si>
    <t>Purchase Orders (PO) are created/ modified in SAP by the Procurement Team. In case of price fluctuations, Procurement Team makes changes in SAP in the existing PO, rather than creating a new PO.
During our process walkthrough of PO creation/ modification, we noted that SAP does not enforce a maker‑checker (dual‑approval) mechanism for purchase order creation or modification. Users in the Procurement team have unrestricted rights to change critical PO fields—such as 
quantity, 
price, 
vendor
payment terms
without any independent review/ approval.</t>
  </si>
  <si>
    <t>Configure SAP to require a secondary, independent approver for all new POs and any modifications to price, quantity, vendor or payment terms.
Conduct a one-time SOD assessment and restrict modification rights to designated approvers only.
Configure SAP with release strategy for approvals of PO creation and modification.</t>
  </si>
  <si>
    <t>We will ensure that all modifications to Purchase Orders are re-released by the approvers in system/ via email/ physical copy.</t>
  </si>
  <si>
    <t>Maria Avila, MRO Purchase Supervisor</t>
  </si>
  <si>
    <t>TEN-2080</t>
  </si>
  <si>
    <t xml:space="preserve">Incomplete Standard Operating procedures (SOPs) documented </t>
  </si>
  <si>
    <t>During our review and walkthrough of all plant processes, we noted that SOPs were available in internal Sharepoint for any of the key processes. 
IA obtained 10 sample SOP’s (across processes such as Inventory, HR, Fixed Assets, EHS, Inspection, Quality Control) and during our review, we noted the below discrepancies:
Key sections such as Key controls, Tools and ERP, KPI/SLA/DOA, Key MIS &amp; Reporting Frameworks, etc. were missing in all 10 sample SOP’s.
Further, 1 sample SOP (Materials) was not reviewed for 3 years.</t>
  </si>
  <si>
    <t>Benchmark SOPs against industry best in class standards: Standard Operating procedures (SOPs) should be modified to include all the key elements 
Update SOPs for key areas , train employees and implement usage</t>
  </si>
  <si>
    <t>We shall revisit the drafted procedures and benchmark with industry best practice.
We will also ensure all the procedures are reviewed periodically.</t>
  </si>
  <si>
    <t>Nubia Patricia Sanchez, Plant Controller</t>
  </si>
  <si>
    <t>TEN-2081</t>
  </si>
  <si>
    <t>Genpact- ERC</t>
  </si>
  <si>
    <t>Chonburi (Clean Air)</t>
  </si>
  <si>
    <t>Accounting of customer tooling</t>
  </si>
  <si>
    <t>Customer Reimb Tooling not per policy</t>
  </si>
  <si>
    <t>Chonburi (CA - Full Scope) 2025</t>
  </si>
  <si>
    <t>Incorrect Accounting for Customer-Owned Tooling under Piece Price Projects</t>
  </si>
  <si>
    <t xml:space="preserve"> Tenneco’s policy mandates that tooling reimbursed via piece price should be 
accounted for in Customer-Owned Tooling a/c (Non-Current Assets -One-stream 
a/c - 1700.150) and periodically amortized basis volume of sales
On detailed review, we noted Customer-owned tooling costs are being recorded 
in Fixed Asset Register (and periodically depreciated as regular Fixed Assets) 
instead of recording the same in Customer-Owned Tooling a/c (Non-Current 
Assets) and amortization of it via Sales, summary of Customer Owned Tooling 
balance in Fixed Assets (as on 31st Jul’25) is tabulated below for reference                                                                                                                                                                                                                                                                                                                                                                           As per Tenneco’s Tooling Policy, when the customer is invoiced, the reimbursement 
component should be excluded from revenue and reclassified to 1100.123 
(Customer-Owned Tooling Receivables). Any gains on such tooling should be 
recognized progressively as parts are produced and invoiced
On detailed review, we noted Sales invoices are being raised at full value, 
inclusive of the piece price reimbursement, rather than excluding the 
reimbursement component and reclassifying it to 1100.123 (Customer-Owned 
Tooling Receivables).</t>
  </si>
  <si>
    <t>Review the Fixed Asset Register (FAR) and de capitalize tooling costs that have been incorrectly recorded as Tenneco-owned assets, ensuring alignment with policy requirements for customer-owned tooling.
Introduce a periodic review process at the plant or regional level to ensure alignment with corporate policy. Implement a process to reclassify the reimbursement component of sales invoices to the appropriate account (1100.123 –Customer-Owned Tooling Receivables) rather than recognizing it as regular trade receivables and revenue.</t>
  </si>
  <si>
    <t xml:space="preserve">Create standard operating procedure for CA Thailand Customer-owned Tooling Policy
Check the customer owned tooling amortization tracking by model, match with the toolings in FAR to calculate the financial impact and propose the adjustments.  Create standard operating procedure 
for CA Thailand Customer-owned 
Tooling Policy
Adjust the future sale transctions to 
the tune of per piece tooling 
reimursements in lines with the  
policy requirements </t>
  </si>
  <si>
    <t>Jamikorn Hodsoda, Plant Controller</t>
  </si>
  <si>
    <t>TEN-2082</t>
  </si>
  <si>
    <t>Maintenance of tooling records</t>
  </si>
  <si>
    <t xml:space="preserve"> Incomplete and Unreliable Tooling Records</t>
  </si>
  <si>
    <t xml:space="preserve"> The plant relies on the Master Equipment &amp; Tooling (MET) listing as the primary 
operational record for tooling. This listing is intended to capture both customer
owned and Tenneco-owned tooling and should be periodically updated and 
reconciled with the Fixed Asset Register (FAR). However, we noted that no defined 
process currently exists for systematic updating and validation of the MET listing.
As a result, the records are often outdated, contain inaccurate ownership 
information, and cannot be consistently reconciled with the FAR due to the absence 
of a common identifier.
A physical verification of 15 sampled tooling assets based on the FAR dated 30 June 
2025 highlighted the following issues:
a) 1/15 assets–The asset code physically tagged on the asset differed from the 
code recorded in the FAR (NBV –57K USD (1.8 Mn THB) )
b) 2/15 assets–Scrapped assets continued to remain in the FAR without supporting 
scrap documentation (NBV –38K USD (1.2 Mn THB) )
 c) 7/15 assets–Assets lacked physical tags as per the FAR (tags deteriorated or 
absent). In some cases, multiple physical subsets existed but were recorded as a 
single unit in the FAR, complicating reconciliation (NBV – 76K USD (2.42 Mn THB)) 
d) 3/15 assets (RT-50 project)–Categorized in the FAR on a project basis 
comprising 21 sub-parts (NBV – 110K USD (3.57 Mn THB)), of which only 4 could 
be traced on-ground. The remaining sub-parts could not be verified due to 
incomplete location details in the MET listing. These parts were not tagged by 
description or FAR code, only by project code, making physical verification 
challenging.</t>
  </si>
  <si>
    <t>Establish a formal process for periodic updating, validation, and reconciliation of the MET listing with the FAR, supported by clear accountability. 
Strengthen asset tagging practices to ensure that each tooling asset carries a unique and durable identifier that aligns with FAR codes.</t>
  </si>
  <si>
    <t>Review the long-time-purchasing 
items and ask for updated 
quotations to refresh the market 
price level.
Periodically monitor, at least once a 
year, the market price level of MRO 
purchasing item
Provide training to the team</t>
  </si>
  <si>
    <t>TEN-2083</t>
  </si>
  <si>
    <t>Vendor Selection</t>
  </si>
  <si>
    <t>Non-adherence to laid out procedures for Vendor Selection</t>
  </si>
  <si>
    <t xml:space="preserve"> There are 3 types of procurements – Direct Material, Maintenance Repairs &amp; 
Operations (MRO)and Indirect Services. All 3 types of procurements are handled by 
the Plant Procurement Team. Procurement team compares quotation of minimum 3 
vendors for a new purchase adhering to Tenneco Procurement Policy and obtain 
approvals prior to finalization of a vendor.
During review of sample (30) POs (Total Procurement –800K USD/ 25.5 Mn THB) 
supporting document obtained for the period October 2024 to June 2025, we noted 
below discrepancies:
a) 11 POs  (66K USD/ 2.1 Mn THB) issued basis single vendor quote. Further, no 
justification and approval was obtained for single source procurement.
b) 1 PO (570K USD /18 Mn THB) was issued in advance (November 2024) prior to 
obtaining quotes from vendor (December 2024). 
C) 1 PO (2K USD /80K THB) issued to vendor with rate more than quotation rate. 
Quote rate –190 THB, PO Rate –400 THB. ~ Excess purchase of 1.3K USD/ 42K 
THB.</t>
  </si>
  <si>
    <t>Enforce compliance with vendor selection procedures (e.g., tendering, vendor evaluation, and approval matrix). 
Periodically monitor and review vendor selection cases through compliance checks. 
Provide training and awareness to procurement teams on policies and ethical considerations</t>
  </si>
  <si>
    <t>Review the long-time-purchasing 
items and ask for updated 
quotations to refresh the market 
price level.
Periodically monitor, at least once a 
year, the market price level of MRO 
purchasing item.
Provide training to the team</t>
  </si>
  <si>
    <t>Charnarong Akarasriswad, Purchasing  
Manager</t>
  </si>
  <si>
    <t>TEN-2084</t>
  </si>
  <si>
    <t>PPAE-26</t>
  </si>
  <si>
    <t xml:space="preserve"> Absence of policy guidelines on segregation/disposal of long-aged inventory </t>
  </si>
  <si>
    <t xml:space="preserve">Currently, ageing of inventory is tracked by goods receipt date (GR date) of a material and last movement of goods for production and shipping. Moreover, Excess and Obsolete Reserve is created for all inventory in SAP and is tracked by past 2 years usage and future demands.
During review of Inventory report as on 14thAugust 2025 (Total Inventory - USD 2.4 
Mn)/ THB 75 Mn extracted from SAP, we noted the following:
a) Inventory of USD60K/ THB 1.9 Mnwas procured before  2023 (as old as 2015), 
there was no physical segregation of stock by movement. However, E&amp;O reserve 
has been created for the same.
b) There are additional inventory items of USD28K/ THB 900K older than 2021 which 
had no physical movement. On further inquiry, we noted that even-though E&amp;O 
reserve is created for these obsolete materials, however, no disposal or write-off 
plan exists for the same
</t>
  </si>
  <si>
    <t>Establish Segregation Criteria: Define clear thresholds (e.g., &gt; 2 years = obsolete; 6 24months = slow-moving; 3 years without movement). 
Define Obsolescence Criteria: Establish a policy (e.g., &gt; 3 years without movement).
Disposal Plan &amp; Write-Down: Develop and document a disposal or write-off process (e.g., quarterly), with dual-approval for any adjustments to inventory valuation</t>
  </si>
  <si>
    <t>There is a plan to Dispose of obsolete 
stock twice a Year already , schedule 
for March and November.
Identified obsolete materials will be 
disposed off in November.</t>
  </si>
  <si>
    <t>Wichairat Bookaranee, Logistics 
Manager</t>
  </si>
  <si>
    <t>TEN-2085</t>
  </si>
  <si>
    <t>Procure to Pay</t>
  </si>
  <si>
    <t xml:space="preserve">Weak controls in SAP (TA2 instance) around procurement activities
 </t>
  </si>
  <si>
    <t xml:space="preserve"> PR is created by user department in SAP (TA2 instance) and is approved by Plant 
Manager prior to PO creation. PO created further, routes for an automated workflow 
in SAP as per defined Delegation of Authority (DOA). Further, GRN is posted for the 
materials received and invoice is posted in SAP for the quantities received physically 
prior to payment.
 During review of PR-PO creation/approval, material codes creation, GRN posting, 
invoice processing &amp; posting process, we noted below anomalies:
 PR-PO creation &amp; approvals:
SAP allows PO to be created without PR bypassing approval of department HOD 
and Plant Manager &amp; SAP further allows to create back-dated PR. Further, it was 
noted that there is no linkage between PR &amp; PO
Material codes creation:
a) Same material codes (11) created with multiple material descriptions. (Total 
Procurement –11K USD/335K THB).
b) Same material descriptions (5) created against multiple material codes. (Total 
Procurement -1.5K USD /45K THB).
Invoice processing and posting:
SAP allows to post invoice prior to GRN &amp; PO creation. On analysis of Invoice 
report, GRN report &amp; PO report extracted from SAP, we noted:
a) 10(280K USD /9 Mn THB) invoices noted where invoice was created prior to PO 
date. Further we noted, these are service invoices and commercials were agreed 
earlier, and PO was created post facto.  
b) 4invoices (1K USD /30K THB) posted prior to invoice document date.
c) 1invoice (1K USD /23K THB) posted prior to GRN.
GRN posting process:
SAP allows to punch GRN of more quantity than PO quantity.</t>
  </si>
  <si>
    <t>Configure SAP to mandate linkage of PO with PR and configuration shall prohibit creation of PO without a PR. 
Configure SAP to restrict duplicate material descriptions to be created for same material codes.
Configure SAP to block invoices created prior to 
PO creation and must prohibit posting of GRN of 
more quantity than PO.</t>
  </si>
  <si>
    <t>Consult with SAP team to configure SAP to strengthen SAP controls. We will ensure human errors will be minimized and SAP configuration will be enabled to avoid identified instances.</t>
  </si>
  <si>
    <t>Charnarong Akarasriswad, Purchasing  
Manager 
Michael Prashaw, Global SAP Manager</t>
  </si>
  <si>
    <t>TEN-2086</t>
  </si>
  <si>
    <t>Segregation of Duties</t>
  </si>
  <si>
    <t>Segregation of duties conflict noted in purchasing activities</t>
  </si>
  <si>
    <t>Access rights of each module in SAP (TA2) instances is assigned to individual users 
after a ticket is raised by Plant Controller. Global SAP team assigned roles and 
access as per the approved ticket.
 During review of Scheduling Agreement (SA) creation, invoice posting and payments 
process and review of access rights listing, we noted below discrepancies:
a) Access to change/modify scheduling agreements in SAP is provided to Purchase 
Associate &amp; Purchase Manager resulting in segregation of duties conflict.
 b) Access to mass change line items of scheduling agreements in SAP is provided 
to non-relevant employees such as Sales, Marketing &amp; Production planning 
individuals.
 c)  Access to edit critical PO fields (such as quantity &amp; rates) in SAP is provided to 
invoice processor.
 d) Access to run payment proposal in SAP and to process payments on Citi portal is 
provided to invoice processor.
 e) PR created is routed for approval of department HOD &amp; Plant Manager for release 
in SAP. However, we noted Purchase Associate (who creates PO) has access to 
edit critical fields in PR and post edit, PR is not routed through the approval 
workflow.
 f) DOA for high value indirect material PO approval still includes name of Ex-Plant 
Manager as the 3rd level of authority which is fulfilled by the current plant 
controller. Further on review, we noted that access of Ex-Plant Manager is not 
terminated.</t>
  </si>
  <si>
    <t>Periodic review must be performed on user access and roles in SAP to deactivate/eliminate access of non-relevant individuals. 
SAP access of terminated employees must be immediately deactivated.</t>
  </si>
  <si>
    <t>Remove Sarun/former finance controller from PO approval person in SAP.
Periodic review of user access and roles in SAP shall be performed.
Consult SAP IT team to deactivate access rights of employees having non-relevant access.</t>
  </si>
  <si>
    <t>Jamikorn Hodsoda, Plant Controller
Michael Prashaw, Global SAP Manager</t>
  </si>
  <si>
    <t>TEN-2087</t>
  </si>
  <si>
    <t>As per Tenneco physical count policy, plant is required to perform physical 
verification of fixed assets in 5 years. Last physical verification of fixed assets was 
performed in December 2024 at Chonburi Plant.
During physical count of 15 sample fixed assets with a total book value of 
USD57K/1.8 Mn THB, we noted below discrepancies
a) 1 asset (USD4.3K/ 137K THB) was disposed off in year 2022 was carried forward 
in FAR. Further, we noted that evidence of disposal &amp; scrap documentation of the 
sample asset was not available.
 b) 1 asset (Acquisition value - USD 28K/ 891K THB)was physically retired, 
however, book value (1K USD/ 30K THB) of the sample asset was carried in FAR.
 c) Asset tags were missing at 5 sample assets(Book Value -USD 14K/ 447K THB)</t>
  </si>
  <si>
    <t>Enhance Location Mapping Controls: Update real time location for inter/intra plant movements in SAP. 
Perform a periodic review to ensure asset tags are pasted on each fixed asset and initiate corrective actions for discrepancies, as required. 
Mandate documenting evidence of disposal and scrapping of fixed assets</t>
  </si>
  <si>
    <t>Re-conduct a full physical count of fixed asset in 2025 by area to ensure proper verification.
Calibration and place machine, with updated mapping in SAP to avoid misplacement and mismatches.
Mandate that disposal and scrapping of fixed assets must always by supported with proper approvals and evident.
Implement a periodic review process to ensure fixed asset tags are update and corrective actions are take promptly.</t>
  </si>
  <si>
    <t>Jamikorn Hodsoda, Plant Controller
Pattra Wisuttikun, Senior Finance 
Analyst</t>
  </si>
  <si>
    <t>TEN-2088</t>
  </si>
  <si>
    <t>Lack of approval in SAP for SA creation &amp; modification</t>
  </si>
  <si>
    <t>Creation request for Scheduling Agreements (created for Direct Materials only) are 
raised in SAP by the Procurement Team. 
During review of SA creation process and on analysis of SA Purchase Report 
during October 2024 to June 2025, we noted that there is lack of approval 
workflow and release strategy in SAP for creation and modification of SA 
agreement. Total 280 SA's (approx. 4.7 Mn USD/ 148 Mn THB) issued during 
October 2024 to June 2025 without a release strategy and approval in SAP.</t>
  </si>
  <si>
    <t xml:space="preserve">Implement release strategy in SAP for creation and modification of scheduling agreement. 
</t>
  </si>
  <si>
    <t>Transaction code：F110 Automatics Payment Transactions need to be modified to have an approval process in SAP before posting (currently approval in paper)
Consult with SAP IT team to configure SAP with SA approvals.</t>
  </si>
  <si>
    <t>Jamikorn Hodsoda, Plant Controller
Pornpan Cherdphol, Payment 
Processor
Michael Prashaw, Global SAP Manager</t>
  </si>
  <si>
    <t>TEN-2089</t>
  </si>
  <si>
    <t>Discrepancies and noted in Payments process</t>
  </si>
  <si>
    <t>During review of Payments process, we noted that bank file generated after 
payment proposal run from SAP is not encrypted and is editable.</t>
  </si>
  <si>
    <t xml:space="preserve">Define EUT controls in bank upload file by  enabling encryption to prevent unauthorized 
changes.
</t>
  </si>
  <si>
    <t xml:space="preserve">Encrypt the payment documents  from SAP before load to Citibank to protect editing. 
</t>
  </si>
  <si>
    <t>TEN-2090</t>
  </si>
  <si>
    <t>Inventory accounting</t>
  </si>
  <si>
    <t>Anomalies noted in inventory accounting process:</t>
  </si>
  <si>
    <t>Raw materials received from vendor (domestic, international and intercompany) are 
accounted in SAP post quantity and quality inspection. GRN (Goods Receipt Note) is 
posted for the materials received in SAP prior to physically storing them in 
warehouse.
During review of Inventory report as on 14th August 2025 (Total Inventory - USD 2.4 
Mn/ THB 75 Mn) extracted from SAP, we noted 22 materials (1K USD/ 30K THB) 
have been received in warehouse without a GRN. Further on discussion, we noted 
that these are mostly vendor samples, prototypes and materials received from 
intercompany transfer and have been received without GRN.</t>
  </si>
  <si>
    <t xml:space="preserve">GRN of identified materials must be immediately 
posted in SAP.
Periodic review should be performed to identify materials received without GRN.
</t>
  </si>
  <si>
    <t>Provide training to team to stop transfer components from one location to another without GRN.
Set up process review all material 100% perform by GRN process</t>
  </si>
  <si>
    <t>TEN-2091</t>
  </si>
  <si>
    <t xml:space="preserve"> Non-compliance to Excess and Obsolete (E&amp;O) Reserve Policy</t>
  </si>
  <si>
    <t xml:space="preserve"> As per Excess and Obsolete (E&amp;O) reserve policy, Inventory shall be reserved based 
on the following criteria:
a) Automotive OE parts must be reserved at 100% if the amount on-hand exceeds 
one (1) year historical usage (100% of the portion more than the historical usage).
b) Non-automotive OE parts and OES parts must be reserved at 100% if the amount 
on-hand exceeds two (2) years historical usage (100% of the portion more than 
the historical usage).
c) New parts cannot be entirely excluded from the analysis. However, if a part has 
been introduced or reintroduced within the last one or two years (for automotive 
OE parts or non-automotive OE parts/OES parts, respectively), future demand 
may be considered. The total usage/demand calculation cannot exceed one or 
two years, respectively
E&amp;O reserves at Chonburi plant are calculated by APAC team by the inputs of 
Chonburi plant inventory and logistic team.
During review of E&amp;O Inventory Reserves calculation prepared for Q2 2025 (Total 
Reserve – USD 180K/ 5.8 Mn THB, by inventory team at Chonburi Plant, we noted 
E&amp;O reserve calculation did not include critical fields such as GR date, material 
created date , material types, etc..</t>
  </si>
  <si>
    <t>Institute a two-tier review - Require a secondary sign-off (e.g., Inventory Manager and Finance Controller) on the E&amp;O schedule, with a reconciliation of total reserve movements. 
Revisit the E&amp;O calculations and ensure all critical fields are considered which calculating E&amp;O reserves.</t>
  </si>
  <si>
    <t>Normally We have process review together for Logistics and Finance before reserve
Global implemented new E&amp;O format to follow &amp; close audit issue</t>
  </si>
  <si>
    <t>TEN-2092</t>
  </si>
  <si>
    <t xml:space="preserve"> As per Physical Count Policy,--
a) A complete full physical inventory verification must be performed at least once 
each calendar year.
b) To perform cycle counts, a location must meet the requirements of one of the 
following tow alternatives – ABC Cycle Counting and Row Audit Cycle Counting.
Inventory team at Chonburi plant performed Annual Physical Inventory (API) 
verification on 14th December 2024. Additionally, we independently selected 30 
samples during plant visit and performed a physical count of inventory at Chonburi 
Plant warehouse on 25th August 2025.
During physical count of 30 sample inventory items (raw materials, finished goods 
and CWIP) with a total book value of USD57K/ 1.8 Mn THB, we noted below 
discrepancies:
a) 1 items (USD2.5K/ 79K THB)recorded in SAP but not found in the warehouse.
b) 4 items (USD2.8K /87K THB)located in a different warehouse zone than SAP 
records.
c) Location of 6materials (4K USD/ 126K THB) is not specified with storage bin in 
SAP.</t>
  </si>
  <si>
    <t>Enhance Location Controls: Update warehouse bin-location mapping in SAP, require staff to scan bin and item barcodes at receipt, put-away and picking 
Educate/Train staff to record movement of inventory accurately in SAP on a real time basis. 
Inventory team shall investigate the differences and shall perform necessary adjustments.</t>
  </si>
  <si>
    <t>Addition 5S audit item tocheck location in WHto make sure Location in SAP matching with Physical Location 
Update WI to mention real time Transaction in SAP and Training to team member 
We will perform Cycle count / after investigating 100% inventory accuracy 100% for highlighted items</t>
  </si>
  <si>
    <t>TEN-2093</t>
  </si>
  <si>
    <t>Absence of review process over vendor details</t>
  </si>
  <si>
    <t>Vendor details are obtained and entered in Lotus Note application and is routed for 
approval from Purchase Manager and Plant Controller. Post approval, vendor is 
created in SAP and a vendor code is generated for newly onboarded vendor.
During review of vendor master process and analysis of vendor master as on 22nd
August 2025, we noted below discrepancies:
a) 4 vendors with duplicate bank accounts appearing in SAP.
b) 8 vendors noted with duplicate VAT registration numbers in SAP.
c) 2 vendors noted with duplicate address in SAP.
d) 231 vendors noted with missing VAT registration details in SAP.
e) There is lack of vendor call back procedure to validate vendor bank details.</t>
  </si>
  <si>
    <t>Periodic review must be performed on vendor 
information updated manually in Lotus Note and in 
SAP.</t>
  </si>
  <si>
    <t>We will periodically review vendors information at least once a quater.</t>
  </si>
  <si>
    <t>TEN-2094</t>
  </si>
  <si>
    <t>Logistics</t>
  </si>
  <si>
    <t>Gate pass</t>
  </si>
  <si>
    <t>Absence of Gate pass tracking and monitoring</t>
  </si>
  <si>
    <t>Currently, manual gate passes are prepared at security gate for materials/machines 
exiting the plant premises due to job work/repair work/calibration, etc.. Approvals 
are obtained on the manual gate pass prior to plan exit.
During review of gate entry and exit process at Chonburi plant, we noted there is lack 
of maintenance of gate pass (Returnable (RGP) &amp; Non-Returnable (NRGP)) in SAP. 
Further, we noted that there is lack of process to monitor ageing of the 
materials/machine sent out of plant premises.</t>
  </si>
  <si>
    <t>RGP &amp; NRGP gate passes must be tracked and 
monitored in SAP. Long-aged exits must be tracked 
and resolved.</t>
  </si>
  <si>
    <t>We will submit Requirement to IT team to support provide RGP &amp; NRGP tracking by SAP</t>
  </si>
  <si>
    <t>TEN-2095</t>
  </si>
  <si>
    <t>Fixed Asset Capitalization</t>
  </si>
  <si>
    <t>Non-compliance to Fixed Assets Capitalization policy</t>
  </si>
  <si>
    <t xml:space="preserve"> As per Tenneco Capitalization policy, fixed assets with acquisition cost below global 
capitalization threshold of USD 5K are not required to be capitalized. If  capitalized, 
they must be depreciated in full within the same year (maximum time).
During review of capitalization process and analysis of Fixed Assets Register (FAR), we noted 786 assets (acquisition cost of 620K USD/ THB 20 Mn), were capitalized in the FAR under US GAAP (and not depreciated in the same year of acquisition), even though each individual item was below the global capitalization threshold of USD 5K.
</t>
  </si>
  <si>
    <t xml:space="preserve">Policy should be strictly adhered and highlighted 
instances should be depreciated to full value immediately.
</t>
  </si>
  <si>
    <t>Create standard operating procedure for CA Thailand Fixed Asset Policy 
Implementing the global policy will create the local GAAP requirement and US GAAP policy difference because in local GAAP, the fixed asset value lower than 150,000 THB can be capitalized if the useful life &gt; 1 year. 
Request to implement fixed asset capitalization threshold USD 5K or 150,000 THB effective Jan 1st, 2026.</t>
  </si>
  <si>
    <t>Pattra Wisuttikun, Finance Manager</t>
  </si>
  <si>
    <t>TEN-2096</t>
  </si>
  <si>
    <t>Employee attendance</t>
  </si>
  <si>
    <t>Discrepancies noted in employee attendance process</t>
  </si>
  <si>
    <t>Currently, attendance of employees at Chonburi Plant is recorded by fingerprint 
scanner which is integrated in B-plus application (attendance tool). In case of any 
attendance correction, employee takes approval from reporting manager and 
submits attendance correction form to payroll associate for attendance correction.
During review of attendance monitoring and correction process at Chonburi plant, 
we noted below discrepancies:
a) Payroll associate has rights to correct own attendance which doesn’t route to any 
approval.
b) B-plus lacks functionality to extract logs of past/historic instances of employee 
attendance correction.
c) Furthermore, we noted payroll file is generated from B-plus basis employee 
attendance, however, payroll file is editable and not encrypted/password 
protected.</t>
  </si>
  <si>
    <t>Configure B-plus application to prohibit correction of attendance without adequate 
approvals.
Encrypt payroll file with password protection.</t>
  </si>
  <si>
    <t>A request will be made for B-Plus Company programmer to set permissions for Payroll Officer to access employee data, except for editing her own salary. Only the HR Manager can make such edits. If the payroll officer needs to correct any attendance or other personal data, a printed report, including correction for both her own and other employees’ data, will be prepared. This report must be checked for accuracy and confirmed by HR Manager, who will sign it as evidence. This action plan will be completed within 30 days.</t>
  </si>
  <si>
    <t>Najsha Deawsurin, HR Manager</t>
  </si>
  <si>
    <t>TEN-2097</t>
  </si>
  <si>
    <t>Bank Mandate</t>
  </si>
  <si>
    <t>Discrepancies noted in employee access related to bank mandates</t>
  </si>
  <si>
    <t>Once an employee resigns or is terminated, all access of employees are deactivated 
by IT/HR team post his termination. 
During review of employee access of resigned and terminated employees, we noted 
that a resigned/terminated employee (LWD –February 2024) continues to appear as 
an authorized signatory in bank portal.</t>
  </si>
  <si>
    <t xml:space="preserve"> Immediately revoke access of resigned/terminated  employees and perform a periodic review of 
employee access around bank mandates.</t>
  </si>
  <si>
    <t>HR will submit request to the CITI Bank to remove a former employee, who left in Feb-2024 from the bank mandate. This action plan will be completed within 30 days</t>
  </si>
  <si>
    <t>TEN-2098</t>
  </si>
  <si>
    <t>During our review and walkthrough of all plant processes, we noted that SOPs were 
available in internal Sharepoint for all the key processes. 
We obtained 10 sample SOP’s (across processes such as Inventory, HR, Fixed 
Assets, EHS, Inspection, Quality Control) and during our review, we noted the 
below discrepancies:
a) Key sections such as Key controls, Tools and ERP, KPI/SLA/DOA, Key MIS &amp; 
Reporting Frameworks, etc. were missing in 9 sample SOP’s.
b) SOP is not documented for Accounts Payable process (Invoice Processing and 
posting).</t>
  </si>
  <si>
    <t>Benchmark SOPs against industry best in class standards: Standard Operating procedures (SOPs) should be modified to include all the key elements 
Update SOPs for key areas , train employees and implement usage</t>
  </si>
  <si>
    <t>Create SOPs for Accounting Department such as AP, AR, Cashier, Fixed Asset, Customer-owned tooling accounting process etc.</t>
  </si>
  <si>
    <t>TEN-2099</t>
  </si>
  <si>
    <t>Coventry</t>
  </si>
  <si>
    <t>(Coventry) (Powertrain)   - Management Self-Testing 2025</t>
  </si>
  <si>
    <t>SoD Review was not performed in 2025 due to IT Delays - out of site control</t>
  </si>
  <si>
    <t>SOD to be rolled out ahead of the year end</t>
  </si>
  <si>
    <t>IT/Iain Cameron</t>
  </si>
  <si>
    <t>11/06/2025</t>
  </si>
  <si>
    <t>TEN-2100</t>
  </si>
  <si>
    <t>Reconciliation not prepared and reviewed within policy</t>
  </si>
  <si>
    <t>RCM is being implemented as a reconciliation tool</t>
  </si>
  <si>
    <t>Michael Kurinsky, Senior Accounting Manager</t>
  </si>
  <si>
    <t>TEN-2101</t>
  </si>
  <si>
    <t>Not reviewed and approved timely per policy</t>
  </si>
  <si>
    <t>RCM is being implemented for reconciliations</t>
  </si>
  <si>
    <t>TEN-2102</t>
  </si>
  <si>
    <t>Not prepared and reviewed in a timely manner per policy</t>
  </si>
  <si>
    <t>RCM is being implemented for account reconciliations</t>
  </si>
  <si>
    <t>TEN-2103</t>
  </si>
  <si>
    <t>TEN-2104</t>
  </si>
  <si>
    <t>Unvouchered AP</t>
  </si>
  <si>
    <t>Athens 2025 (PT - Full Scope)</t>
  </si>
  <si>
    <t>Unvouched Accounts Payable (AP) balances had been
significantly overstated during the period​.</t>
  </si>
  <si>
    <t>Through review of the plant’s financial records, a significant unvouchered accounts payable (AP) balance was identified on the plant's books audit period (2.8M as of June 2025). Discussions with the Plant Controller indicated that the elevated balance is primarily driven by the way Shared Services processes and matches payments. Specifically, numerous invoices are placed on hold and not cleared from the system in a timely manner.​
The Plant Controller has previously raised these issues with the Shared Services Center and provided a listing of invoices that should be cleared, either because goods had already been received against the invoices or because the invoices were subsequently processed for payment through later statements. Until May close 2025, the Unvouchered AP was being accrued without adjustment resulting in significantly higher balances during the prior months. As this is a reversing entry it should not affect future adjustments. ​
Further inspection of the unvouchered report by Internal Audit identified 444 invoices, some dating back to February 2024, that remain on the listing. This backlog highlights a risk of misstated financial reporting and delayed reconciliation of liabilities.</t>
  </si>
  <si>
    <t xml:space="preserve">1. Shared Services should evaluate invoice processing procedures to reduce the number of invoices placed on hold and ensure timely clearing 
2. Plant Controller should implement a regular reconciliation process to validate unvouched invoices, adjusting balances as needed 
3. Establish a formal escalation process/review between Plant and Shared Services 
</t>
  </si>
  <si>
    <t xml:space="preserve">Working with the SSC AP establish a process to evaluate invoice processing procedures to, significantly, reduce the number of invoices placed on hold and ensure timely clearing.
Plant Controller continue to evaluate and adjust AP accrual via unvouched invoice validation. Should coincide with SSC AP actions (#1).
Continue weekly scheduled calls with AP SSC to clear top 10 (or more) issues in the reconciliation process. 
Add to daily/weekly/monthly checklist to ensure adherence and commitment. </t>
  </si>
  <si>
    <t>Hector Cordova (Plant Controller) and Shared Service Centers</t>
  </si>
  <si>
    <t>11/11/2025</t>
  </si>
  <si>
    <t>TEN-2105</t>
  </si>
  <si>
    <t>Fixed Asset Tagging /Fixed Asset Disposals</t>
  </si>
  <si>
    <t>PPAE-22</t>
  </si>
  <si>
    <t>Inaccurate Fixed Asset Register and Disposals without Documentation</t>
  </si>
  <si>
    <t>During the fixed asset verification procedure, a sample of assets was
selected from the Fixed Asset Register and physically traced to the
plant floor. It was observed that 2 assets included in the register were
no longer present at the plant. Inquiry with plant personnel indicated
that these assets had been scrapped within the past few years;
however, no supporting disposal documentation was available for
audit inspection.​
The 2 assets identified remain recorded on the Fixed Asset Register
with a combined net book value of $19,026. Specifically:​
500 TON BIPEL PRESS – Cost of $30K; Net book value of $18K;
accumulated depreciation of $12.6K; reportedly disposed of in 2022.​
Vertical Metal Cutting Bandsaw – Cost of $7K; Net book value of
$382.14; accumulated depreciation of $6,496.39; reportedly disposed
of in 2023.​
The absence of disposal records prevents confirmation that these
assets were appropriately authorized for disposal, fully removed from
company books, and disposed of in compliance with company policy.</t>
  </si>
  <si>
    <t xml:space="preserve">Reinforce company policy requiring all disposals to be supported by appropriate documentation and provide training to plant and finance personnel 
Implement a periodic reconciliation process (e.g., Quarterly or Semi-Annual) between FA Register and Physical Verification reports 
Assign responsibility for monitoring compliance with disposal procedures to management, with periodic reviews 
</t>
  </si>
  <si>
    <t xml:space="preserve">Reinforce company policy requiring all disposals to be supported by appropriate documentation and provide training to plant and finance personnel. Training the Facilities Mgr. Engineering, vs. Mgr., with support from Plant Mgr.
Implement a Quarterly reconciliation process between FA Register and Physical Verification reports (quarterly asset inventory). One value stream per quarter and one general plant, for efficiency and effectiveness of the process.
Quarterly Management review of the disposal procedures and sign off by management of the quarterly reconciliation. 
Add to the daily/weekly/monthly checklist. </t>
  </si>
  <si>
    <t>Hector Cordova (Plant Controller) Carlos H. (Facilities Eng.), Mardonio M (Eng. Mgr.) and Tamara Sibley (Plant Accountant)</t>
  </si>
  <si>
    <t>TEN-2106</t>
  </si>
  <si>
    <t>Idle Asset Review/Impairment</t>
  </si>
  <si>
    <t>Idle Assets &amp; Impairment review has not taken place
since 2023 ​</t>
  </si>
  <si>
    <t>Management has not conducted a review of idle assets or performed
an impairment assessment of existing assets during the current year. ​
Plant personnel indicated that such procedures were last performed
as part of the fixed asset count completed in 2023. ​
However, these reviews are expected to be carried out on an annual
basis to ensure compliance with policy and to maintain the accuracy
of asset valuations.</t>
  </si>
  <si>
    <t xml:space="preserve">Implement a documented annual process for idle assets and impairment review, independent of the fixed asset count 
Assign responsibility at the plant level for initiating and completing reviews, with oversight from management 
Incorporate monitoring controls, such as periodic compliance checks, to ensure reviews are consistently completed and appropriately documented 
</t>
  </si>
  <si>
    <t xml:space="preserve">Implement a documented annual process for idle assets and impairment review, independent of the fixed asset count 
Plant Accountant will compile the results of the impairment analysis for oversight and review (with signatures) from management 
Add this action to the daily/weekly/monthly checklist to ensure we keep the timing and review process visible to comply with corporate impairment policy. </t>
  </si>
  <si>
    <t>Tamara Sibley/Fabiola Briceno Plant Accountant, Hector Cordova, Plant Controller</t>
  </si>
  <si>
    <t>TEN-2107</t>
  </si>
  <si>
    <t>Scrap Production</t>
  </si>
  <si>
    <t>Scrap production documentation inconsistently
maintained ​</t>
  </si>
  <si>
    <t>Documentation supporting scrap production within the value streams
for oil seals, gaskets, and PTFE was found to be incomplete. ​
Specifically, records related to oil seal scrap were not retained, and
documentation for gasket and PTFE scrap was only available for select
months, rather than consistently maintained. ​
During fieldwork, it was noted that a scrap production log was
implemented at the loading dock in July 2025. The new log requires
both operator and supervisor sign-off to strengthen record accuracy
and accountability.​
Production scrap, scrap produced in excess of standard offal rates,
was 280K in July 2025 with a total value around $3.4M during the
audit period.​</t>
  </si>
  <si>
    <t xml:space="preserve">Establish a uniform policy requiring retaining scrap production records across all value streams 
Provide training to refresh operators and supervisors on the importance of proper documentation requirements
Assign responsibility to designated control owners to review scrap logs on at least a monthly basis for completeness and accuracy 
Implement periodic internal reviews to ensure scrap documentation is consistently maintained and signed-off 
</t>
  </si>
  <si>
    <t xml:space="preserve">Establish a uniform policy to retain production and scrap records across all value streams and deliver to Finance weekly by 10/31/2025
Training to all operators and supervisors on proper documentation requirements. Potentially, add to training matrix to ensure completion &amp; approvals.
Assign review of scrap &amp; production logs to team leads and/or supervisors on at least a monthly basis for completeness and accuracy 
Add the review process to the daily/weekly/monthly checklist to ensure scrap documentation is maintained and approved. 
</t>
  </si>
  <si>
    <t>Jason Keenum (Material Manager), Omar V. &amp; Jeff K. (VS Managers)</t>
  </si>
  <si>
    <t>TEN-2108</t>
  </si>
  <si>
    <t>PINV-47, PINV-48</t>
  </si>
  <si>
    <t>Scrap revenue reconciliation process not maintained ​</t>
  </si>
  <si>
    <t>Location does not currently maintain a formal process for reconciling
vendor tickets against expected recoveries based upon production.
While a scrap log was recently implemented at the loading dock to
record all deposits of scrap produced into scrap bins, no process is in
place to compare this log to vendor remittance tickets. ​
As a result, there is no verification that revenue received aligns with
the volume and type of scrap generated.​
In addition, it was observed that two distinct types of steel scrap are
produced at this location, with one type yielding reimbursement rates
approximately two to three times higher than the other. ​
If these materials are combined, however, vendors apply the lower
reimbursement rate to the entire load. Without a reconciliation
process, management lacks visibility into potential revenue loss
arising from scrap mixing, and the financial impact of such
occurrences cannot be readily identified or quantified.​
Scrap recovery revenue from 1/1/2025 – 7/31/2025 was ~$1,004,000. ​</t>
  </si>
  <si>
    <t xml:space="preserve">1. Establish a structured process to reconcile scrap log at loading dock to vendor remittance tickets on a periodic basis (e.g., Monthly), including investigation and resolution
2. Develop operational procedures to ensure high/low value scrap are clearly segregated and provide training to employees responsible for scrap handling 
3. Assign accountability/responsibility for reviewing reconciliation and require evidence 
4. Periodically assess potential revenue variances and financial impact </t>
  </si>
  <si>
    <t xml:space="preserve">Each time a scrap hopper is to be transported to the dock for dumping, it is
weighed on the scale and
the type of scrap material identified and recorded in a scrap log near the scale.
The log is signed off by the supervisor.
Once it is weighed and recorded, it is transported and dispositioned in the proper dumpster depending on the material type (HTA, coated, or cold rolled). 
When the 3rd party recycler picks up the material and transports it to the destination, it is weighed and a document with scale weight is sent to the site and corporate purchasing.
The Sr. Cost Accountant will compare the recycler weight to the scrap log weight to certify the vendor reimbursed is in line with expectations.  
If a variation to expected recovery, an analysis is conducted to determine the root cause of the variance and identify actions to mitigate and sustain. 
</t>
  </si>
  <si>
    <t>Jason Keenum (Material Manager), Fabiola Briceno (Sr. Cost Accountant)</t>
  </si>
  <si>
    <t>TEN-2109</t>
  </si>
  <si>
    <t>Vallejo</t>
  </si>
  <si>
    <t>Vallejo 2025 (PT - Full Scope)</t>
  </si>
  <si>
    <t xml:space="preserve">Lack of Monitoring and Clearing of Aged Open POs​
(Repeated Issued from Audit in 2022). </t>
  </si>
  <si>
    <t>Data analytics were performed over open PO´s older than 12 months in the SAP system and following were identified: ​
Open POs since 2021: 3 PO´s amounting $116K USD ​
Open POs since 2022: 7 PO´s amounting $139K USD​
Open POs since 2023: 17 PO´s amounting $354K USD ​
Totaling: $609 K USD ​
Management's periodic review of open POs requires improvement. As of the audit, each Buyer/Planner is responsible for following up on their own created POs to ensure no aged POs remain open. This control is not formally documented (no frequency established, no working paper designed, etc.) and is not validated for approval by Management.</t>
  </si>
  <si>
    <t xml:space="preserve">Local management should establish and document a formal process for the periodic (e.g., monthly or quarterly) review of aged open purchase orders in the SAP system. 
Assigning responsibility for extracting and reviewing aged PO reports.
Performing timely follow-up with requestors and suppliers to determine whether POs should remain open, be modified, or be closed.
Documenting and retaining evidence of reviews, follow-up actions, and approvals.
Ensuring Purchasing Management reviews and approves the results of the periodic monitoring.
</t>
  </si>
  <si>
    <t>A monthly analysis of open purchase orders should be performed by Purchasing team, which should show following:
Evidence of reviewing and closing process for each open PO included in previous month open PO list.
Evidence that confirms the reviewing and approval of Purchasing head and Plant Controller.
Evidence that Open PO´s do not havean aging higher to 90 days.
This analysis should be included in the Sing off monthly process as evidence of compliance.</t>
  </si>
  <si>
    <t xml:space="preserve">Purchase Manager (Daniel Ojeda), Plant Controller (Edgar Gutierrez)
</t>
  </si>
  <si>
    <t>TEN-2110</t>
  </si>
  <si>
    <t xml:space="preserve">Scrap ticket processing requires improvement​
(Repeated Issued from Audit in 2022). </t>
  </si>
  <si>
    <t xml:space="preserve">During the review at the Vallejo Plant, a sample of 20 inventory scrap adjustments were tested, and the following were noted: ​
Lack of timely accurate: One inventory scrap ticket adjustment (4,000 items) did not have the scrap date. Validation of if the scrap was registered on time could not be validated. For another scrap ticket adjustment (2,319 KG) were posted into SAP system 20 days after the material was segregated. ​
User sharing in SAP system: During the walkthrough, it was identified that the Quality Auditor was using the Quality Supervisor (nongeneric) user to enter scrap tickets into the SAP system. The UID was used by multiple individuals.  </t>
  </si>
  <si>
    <t xml:space="preserve">Local management should strengthen controls over inventory scrap adjustments:
Management should implement a validation to identify that the scrap ticket are posted on time. 
Require that all scrap tickets include complete and accurate information and ensure that adjustments are posted into the SAP system promptly after segregation.
Scrap adjustments should be entered using the individual’s assigned credentials, Therefore, the creation of the user responsible for registering the scrap in the SAP system should be managed.
Implement periodic monitoring of scrap adjustments to confirm proper documentation, timely recording, and compliance with segregation of duties.
</t>
  </si>
  <si>
    <t>From September 1st, will be implemented a new process to validate the data included in scrap tickets as follow:
Every scrap ticket should be reviewed and signed by Quality manager and quality inspector.
A second reviewing will be performed by Finance personnel before to report the scrap in SAP system.
in case any quality inspector does not have (user) access to SAP system, the scrap must be reported by Quality supervisor until the quality inspector is able to report scrap in SAP system.</t>
  </si>
  <si>
    <t xml:space="preserve">Quality Manager (Carolina Alvarado), Cost Accountant (Julio Sánchez) and Plant Controller (Edgar Gutierrez)
</t>
  </si>
  <si>
    <t>TEN-2111</t>
  </si>
  <si>
    <t>PAYR-23, PINV-28, REVE-63</t>
  </si>
  <si>
    <t xml:space="preserve">Non-compliance with Master File Monitoring Controls Policy 
</t>
  </si>
  <si>
    <t>During the Master Data control testing, weaknesses were noted in control activities related to safeguards over master data integrity, resulting in noncompliance with the "SPI 0-10 Master File Monitoring Controls" global policy.​
Lack of periodic review of changes in Master Data: No periodic review (monthly or quarterly according to the policy) for payroll master data and inventory master data is performed by Management to identify or confirm whether unauthorized or incorrect additions, deletions, or modifications were made during the period reviewed. From July 2024 to June 2025, identification of Payroll master data 573 changes (additions,
deletion or modification) and Inventory master data 516 (additions and modifications) were noted. ​
Inventory Master Data: For 4 of 5 samples tested of changes to inventory master data, no evidence of review, approval and supporting documentation (e.g. master data change request form, approval workflow, or formal justification) was available. For the 4 changes failed in test, Management received the request without proper documentation for modification in location (2 samples), component quantity (1 sample) and
bill of material distribution indicator (1 sample). ​
Pricing Master Data: Evidence of the parameters applied during the June 2025 periodic review of master data changes is not retained. Since these parameters define the period covered by the review, their absence prevents assurance that all relevant price changes were included and evaluated. From July 2024 to June 2025, a total of 1,793 changes for Pricing Master Data (additions and modifications) were identifie</t>
  </si>
  <si>
    <t xml:space="preserve">Local management should strengthen master data controls to ensure full compliance with the “SPI 0-10 Master File Monitoring Controls” policy. 
Implement formal review and approval procedures for all changes to inventory master data, with evidence of approval and supporting documentation retained.
Implement periodic (e.g., monthly or quarterly) reviews of payroll, pricing, and inventory master data to confirm the accuracy, validity, and integrity of the information maintained in the SAP system. Monitoring reviews must be reviewed and approved by a party independent of the preparer. The Plant Controller is responsible for retaining evidence of approval as verification that the control was executed.
Additionally, management should perform random reviews of prior-period master data changes to detect any instances of updates made without proper approval.
</t>
  </si>
  <si>
    <t xml:space="preserve">A monthly reviewing of payroll, vendor and pricing master files should be performed in a monthly basis, this reviewing should cover next requirements:
The payroll, vendor and pricing master files changes should be appropriately reviewed and approved by management in a monthly basis.
Every changes applied in the month should be accurately supported with the proper supporting documentation.
Any identified issues or differences have been appropriately researched, resolved, and/or explained in a timely manner.
</t>
  </si>
  <si>
    <t xml:space="preserve">Project engineering (David Salazar), HR Manager (Mario Herrera) and Plant Controller (Edgar Gutierrez).
</t>
  </si>
  <si>
    <t>TEN-2112</t>
  </si>
  <si>
    <t>Period End Shippment reconciliation vs Invoice</t>
  </si>
  <si>
    <t xml:space="preserve">Lack Reconciliation Procedures to Ensure Proper Period Invoicing of Shipments </t>
  </si>
  <si>
    <t>As part of period end close, it was noted that a reconciliation between shipments and invoices issued is not performed; therefore, there is no verification to identify that shipments were invoiced on time for revenue recognition. ​
Through observation and inspection, it was found that local management was not aware of, nor had access to the reports VFX3 (billing documents blocked from posting to accounting) and VF04 (billing documents due
from orders or deliveries) in SAP system to performed the reconciliation in a monthly basis, even though Management does not have any other control in place to ensure all shipments were invoiced at month end for the revenue recognition process.​
Vallejo plant invoiced approximately monthly average amount of $4.9 MUSD for 2025 and $4.8 MUSD</t>
  </si>
  <si>
    <t xml:space="preserve">Local management should implement controls to ensure that all shipments are validated and invoiced in the appropriate accounting period. 
Management should request for access to extraction, review, and approval of reports VFX3 and VF04, to perform a reconciliation to validate all shipments were invoiced timely, this reconciliation should be reviewed in a monthly basis (month end) by the Plant Controller.
Management should retain evidence of reviews and reconciliations to demonstrate compliance with control documentation. 
These measures will strengthen revenue recognition controls, reduce the risk of unbilled or misstated transactions, and ensure compliance with accounting requirements.
</t>
  </si>
  <si>
    <t>A monthly Shipments-Invoicing reconciliation should be performed by Customer service team, which should show following:
Evidence that confirms the reviewing and approval of Logistics Manager and Plant Controller.
Evidence that all monthly shipments has been invoiced using transaction SQ01 of SAP RP2
This reconciliation should be included in the sign-off monthly process as evidence of compliance.</t>
  </si>
  <si>
    <t xml:space="preserve">Logistic Manager (Naybi Cortes), Plant Controller (Edgar Gutierrez). 
</t>
  </si>
  <si>
    <t>TEN-2113</t>
  </si>
  <si>
    <t>Fixed Assets</t>
  </si>
  <si>
    <t xml:space="preserve">Inconsistent asset identification and inadequate asset tagging
</t>
  </si>
  <si>
    <t>During the Fixed Assets physical inventory, the following were identified: ​
For a sample of 20 assets validated, 13 samples did not have the tag according to Active-AF system. This was due to during the 2023 physical inventory the Fixed Assets were tagged physically by an external service provider with a new plate (fixed asset number) but this new number was not updated into Activ system. ​
Physical care of tags with enhancement opportunity, 2 tags were identified for the sample selected that were painted over and several more tag painted out of the sample, Management noted that those tags were painted during machinery maintenance (partially scraped to read).</t>
  </si>
  <si>
    <t xml:space="preserve">Local management should implement controls to ensure the information in Active- AF system is updated. 
Management should request to the system: “Active-AF” vendor third party, to create a new layout with the new tags to update the information into the system, since this cannot be done by the company itself.
Management should relocate or re‑issue tags obstructed by modifications; also prohibit painting over tags and require protection during maintenance.
</t>
  </si>
  <si>
    <t>Investigate if open AF can be updated to reflect current tag number and update where possible; this process should be coordinated by Fernanda Jardon and ACTIVE AF system Team. Continue 
Map tag numbers to existing assets to ensure reconciliation between old and new tag numbers.
Re-tag assets with missing tags.</t>
  </si>
  <si>
    <t xml:space="preserve">Plant Controller (Edgar Gutierrez)
</t>
  </si>
  <si>
    <t>TEN-2114</t>
  </si>
  <si>
    <t>Precious Metals</t>
  </si>
  <si>
    <t xml:space="preserve">Weaknesses in Precious Metals Handling and Custody Controls 
</t>
  </si>
  <si>
    <t>Through investigation, it was noted that precious materials are not subject to adequate custody controls once removed from the vault. ​
While exit passes and vault exchange vouchers are completed, materials may remain unattended (e.g., a vial observed at a workstation during mealtime). Staff are not subject to additional pat-down search. As a result, items can be carried by hand across the plant without proper tracking.</t>
  </si>
  <si>
    <t xml:space="preserve">Local management should strengthen custody controls over precious materials once removed from the vault. Specifically, management should:
Establish defined transfer procedures, including designated routes, required escorts, or two-party handoffs.
Enhance physical security measures, such as pat-down search when leaving workstation.
Require that precious materials are never left unattended outside the vault, with clear accountability assigned at each stage of custody.
These measures will help safeguard high-value assets, reduce the risk of misappropriation or loss, and ensure compliance with corporate security standards.
</t>
  </si>
  <si>
    <t>When the operator goes out to eat, he or she must hand the necessary material container to the supervisor.
If the supervisor is absent, the operator must call the patrimonial security guard to keep it locked.</t>
  </si>
  <si>
    <t>VSM Assembly Plant (Isidoro Mora), Patrimonial Security (Mario Dominguez).</t>
  </si>
  <si>
    <t>TEN-2115</t>
  </si>
  <si>
    <t>Period End AP Account Reconciliations</t>
  </si>
  <si>
    <t xml:space="preserve">Lack of Monitoring Controls over GR/IR Report 
</t>
  </si>
  <si>
    <t>During the review at the Vallejo Plant, it was identified that material receipts outstanding for more than 90 days ($185 K USD) through the examination of the GR/IR report extracted from the SAP system as of June 30,
2025. ​
Furthermore, it was noted that management has not established a formal monitoring control to periodically review the GR/IR report to identify, investigate, and follow up on aged items (older than 90 days).​
Aging amounts of items by year:​
2022 Amounting: $2.8 K USD​
2023 Amounting: $4.3 K USD​
2024 Amounting: $87.9 K USD​
2025 Amounting: $90 K USD​
Totaling: $185 K USD</t>
  </si>
  <si>
    <t xml:space="preserve">Local management should establish a formal monitoring control over the GR/IR report to ensure timely identification and resolution of aged items.
Define a periodic review process (e.g., monthly or quarterly) for extracting and analyzing the GR/IR report.
Assign clear accountability to Finance or Procurement for investigating on items outstanding beyond established thresholds (e.g., 90 days).
Require management review and approval of the follow-up performed, with documentation retained as evidence of oversight.
Implement escalation procedures for unresolved or high-value items to ensure corrective action in a timely manner.
</t>
  </si>
  <si>
    <t>All items identified in the monthly AP reconciliation with an aging higher than 90 days will be researching and applied to AP SAP module as correspond.
In the case of Items with an aging higher than 90 which cannot be applied to AP module, will be requested approval from Regional Controller to be reclassified to P&amp;L accounts.
In the monthly AP account reconciliation should be validated by Plant Controller that no item in the GR/R account has aging higher than 90 days.</t>
  </si>
  <si>
    <t>Plant Controller (Edgar Gutierrez)</t>
  </si>
  <si>
    <t>TEN-2116</t>
  </si>
  <si>
    <t>Inventory Reconciliation</t>
  </si>
  <si>
    <t>Kontich, Belgium 2025 (DRiV - Full Scope)</t>
  </si>
  <si>
    <t>Discrepancies in inventory between SAP and Manhattan</t>
  </si>
  <si>
    <t>Kontich uses a warehouse management system (Manhattan) which is interfaced with SAP (their accounting system). To ensure that the physical inventory matches the inventory recorded in Manhattan and SAP, the warehousing team is responsible for performing physical inventory cycle counts on a daily basis, in line with the Group's Physical Inventory Count Policy (SPI No. 0-08). A tolerable accuracy level (min. 97% of total inventory in Manhattan) is acceptable. At Kontich, these cycle counts are performed at night to avoid disrupting operations during working hours. The cycle count was reperformed on 26/06/2025 for a sample of inventory items counted during the night of 25/06/2025 - 26/06/2025, during which the following was identified:​
For 1 (Material PE-TC-1032) out of 10 inventory items tested, the physical inventory (861
units) did not match the inventory amount as per SAP (875 units), resulting in a difference of 228 EUR. While the stock count amount as per Manhattan was correct, the amount as per SAP did not reflect the same value, due to a synchronization issue. Since differences do arise between SAP and Manhattan (for eg due to delays in synchronization), a reconciliation is performed by the Inventory Manager to identify and resolve these differences. However, in her long-term absence (including 26/06/2025), the reconciliation was not performed.
​
In the meantime, the stock amount in SAP was manually adjusted to align with the
physical stock and stock amount in Manhattan.</t>
  </si>
  <si>
    <t>Designate a back-up personnel to perform the reconciliations in the absence of the Inventory ​
Manager to limit the extent of errors over extended periods of time.​
See recommendations under Observation 2 for the implementation of SOPs.</t>
  </si>
  <si>
    <t>Management has appointed a new inventory manager. A procedure will be developed to identify and resolve differences between Manhattan and SAP on a weekly basis. This procedure will be documented and stored in a central place so that in absence of the inventory manager the process can be taken over by other team members within a reasonable time frame.​</t>
  </si>
  <si>
    <t>Nick Declercq (Senior Manager DC Operations)</t>
  </si>
  <si>
    <t>TEN-2117</t>
  </si>
  <si>
    <t>Key tasks were not able to be performed due to head-count
reduction and lack of critical task analysis and SOPs</t>
  </si>
  <si>
    <t>The Kontich site has not conducted a critical task analysis to identify essential control
activities or assign backups for key roles. When recent headcount reductions
occurred, management lacked clarity on which responsibilities were critical to
ongoing operations, resulting in certain key controls not being performed.​
Due to the absence of detailed Standard Operating Procedures (SOPs), remaining
team members were unable to execute or validate complex tasks previously handled
by specific individuals. For example, management could not reperform the Excess
and Obsolete (E&amp;O) Inventory Reserve calculation after the responsible accountant’s
departure, and stock reconciliations between Manhattan and SAP were left
incomplete.​
This gap highlights a broader dependency on individual knowledge rather than
documented processes. Establishing formal SOPs and conducting a structured
critical task analysis would help ensure business continuity, cross-training, and
consistent control execution during personnel changes.</t>
  </si>
  <si>
    <t>Design detailed Standard Operating Procedures and store in central location for key controls, especially ​
for more complex ones, to enable replacement employees to perform the controls in the absence of the main control owner.​
Perform critical task analysis to understand the extent and concentration of task distribution and to identify key points of failure</t>
  </si>
  <si>
    <t>The location does not have sufficient finance resources to have backups for any of the critical activities – and the transition of any workload,  even with a SOP will take weeks (IA asked next day after staff member left).  We will prepare Standard Operating Procedure documents which will be stored in a central location for key controls. These SOP will include steps for required review and analysis, for which experience is needed to be able to perform the review</t>
  </si>
  <si>
    <t>Mike Haward, Finance Director​</t>
  </si>
  <si>
    <t>TEN-2118</t>
  </si>
  <si>
    <t>Lack of monitoring of services provided by Shared Service Center in Bucharest and a lack of monitoring of the services provided by a third-party service provider</t>
  </si>
  <si>
    <t>Kontich outsources several activities to SSC Bucharest related to AR, AP, Treasury, Fixed Assets and G/L, relying on the SSC’s internal oversight procedures to maintain accurate financial records. ​
SSC Bucharest utilities a third-party service provider, reporting to the SSC Bucharest team, to assist with AP activities (ex. invoice validation and processing). Both SSC and the local Kontich Finance team reported recurring issues with accuracy, including incorrect invoice amounts and vendor numbers. ​
The extent of these errors cannot be quantified, as there is no structured or periodic assessment of the third-party’s compliance with the SLA. This gap limits visibility into error frequency, root causes, and overall performance. ​
SSC escalated the issues to the provider, resulting in refresher training and enhanced managerial review beginning June 2025 but has seen little improvement.</t>
  </si>
  <si>
    <t>Implement a formal, periodic service level agreement (‘SLA’) performance reviews with defined KPIs and error impact assessment.​
Maintain an error log at SSC Bucharest and report monthly to track trends and improvements.​
Implement a clear escalation process for significant or recurring non-performance.</t>
  </si>
  <si>
    <t>Define/Redefine SLA &amp; KPI Framework for the outsourcing provider for Kontich location specifically  (accuracy %, timeliness %,  escalation closure time) for AP process – 31 Dec 25​
Implement Monthly Governance meeting - formal performance dashboard covering KPIs, trends, and issue log – 31 Dec 25​
Create  Error Log in Genpact covering AP capturing error type, root cause, responsible party, impact, and corrective action 31 Jan 26​
Implement Corrective Training &amp; Root Cause Reviews – targeted refreshers based on top 3 recurring errors 31 Jan 26</t>
  </si>
  <si>
    <t>Sayantan Bose (GP Driv Ops Leader) + Genpact AP Manager DRiV  Global Process Leader+ Head of Global Services</t>
  </si>
  <si>
    <t>TEN-2123</t>
  </si>
  <si>
    <t>Smithville (PS) - ICFR 2025</t>
  </si>
  <si>
    <t>Shrinkage Reserve not calculated/ Delay in review &amp; approval of the inventory reserves by the regional controller</t>
  </si>
  <si>
    <t>We reviewed the evidence for Inventory Reserve analysis for March and May 25, and noted that Shrinkage reserve is not calculated at the location which a policy requirement.
Additionally, the Journal entry for the inventory reserves is posted on 04/01/2025 and 06/02/2025 for the month of Mar 2025 and May 2025 respectively. However, reserves are reviewed and approved by the regional controller on 04/09/2025 and 07/15/2025. Hence, delay noted in the review/approvals and manual journal entries are posted into the system prior to the documented approval from the regional controller.
Risk: Risk of inadequate inventory value in statements and unauthorized/incorrect adjustments posting in system.</t>
  </si>
  <si>
    <t>Shrinkage reserve to be calculated and booked or exceptions shall be documented and approved as per policy requirements.
Inventory reserves should be reviewed/approved in a timely manner.</t>
  </si>
  <si>
    <t>Shrinkage reserve to be evaluated and booked per policy.  
Journal entries will be sent for approval before posting.</t>
  </si>
  <si>
    <t>Christi Pereira (Plant Controller)</t>
  </si>
  <si>
    <t>11/12/2025</t>
  </si>
  <si>
    <t>TEN-2124</t>
  </si>
  <si>
    <t>Delay in review and approval of payroll reconciliations by the controller</t>
  </si>
  <si>
    <t>We reviewed the weekly Payroll Reconciliations on sample basis and noted that for all the 5 sample weeks reconciliation is reviewed and approved by the controller with a delay. Also, the approval is just made by putting the name and date in excel and no other formal evidence of review is found. 
Risk of unauthorized/incorrect adjustments postings</t>
  </si>
  <si>
    <t xml:space="preserve">Payroll reconciliation should be reviewed and approved in a timely manner and the approvals shall be documented as evidence. </t>
  </si>
  <si>
    <t>Reconciliations will be sent through Teams approval for each month to be reviewed and approved before month-end.</t>
  </si>
  <si>
    <t>TEN-2125</t>
  </si>
  <si>
    <t>Production and inventory</t>
  </si>
  <si>
    <t>Inadequate Supporting documentation and delay in review/approval</t>
  </si>
  <si>
    <t>We reviewed the 10 samples selected for accounts reconciliations from the month of Mar 25 and May 25, below exceptions were noted:
•	Vouchered/ Unvouchered Accounts Payable: There is no process of detailed aging analysis and maintaining review remarks for the aged payable items. Also, substantial delay noted in reviewing/approving the reconciliation.
•	Accounts Receivable Contract: The calculation for the amount posted as material recovery is not attached with the reconciliation of March 2025.
•	Gross Plant, Property &amp; Equipment: Difference to GL as per the supporting documentation is not tying to the amount shown as a reconciling item due to PA Assets revaluation entry posted in the month of Feb 24. Also, this reconciling item was not resolved and an action plan to resolve this was not developed yet.
•	Accruals: Proper supporting documentation is not included in the reconciliation file for accruals and reconciling items. Also, substantial delay noted in reviewing/approving the reconciliation for March 2025.
•	Customer Reimbursed Tooling: Substantial delay noted in reviewing/approving the reconciliation for May 2025.
•	Prepaid Expense: Amount booked as prepaid expense is actually a reward credited into the location's account under a scheme. The amount booked as prepaid expense is actually in the nature of accrued income. Also, substantial delay noted in reviewing/approving the reconciliation for March 2025.
Also, the approval is just made by putting the name and date in excel for all the reconciliations and no other formal evidence of review is found.
Risk: Adjustments posted after closing the general ledger are not authorized</t>
  </si>
  <si>
    <t>Reconciliations should be reviewed timely and proper supporting documentation to be maintained as per policy requirements.
Reconciling items shall be researched and resolved in a timely manner.
Prepaid expense shall be reclassified as accrued income after analyzing the nature of transaction.</t>
  </si>
  <si>
    <t>PPE reconciliation has been discussed with Holly York and we are developing a plan to resolve this in the SAP subledger.  
Reconciliations will be reviewed timely per policy requirements.  Teams approval process will be used to document these approvals.
Prepaid expense will be reviewed and resolved by the 9/30 due date.</t>
  </si>
  <si>
    <t>TEN-2126</t>
  </si>
  <si>
    <t>New Delhi (Powertrain) - ICFR 2025</t>
  </si>
  <si>
    <t>Documentation supporting calculations and reasons for long outstanding items in reconciliations were not properly explained</t>
  </si>
  <si>
    <t>We reviewed the reconciliations for March and May 2025 and following were noted:
Accounts Payable/Receivable: Detailed aging analysis and review remarks for the aged payable/receivable items is not included with the reconciliation. It was informed that aged items are reviewed and discussed separately in the calls up to the level of CFO however, there is no process of documenting the comments with the reconciliation file.
Fixed Assets:  There are unexplained variances in category-wise asset balances. The balance as per SAP GL and Onestream ledger agrees at a total level. It was informed that reconciliation is prepared only on gross basis and category wise balances are unreconciled. Below are the category wise variances:
Risk: Risk of reporting incorrect account balances in financials</t>
  </si>
  <si>
    <t>The reasons and action plan to resolve long outstanding items should be included in the reconciliation
Category-wise asset balances should be reconciled, and difference should be explained with the reconciliation.</t>
  </si>
  <si>
    <t>All account reconciliations will be modified to ensure that all contain a clear description of the components of the balance as well as the date the item was included in the reconciliation.
For all A/R and A/P reconciliations that contain an aging by customer/vendor – comments will be added to any significant, unusual, aged items.
Inventory and Fixed Asset subledgers will include an acknowledgement statement that the detail trial balance has been reviewed for any unusual or significant part numbers/fixed assets.
The Attributes of a Quality Reconciliation provided by the Regional Segment Controller will be shared with all preparers and approvers of account reconciliations.
Fixed Asset subledger will be reconciled to OS by Fixed Asset category and any differences will be explained and an action plan will be included in the reconciliation.</t>
  </si>
  <si>
    <t>Shreya Malhan (DGM Treasury)</t>
  </si>
  <si>
    <t>TEN-2127</t>
  </si>
  <si>
    <t>Coventry (Powertrain) - ICFR 2025</t>
  </si>
  <si>
    <t>Lack of evidence to ensure if the quantity is verified at the time of receiving</t>
  </si>
  <si>
    <t>We reviewed the evidence of Inventory Receiving for the 15 samples and noted that currently there is no process of stamping, signing and dating the invoice as per counting performed at receiving. It was informed that finance team has instructed the receiving team to stamp the invoices basis counting, but the process is not followed by the team due to manpower constraint. 
Risk: Inventory quantities recorded in the inventory system do not agree to physical quantities received</t>
  </si>
  <si>
    <t>Evidence should be maintained to ensure that material was counted at the time of receiving.</t>
  </si>
  <si>
    <t xml:space="preserve">We are planning to hire an individual for this process to ensure the quantity is verified at the time of receiving. </t>
  </si>
  <si>
    <t>Iain Cameron (Plant Controller)</t>
  </si>
  <si>
    <t>TEN-2128</t>
  </si>
  <si>
    <t>Depreciation, subsequent measurement and impairment</t>
  </si>
  <si>
    <t>Inadequate review and documentation for CIP Review</t>
  </si>
  <si>
    <t>We reviewed the CIP review evidence for 1st and 2nd quarter of 2025, it is noted that currently there is no process of taking the sign-off from the engineering team and plant manager on CIP review sheet. The review documents are only signed by Plant Controller. As such it was not evident if the fixed assets project owners were also included in the CIP discussion and reviews.
Risk: Construction in progress is not reflected as placed in service in a timely manner</t>
  </si>
  <si>
    <t xml:space="preserve">CIP review documents should be reviewed and signed by all the departments involved during the review meetings. </t>
  </si>
  <si>
    <t xml:space="preserve">Sign-off will be taken from the departments head included during the CIP review at the quarter ends. </t>
  </si>
  <si>
    <t>TEN-2129</t>
  </si>
  <si>
    <t>Inadequate Supporting documentation and review/approval</t>
  </si>
  <si>
    <t>We reviewed 10 Accounts reconciliations for March and May 25, below exceptions were noted:
•	There is no process of maintaining review remarks for the aged payable/receivable items. 
•	Reconciliations for the month of March 2025 were not reviewed and approved by the Plant finance controller.
•	A difference of GBP 90 is noted for the prepaid insurance calculation. Below are the details:
Property Damage as per invoice: GBP 93,530
Property Damage as per Books: GBP 93,440
Risk: Adjustments posted after closing the general ledger are not authorized</t>
  </si>
  <si>
    <t xml:space="preserve">Aging analysis and review comments to be included along with AP/AR reconciliation.
Also, reconciliations shall be reviewed timely and proper supporting documentation to be maintained as per policy requirements.
 </t>
  </si>
  <si>
    <t>Aging analysis and comments will be included and attached with monthly AP/AR reconciliations.
Reconciliations will be reviewed timely per policy requirements.  
Manual entry to be made in current year to correct the difference of GBP 90 in Prepaid insurance.</t>
  </si>
  <si>
    <t>TEN-2130</t>
  </si>
  <si>
    <t>Tepotzotlan - Sealing Systems</t>
  </si>
  <si>
    <t>Tepotzotlan - Sealing Systems (Powertrain) - ICFR 2025</t>
  </si>
  <si>
    <t>Group policy not followed for cycle count</t>
  </si>
  <si>
    <t>We reviewed the cycle count process for 2025 below exceptions were noted:
•	Cycle counts are considered as additional control to keep the inventory on hand reasonable and these are taken according with the necessity of the operation every day, parts selected to be count coming from the discrepancies in the posting of production every day (MUV or COGI). As such the group policy is not followed for the cycle count planning and implementation. It was informed that Plant relies on the annual wall to wall count results for placing reliance on the inventory.
•	There are no written documented procedures for the cycle count as required by the policy.
•	There is no documented evidence to show that a second count is conducted for inventory with variances for cycle count. It was informed that second count is conducted physically but only the final quantity is kept as evidence.
Risk: Risk of incorrect inventory value in statements.</t>
  </si>
  <si>
    <t>Group policy should be followed for planning the cycle counts.
Cycle count procedures should be written and documented as per policy requirement.
Evidence to be maintained to ensure that a second count is conducted for inventory with variances.</t>
  </si>
  <si>
    <t>Now we are working on improve the cycle counts according with the policy of the company and developing and tool where we will implement the ABC method for 2026. 
Cycle count procedures will be written and documented as per policy requirement.
Evidence will be maintained to show that a second count is conducted for inventory with variances.</t>
  </si>
  <si>
    <t>Marisa Ambruso (Plant Controller)</t>
  </si>
  <si>
    <t>TEN-2131</t>
  </si>
  <si>
    <t>Samples not selected and investigated at the time of periodic review of Price Master changes</t>
  </si>
  <si>
    <t>As per global policy for Master filing controls, sample selection should be 10% of all changes made with a maximum of 20 selections and details of sample items including the supports shall be evidenced. However, while reviewing the evidence for periodic price master review for the sample months of March and May 2025, it is noted that there is no documented evidence that samples were selected during the review to investigate and trace back to source documentation. 
Additionally, during the transactional testing for 15 samples, it is noted that the price effective date entered in the system varies from the price effective date as per customer purchase order. On further discussion, it is informed that customer PO is received later, and system doesn’t take the back dates as price effective date hence only current date is entered as the price effective date. For the selected samples RCO additionally verified the invoicing between the price effective date as per the customer PO and price effective date as per location’s ERP system. Wherever there is an invoicing in between this period remittances from the customers are verified to ensure that the payment is received as per correct pricing only. However, there is a potential risk of incorrect remittances from the customers due to variations in price effective dates as per location’s ERP system.
Risk: Unauthorized and incorrect changes in price master data</t>
  </si>
  <si>
    <t>Samples shall be selected for periodic review of price master changes as per policy requirements.
At the time of new price update in the system, it is to be ensured that the payment for invoices in between the price effective date as per customer purchase order and location’s ERP are received as per the correct pricing.</t>
  </si>
  <si>
    <t>Going forward samples will be selected for periodic review of price master changes as per policy requirements.
We will explore the possibility of automation in the ERP system to allow the back dates as price effective dates in ERP and in the meantime, it will be ensured that the payment for invoices in between the price effective date as per customer purchase order and location’s ERP are received as per the correct pricing.</t>
  </si>
  <si>
    <t>TEN-2132</t>
  </si>
  <si>
    <t>Adjustments &amp; Period-end Close for Treasury-Cash &amp; Investments</t>
  </si>
  <si>
    <t>Inadequate Supporting documentation for reconciliations</t>
  </si>
  <si>
    <t>We reviewed 10 accounts reconciliations for March and Jun 25, below exceptions were noted:
•	Accounts Payable – Trade: There is no process of detailed aging analysis and maintaining review remarks for the aged payable items. Currently the ERP system automatically generates the aging summary, but the summary is not further analyzed for vendor wise aged items.
•	Accounts Receivable: The aging analysis for Accounts receivable is performed by Shared Services team which is received at a later stage after completing the reconciliations. At present, there is no process to attach the review remarks for the aged items along with the reconciliation. 
•	Long Term Operating lease liability: Amount as per Onestream for account 4200.500 (LT Operating lease liability) is not tying with the balance provided in supporting documentation. It was informed that the preparer didn't refresh the sheet to update the onestream balance for the month of June 2025. Hence the supporting sheet shows a difference. The correct balance was confirmed by refreshing the sheet which was tying to the balance as per visual lease. However, the incorrect sheet was printed and attached with the June month’s reconciliation.
Risk: Adjustments posted after closing the general ledger are not authorized</t>
  </si>
  <si>
    <t xml:space="preserve">Proper supporting documentation to be maintained as per policy requirements. 
</t>
  </si>
  <si>
    <t>Detailed aging analysis and comments for the aged items will be maintained along with the AP/AR monthly reconciliations.
Supporting documents attached with the reconciliations will be thoroughly reviewed before signing.</t>
  </si>
  <si>
    <t>TEN-2133</t>
  </si>
  <si>
    <t>Litchfield</t>
  </si>
  <si>
    <t>Production and costing</t>
  </si>
  <si>
    <t>PINV-19</t>
  </si>
  <si>
    <t>Litchfield (Clean Air) - (ICFR - 2025)</t>
  </si>
  <si>
    <t>Inventory variances for May 2025 were not accurately reviewed, resulting in a journal entry posted in SAP that did not reconcile to the required adjustment amount.
The variance amount that was omitted for the month of May'25 is (404.38) USD.</t>
  </si>
  <si>
    <t>Per inspection, we noted that the inventory variances for May 2025 were not appropriately reviewed. Specifically, the amounts reflected in the reviewed PDF version did not reconcile with the SAP screenshots, as certain line items from the variance report were omitted by the preparer when preparing the journal entry. The reviewer performed their review based on this incomplete report. Consequently, the journal entry posted into SAP does not align with the total adjustment/variance amount that should have been recorded.</t>
  </si>
  <si>
    <t>1.	Ensure that the preparer includes all variance report line items in the journal entry preparation.
2.	Reviewers should perform an independent tie-out between the variance report, the supporting SAP screenshots, and the journal entry to confirm completeness and accuracy before approval.</t>
  </si>
  <si>
    <t>Moving forward a print screen of the SAP total will be included in the journal entry proving that all lines were included. Review will ensure the tie-out is correct to SAP before approving from October Month End Closing.</t>
  </si>
  <si>
    <t>Jose Alcocer, Plant Controller</t>
  </si>
  <si>
    <t>TEN-2134</t>
  </si>
  <si>
    <t>Patiala (Powertrain) - (ICFR - 2025)</t>
  </si>
  <si>
    <t>Payroll reconciliations were not performed due to the payroll register being under development.</t>
  </si>
  <si>
    <t>Per inquiry, we noted that payroll reconciliations were not performed for the period January 2025 through May 2025, as the payroll register was under development by the IT team during that time. Consequently, reconciliations were performed for June 2025 and July 2025 using the Wage Type report as the basis instead of the payroll register. As a result, exceptions were noted.</t>
  </si>
  <si>
    <t>1. Perform payroll reconciliations for all reporting periods once the payroll register is available, including a retrospective reconciliation for the missed months (January–May 2025). 
2. When the payroll registers or system reports are unavailable (e.g., during IT development or maintenance), implement an approved alternate reconciliation method—such as validated wage type or summary payroll reports—with documented management approval ensuring the control continues to operate effectively even during system transitions. 
3. Improve communication between Payroll, Accounting, and IT teams to ensure that any system development or downtime is planned around control performance schedules.</t>
  </si>
  <si>
    <t>1. Payroll Register testing has been completed and observations have been shared to IT team for necessary changes in salary register. Expected date of completion is 30 October 2025. 
2. Payroll Reconciliation performed with wage type report (Generated by SAP) as an alternate method till payroll register development under implementation by IT team.</t>
  </si>
  <si>
    <t>Sameer Chandel, HR Manager</t>
  </si>
  <si>
    <t>TEN-2135</t>
  </si>
  <si>
    <t>Puebla II (FINSA)</t>
  </si>
  <si>
    <t>Puebla II (FINSA) (CleanAir) - (ICFR - 2025)</t>
  </si>
  <si>
    <t xml:space="preserve">Review of the capital project status has not been documented appropriately. </t>
  </si>
  <si>
    <t xml:space="preserve">Per inquiry with management, every month the Finance team meets with the Engineering team to discuss the status of each CWIP project, specifically focusing on projects aged more than 12 months. However, the review is done verbally as both the teams (Finance and Engineering) sit in the same location, and no documentation is retained mentioning the current status and estimated completion date within the CIP review template. Hence, for the selected samples of January and July 2025, we were not able to verify whether a proper review of the capital project status was performed. 
The CWIP balances for the sampled months are as follows:
January 2025:
PLT-166 - 3,322,761.01 USD
PLT-066 - 459,306.13 USD
July 2025:
PLT-166 - 4,294,226.74 USD
PLT-066 - 721,772.60 USD
</t>
  </si>
  <si>
    <t>We recommend that the Finance and Engineering teams start documenting the results of their review of the capital project status in the CWIP template. The estimated completion date and explanations for projects aged &gt;12 months should be documented within the ‘Comments’ column within the template.</t>
  </si>
  <si>
    <t xml:space="preserve">One time activity:
-	To review CWIP projects more than 12 months &amp; ensure the capitalization.
Monthly activity:
-	Monthly meeting with launch area to review the projects status/progress.
-	Confirmation by email from launch manager to confirm the expenses to be capitalized. (Excel format, CWIP vs Lauch confirmation).
-	Ensure the proper capitalization in the correct period.
-	CWIP expenses are directly related with a PO (previously authorized)
-	Ensure PO´s are booked in the correct project (internal order)
</t>
  </si>
  <si>
    <t>Jose Agustin Peregrina, Plant Finance Leader</t>
  </si>
  <si>
    <t>TEN-2136</t>
  </si>
  <si>
    <t>Bangalore Rings (Powertrain) - (ICFR - 2025)</t>
  </si>
  <si>
    <t>Proper subledger support is not maintained for the payroll reconciliation.</t>
  </si>
  <si>
    <t xml:space="preserve">During an inquiry held on September 10, 2025, with GS Manjunath (Finance Manager), we noted that the payroll reconciliation performed by Finance is inherently constrained by the information available in SAP. Detailed, employee-level payroll data is maintained by HR and is not accessible in SAP for Finance. The support provided by HR consists of a manually created summary with limited details and is not a system-generated register. Manjunath further explained that there is no current process to extract a payroll register from SAP, either for payment processing or for use in payroll reconciliation. In light of these constraints, the control was assessed as Not Effective in the 2025 Self-Testing.
We also noted that the control is not operating effectively in practice because no proper subledger-level support is retained to substantiate the reconciliation to detailed transactions. In addition, the manual support received from HR is not consolidated into a single reconciliation workbook.
</t>
  </si>
  <si>
    <t>We recommend that the Finance and HR teams work with the IT team to create a payroll register that will show the summarized amounts of employee count, salary, PF, tax, deductions, etc., which can be used as support for payment processing as well as the payroll reconciliation.</t>
  </si>
  <si>
    <t>HR will check with IT Team for the possible generation of the report which will match with employee wise data and summary.  Ticket will be raised by HR on this.</t>
  </si>
  <si>
    <t>Prakash Shivanna (Head HR)</t>
  </si>
  <si>
    <t>TEN-2137</t>
  </si>
  <si>
    <t>Periodic review of the manual journal entry listing was not documented appropriately.</t>
  </si>
  <si>
    <t xml:space="preserve">Per inquiry with GS Manjunath, Finance Manager, we noted that at month-end, the Finance team reviews the manual journal entries posted in detail. The listing is shared with all the members who have access to post entries, and they review the respective entries posted by them and sign off on the list. The list is finally sent to Shalini K, Plant Controller, who reviews the entries for reasonableness based on materiality and signs off on the list, indicating review and approval. However, we noted that the reviewers had not specified the review date within the listing. No additional evidence (e.g., email) was retained to evidence the completion of the review. Hence, we were not able to verify whether the review of the manual journal entry listing was completed timely.
Additionally, for one sampled entry, we noted that the approval was provided during a Teams meeting. As this took place during the transition period of the GST being assigned to the location, no separate email confirmation was issued. The review and approval were both given in that meeting. The journal entry was for the amount of Rs. 61,052,926.00.
</t>
  </si>
  <si>
    <t>1.	Ensure that reviewers consistently document the date of their review on the journal entry listing or maintain email communication stating completion of review, to evidence both the performance and timeliness of the control.
2.	We recommend that the management maintain proper support and formal signoffs evidencing approval for each and every manual journal entry.</t>
  </si>
  <si>
    <t>Going forward the dates will be mentioned in the JV Listing which will be taken on a monthly basis.
For the GST related entries since the people are working outside the plant and is being outsourced entry approval will be taken on mail basis.</t>
  </si>
  <si>
    <t>Shalini K (Plant Controller)</t>
  </si>
  <si>
    <t>TEN-2139</t>
  </si>
  <si>
    <t>Cambridge (Champion) - (ICFR - 2025)</t>
  </si>
  <si>
    <t>Absence of proper documentation for the 2024 physical inventory and lack of a formal cycle-count program at the Cambridge facility, resulting in non-compliance with inventory control requirements.</t>
  </si>
  <si>
    <t>During testing, we noted that the Cambridge facility conducted its most recent annual physical inventory on November 16, 2024. However, due to multiple leadership transitions and inadequate documentation retention practices, supporting workpapers for the 2024 count (including count sheets, reconciliations, and adjustment approvals) were not available for review. Consequently, exceptions were noted. Management acknowledged that the 2024 physical inventory process was not properly controlled or documented and has committed to strengthening procedures and accountability for the 2025 inventory cycle. 
In addition, we observed that the Cambridge facility has not implemented a formal cycle-count program as required under Tenneco’s inventory policy. Instead, inventory counts have historically been performed on an ad-hoc basis without formal tracking or approval. This represents a policy non-compliance. Management confirmed the deficiency and has committed to establishing a structured, system-based cycle-count process within Plex as part of the remediation plan for FY 2025.</t>
  </si>
  <si>
    <t>1. Ensure all supporting documentation related to physical inventory counts (e.g., count sheets, reconciliations, and adjustment approvals) is properly maintained and retained in accordance with company policy to provide a clear audit trail.
2. Establish and enforce a structured, system-based cycle-count process within Plex, aligned with Tenneco’s inventory policy, to ensure ongoing verification of inventory accuracy throughout the year.
3. Conduct training sessions for plant and warehouse personnel on inventory count procedures, documentation standards, and compliance requirements to ensure consistency across future inventory cycles.</t>
  </si>
  <si>
    <t>Standard procedures are being developed ahead of 2025 Physical Inventory. In addition, group training sessions are taking place to ensure personnel have the appropriate tools to perform an accurate physical in 2025. Proper work papers will be retained for the 2025 Physical Inventory that is scheduled for 11/1/2025. These will include a pre-count list of inventories, a post count list of inventory, a clear documentation of the PI adjustment by part number that ties back to a SCAR report, and a balance sheet pre and post physical.
For ongoing inventory control, the Cambridge facility will be reviewing corporate policy and implementing a cycle count process to ensure we are monitoring our inventory on an ongoing basis. These counts will be booked in the Plex system using the formal cycle count module like the physical inventory process. We plan on retaining a yearly physical regardless of cycle count program.</t>
  </si>
  <si>
    <t>Sadie Yontz, Plant Controller</t>
  </si>
  <si>
    <t>TEN-2140</t>
  </si>
  <si>
    <t>Herdorf</t>
  </si>
  <si>
    <t>Herdorf (Powertrain) - (ICFR - 2025)</t>
  </si>
  <si>
    <t>No evidence of receiving stamps or sign off on the delivery note</t>
  </si>
  <si>
    <t>We noted that the quantity recorded in the SAP system agrees to the quantity received. However, we noted that the delivery note did not contain a stamp or sign-off from the personnel responsible. Per inquiry with the control owner, Boris Biehl (Plant Controller), we confirmed that the logistics team had forgotten to put the required stamp and sign-off.</t>
  </si>
  <si>
    <t>Management should ensure there is a stamp receiving prior to recording in SAP.</t>
  </si>
  <si>
    <t>Setting 4-eyes principle by separating the scanning process of delivery notes. Instead of forklift drivers, the shipping office will perform the scanning and checking that delivery notes got all required stamps during the booking process to assure proper booking</t>
  </si>
  <si>
    <t>Pauline Wisser, Warehouse Team Leader</t>
  </si>
  <si>
    <t>TEN-2141</t>
  </si>
  <si>
    <t>Arendal</t>
  </si>
  <si>
    <t>Europe (Clean Air)</t>
  </si>
  <si>
    <t>Arendal (Clean Air) - (ICFR - 2025)</t>
  </si>
  <si>
    <t>Lack of documented explanations for accounts payable balances outstanding over 90 days in the aging analyses, resulting in exceptions noted.</t>
  </si>
  <si>
    <t xml:space="preserve">Per inspection, we noted that the aging analyses for March 2025 and July 2025, as documented in the files “AP Subledger 2025 03 – Full Trial Balance” and “AP Subledger 2025 07 – Full Trial Balance” (tabs “Aging” and “Aging CY”), did not include any documented comments or explanations for accounts payable balances outstanding for more than 90 days. The absence of such documentation limits visibility into the status and resolution of long-outstanding items. Accordingly, exceptions were noted. </t>
  </si>
  <si>
    <t>1. Require the plant or accounts payable (AP) team to provide detailed explanations and status updates for all balances outstanding over 90 days as part of each monthly or quarterly aging analysis.
2. Implement a formal review and approval process by plant management or the finance controller to ensure that aging reports and related comments are reviewed, validated, and retained for audit purposes.</t>
  </si>
  <si>
    <t>From October recons to be prepared</t>
  </si>
  <si>
    <t xml:space="preserve">Joaquin Valencia as Plant Finance Leader </t>
  </si>
  <si>
    <t>TEN-2142</t>
  </si>
  <si>
    <t>Carpi</t>
  </si>
  <si>
    <t>EMEA (Champion Ignition)</t>
  </si>
  <si>
    <t>Carpi (Champion) - (ICFR - 2025)</t>
  </si>
  <si>
    <t xml:space="preserve">No monthly review performed for the manual journal entries posted. </t>
  </si>
  <si>
    <t>We noted that the plant does not extract a listing of all manual journal entries posted during the month for review to validate completeness and accuracy. Further, we noted that such listings were not generated because the plant is relatively 
small and the ERP system in use is outdated. As a result, the 
Plant Controller did not perform a review of the manual journal 
entries posted during the month.</t>
  </si>
  <si>
    <t xml:space="preserve">Management should ensure the manual 
journal entries listing is reviewed monthly. </t>
  </si>
  <si>
    <t>As discussed we work with the ERP external consultant for having the complete listing of entries of the month so we can print it / review and sign for approval.</t>
  </si>
  <si>
    <t>Claudia Sgarbi, Plant Controller</t>
  </si>
  <si>
    <t>TEN-2144</t>
  </si>
  <si>
    <t>Port Elizabeth ( PT)</t>
  </si>
  <si>
    <t xml:space="preserve">Port Elizabeth (PT) (Powertrain) - (ICFR - 2025) </t>
  </si>
  <si>
    <t>Periodic review of pricing master not performed as per the existing Standard Practice Instructions (SPI Number 0-10)</t>
  </si>
  <si>
    <t>Per confirmation from Rashaad Sandan, Plant Controller on 10/23/2025, we noted during the period review of price master, Plant Controller only provided a sign-off on the Pricing Master File for a particular month after the month end. The process of selecting and reviewing samples (10% or 20 whichever is lower- as per the Standard Practice Instructions 0-10) prior to providing sign-off was not followed.</t>
  </si>
  <si>
    <t>Management should ensure the periodic review of the Pricing Master is performed in accordance with SPI 0-10 requirements. Specifically: 
The Plant Controller (or designated reviewer) must select and review 10% of total entries or 20 samples, whichever is lower, from the Pricing Master each month. 
The review should be completed prior to month-end sign-off, not retrospectively. 
Evidence of review (e.g., checklist, sampling log, comments on changes) should be documented and retained for audit purposes.</t>
  </si>
  <si>
    <t>Rashaad Sandan, Plant Controller</t>
  </si>
  <si>
    <t>TEN-2148</t>
  </si>
  <si>
    <t>Ayutthaya</t>
  </si>
  <si>
    <t>(Ayutthaya) (Performance Solutions) - Management Self Testing Report 2025</t>
  </si>
  <si>
    <t>Self-testing documentation required improvement.</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</si>
  <si>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1 control 
2. Sample details not updated per requirement for 2 controls 
3. LCD does not align with the sample tested/testing attributes for 1 control 
4. Frequency/ Type of control not aligned with the sample tested for 4 controls 
Risk: Incomplete details of self-testing in Wdesk increases risk of non-compliance of applicable controls. </t>
  </si>
  <si>
    <t xml:space="preserve">Self-testing should be completed within due date adhering to the guidelines and instructions communicated to all locations. </t>
  </si>
  <si>
    <t xml:space="preserve">Incomplete information to be completed by location in Wdesk by December 31, 2025. 
Regional BU Controllers should review the information and confirm the completeness.  
Self-testing for 2026 will be completed as per corporate directed timelines.  </t>
  </si>
  <si>
    <t xml:space="preserve">Nattaya Pengko (Plant Controller) &amp; Ian Burns (Segment Controller) </t>
  </si>
  <si>
    <t>TEN-2149</t>
  </si>
  <si>
    <t>Orléans</t>
  </si>
  <si>
    <t>(Orleans)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</si>
  <si>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4 controls 
2. Testing results are not updated correctly for 3 controls 
3. Sample details not updated per requirement for 18 controls 
4. Controls marked as not required but additional details/segment controller not provided for 11 controls. 
5. Frequency/ Type of control not aligned with the sample tested for 7 controls. 
Risk: Incomplete details of self-testing in Wdesk increases risk of non-compliance of applicable controls. </t>
  </si>
  <si>
    <t>Anne-lise Vallengelier- Plant Controller &amp; 
Lidia Bellone- Regional/Segment Controller</t>
  </si>
  <si>
    <t>TEN-2150</t>
  </si>
  <si>
    <t>(Santo Andre)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</si>
  <si>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1 control 
2. Sample details not updated per requirement for 52 controls 
3. Frequency/ Type of control not aligned with the sample tested for 15 controls.
Risk: Incomplete details of self-testing in Wdesk increases risk of non-compliance of applicable controls. </t>
  </si>
  <si>
    <t>Fernando Bizerra- Plant Controller &amp; Brian Moon - Regional/Segment Controller</t>
  </si>
  <si>
    <t>TEN-2151</t>
  </si>
  <si>
    <t>Chennai (Clean Air)</t>
  </si>
  <si>
    <t>(Chennai - Oragadam)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</si>
  <si>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Controls marked as not required but additional details/segment controller not provided for 3 controls. 
3. Frequency/ Type of control not aligned with the sample tested for 14 controls. 
Risk: Incomplete details of self-testing in Wdesk increases risk of non-compliance of applicable controls. </t>
  </si>
  <si>
    <t>P M Chennakeshva- Plant Controller &amp; 
Victoria Pagnucci-  Regional/Segment Controller</t>
  </si>
  <si>
    <t>TEN-2152</t>
  </si>
  <si>
    <t>(Elkhart)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</si>
  <si>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2 controls 
2. Sample details not updated per requirement for 2 controls 
3. Controls marked as not required but additional details/segment controller not provided for 1 control. 
4. Frequency/ Type of control not aligned with the sample tested for 5 controls. 
Risk: Incomplete details of self-testing in Wdesk increases risk of non-compliance of applicable controls. </t>
  </si>
  <si>
    <t>Janet Anthony-  Plant Controller &amp; Brian Moon - Regional/Segment Controller</t>
  </si>
  <si>
    <t>TEN-2153</t>
  </si>
  <si>
    <t>(Puebla II (FINSA))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</si>
  <si>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3 controls. 
2. Frequency/ Type of control not aligned with the sample tested for 15 controls. 
Risk: Incomplete details of self-testing in Wdesk increases risk of non-compliance of applicable controls. </t>
  </si>
  <si>
    <t>Jose Agustin Peregrina – Plant Controller &amp; Brian Moon – Regional/Segment Controller</t>
  </si>
  <si>
    <t>TEN-2154</t>
  </si>
  <si>
    <t>Puebla - Pistons</t>
  </si>
  <si>
    <t>(Puebla - Pistons)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</si>
  <si>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9 controls 
2. Sample details not updated per requirement for 54 controls 
3. LCD does not align with the sample tested/testing attributes for 1 control 
4. Frequency/ Type of control not aligned with the sample tested for 30 controls. 
Risk: Incomplete details of self-testing in Wdesk increases risk of non-compliance of applicable controls. </t>
  </si>
  <si>
    <t>Eduardo Mejia – Plant Controller &amp; Brian Moon – Regional/Segment Controller</t>
  </si>
  <si>
    <t>TEN-2155</t>
  </si>
  <si>
    <t>Badalona</t>
  </si>
  <si>
    <t>(Badalona)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</si>
  <si>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Mandatory fields not populated for 18 controls 
1. Testing results are not updated correctly for 3 controls 
2. Sample details not updated per requirement for 34 controls 
3. LCD does not align with the sample tested/testing attributes for 5 controls 
4. Controls marked as not required but additional details/segment controller not provided for 1 control 
5. Frequency/ Type of control not aligned with the sample tested for 4 controls 
Risk: Incomplete details of self-testing in Wdesk increases risk of non-compliance of applicable controls. </t>
  </si>
  <si>
    <t xml:space="preserve">Agusti Planas (Plant Controller) &amp; Christian Boucher (Regional Controller) </t>
  </si>
  <si>
    <t>TEN-2156</t>
  </si>
  <si>
    <t>Beckedorf</t>
  </si>
  <si>
    <t>(Beckedorf)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</si>
  <si>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9 controls 
2. Sample details not updated per requirement for 15 controls 
3. LCD does not align with the sample tested/testing attributes for 1 control. 
4. Controls marked as not required but additional details/segment controller not provided for 3 controls. 
5. Frequency/ Type of control not aligned with the sample tested for 16 controls. 
Risk: Incomplete details of self-testing in Wdesk increases risk of non-compliance of applicable controls. </t>
  </si>
  <si>
    <t>Markus Ketterer – Plant Controller &amp; Lidia Bellone – Regional/Segment Controller</t>
  </si>
  <si>
    <t>TEN-2157</t>
  </si>
  <si>
    <t>(Bhiwadi (FMG))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</si>
  <si>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1 control 
2. Frequency/ Type of control not aligned with the sample tested for 13 controls. 
Risk: Incomplete details of self-testing in Wdesk increases risk of non-compliance of applicable controls. 
</t>
  </si>
  <si>
    <t>Hitesh Bhutani – Plant Controller &amp; Victoria Pagnucci – Regional/Segment Controller</t>
  </si>
  <si>
    <t>TEN-2158</t>
  </si>
  <si>
    <t>(Dacice)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</si>
  <si>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7 controls 
2. Testing results are not updated correctly for 5 controls 
3. Sample details not updated per requirement for 8 controls 
4. Controls marked as not required but additional details/segment controller not provided for 1 control. 
5. Frequency/ Type of control not aligned with the sample tested for 12 controls. 
Risk: Incomplete details of self-testing in Wdesk increases risk of non-compliance of applicable controls. </t>
  </si>
  <si>
    <t>Renata Hroudova – Plant Controller &amp; Lidia Bellone – Regional/Segment Controller</t>
  </si>
  <si>
    <t>TEN-2159</t>
  </si>
  <si>
    <t>(MOGI MIRIM)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</si>
  <si>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16 controls 
2, Testing results are not updated correctly for 2 controls 
Sample details not updated per requirement for 32 controls 
3. LCD does not align with the sample tested/testing attributes for 1 control. 
4. Frequency/ Type of control not aligned with the sample tested for 24 controls. 
Risk: Incomplete details of self-testing in Wdesk increases risk of non-compliance of applicable controls. </t>
  </si>
  <si>
    <t>Marcos Antonio de Castro – Plant Controller &amp; Brian Moon – Regional/Segment Controller</t>
  </si>
  <si>
    <t>TEN-2160</t>
  </si>
  <si>
    <t>(New Delhi (FMG))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</si>
  <si>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Process Narratives are not uploaded. 
Risk: Incomplete details of self-testing in Wdesk increases risk of non-compliance of applicable controls. </t>
  </si>
  <si>
    <t>Shreya Malhan – DGM Treasury &amp; Victoria Pagnucci – Regional/Segment Controller</t>
  </si>
  <si>
    <t>TEN-2161</t>
  </si>
  <si>
    <t>(Barcelona)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</si>
  <si>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93 controls 
Risk: Incomplete details of self-testing in Wdesk increases risk of non-compliance of applicable controls. </t>
  </si>
  <si>
    <t>Esmeralda Tabernero – Plant Controller &amp; Christian Boucher – Regional/Segment Controller</t>
  </si>
  <si>
    <t>TEN-2162</t>
  </si>
  <si>
    <t>Chapel-en-le-Frith</t>
  </si>
  <si>
    <t>(Chapel - EN - LE - Frith)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</si>
  <si>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32 controls 
2. Sample details not updated per requirement for 72 controls 
3. LCD does not align with the sample tested/testing attributes for 40 controls 
4. Controls marked as not required but additional details/segment controller not provided for 23 controls 
5. Frequency/ Type of control not aligned with the sample tested for 39 controls 
Risk: Incomplete details of self-testing in Wdesk increases risk of non-compliance of applicable controls. </t>
  </si>
  <si>
    <t>Nivesh Mothilal (Plant Controller) &amp; Christian Boucher (Regional Controller)</t>
  </si>
  <si>
    <t>TEN-2163</t>
  </si>
  <si>
    <t>(Chongqing)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</si>
  <si>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3 controls 
2. Testing results are not updated correctly for 7 controls 
3. Sample details not updated per requirement for 10 controls 
4. LCD does not align with the sample tested/testing attributes for 2 controls. 
5. Controls marked as not required but additional details/segment controller not provided for 4 controls. 
6. Frequency/ Type of control not aligned with the sample tested for 22 controls.
Risk: Incomplete details of self-testing in Wdesk increases risk of non-compliance of applicable controls. </t>
  </si>
  <si>
    <t>Zhenqiang Yu – Plant Controller &amp; Munish Kashyap – Finance Director</t>
  </si>
  <si>
    <t>TEN-2164</t>
  </si>
  <si>
    <t>Glinde</t>
  </si>
  <si>
    <t>(Glinde) (Performance Solutions)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</si>
  <si>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4 controls 
2. Testing results are not updated correctly for 5 controls 
3. Sample details not updated per requirement for 51 controls 
4. LCD does not align with the sample tested/testing attributes for 12 controls 
5. Controls marked as not required but additional details/segment controller not provided for 1 control 
6. Frequency/ Type of control not aligned with the sample tested for 5 controls 
Risk: Incomplete details of self-testing in Wdesk increases risk of non-compliance of applicable controls.</t>
  </si>
  <si>
    <t>Ralf Obersteller (Plant Controller) &amp; Christian Boucher (Regional Controller)</t>
  </si>
  <si>
    <t>TEN-2165</t>
  </si>
  <si>
    <t>Hannover</t>
  </si>
  <si>
    <t>(Hanover)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</si>
  <si>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Sample details not updated per requirement for 37 controls 
3. Controls marked as not required but additional details/segment controller not provided for 11 controls 
4. Frequency/ Type of control not aligned with the sample tested for 7 controls 
Risk: Incomplete details of self-testing in Wdesk increases risk of non-compliance of applicable controls. 
 </t>
  </si>
  <si>
    <t xml:space="preserve">Ruben Christis (Plant Controller) &amp; Luc Ceulemans (Regional Controller)  </t>
  </si>
  <si>
    <t>TEN-2166</t>
  </si>
  <si>
    <t>(Hosur)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</si>
  <si>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3 controls 
2. Sample details not updated per requirement for 10 controls 
3. LCD does not align with the sample tested/testing attributes for 4 controls 
4. Frequency/ Type of control not aligned with the sample tested for 7 controls 
Risk: Incomplete details of self-testing in Wdesk increases risk of non-compliance of applicable controls. </t>
  </si>
  <si>
    <t xml:space="preserve">Vijay Kumar (Plant Controller) &amp; Srinivas Ss (Regional Controller) </t>
  </si>
  <si>
    <t>TEN-2167</t>
  </si>
  <si>
    <t>Japan OE</t>
  </si>
  <si>
    <t>(Japan OE) (Performance Solutions)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</si>
  <si>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3 controls 
2. Testing results are not updated correctly for 3 controls 
3. Sample details not updated per requirement for 28 controls 
4. Controls marked as not required but additional details/segment controller not provided for 1 control. 
5. Frequency/ Type of control not aligned with the sample tested for 17 controls. 
6. Process narratives are not updated.
Risk: Incomplete details of self-testing in Wdesk increases risk of non-compliance of applicable controls.</t>
  </si>
  <si>
    <t>Seiji Niwa – Plant Controller &amp; Rolf Bartels – Finance Director</t>
  </si>
  <si>
    <t>TEN-2168</t>
  </si>
  <si>
    <t>Korea SP</t>
  </si>
  <si>
    <t>(Korea SP)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</si>
  <si>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5 controls 
2. Testing results are not updated correctly for 5 controls 
3. Sample details not updated per requirement for 58 controls 
4. LCD does not align with the sample tested/testing attributes for 2 controls 
5. Controls marked as not required but additional details/segment controller not provided for 4 controls. 
6. Frequency/ Type of control not aligned with the sample tested for 12 controls 
7. Process narratives are not updated 
Risk: Incomplete details of self-testing in Wdesk increases risk of non-compliance of applicable controls. 
 </t>
  </si>
  <si>
    <t xml:space="preserve">Seungkwang Baek (Plant Controller) &amp; Ian Burns (Segment Controller) 
 </t>
  </si>
  <si>
    <t>TEN-2169</t>
  </si>
  <si>
    <t>Laguna SP</t>
  </si>
  <si>
    <t>(Laguna SP)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</si>
  <si>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4 controls 
2. Testing results are not updated correctly for 1 control 
3. Sample details not updated per requirement for 12 controls 
4. LCD does not align with the sample tested/testing attributes for 6 controls 
5. Frequency/ Type of control not aligned with the sample tested for 13 controls 
Risk: Incomplete details of self-testing in Wdesk increases risk of non-compliance of applicable controls. </t>
  </si>
  <si>
    <t>Charilyn Bishop (Plant Controller) &amp; Ian Burns (Segment Controller)</t>
  </si>
  <si>
    <t>TEN-2170</t>
  </si>
  <si>
    <t>Milan</t>
  </si>
  <si>
    <t>NVH (Performance Solutions) - EMEA</t>
  </si>
  <si>
    <t>(Milan OH) (Performance Solutions)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</si>
  <si>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1 control 
2. Sample details not updated per requirement for 12 controls 
3. Frequency/ Type of control not aligned with the sample tested for 3 controls. 
Risk: Incomplete details of self-testing in Wdesk increases risk of non-compliance of applicable controls.</t>
  </si>
  <si>
    <t>Lisa Sortor (Plant Controller) &amp; Mike Filiposki (Finance Director)  </t>
  </si>
  <si>
    <t>TEN-2171</t>
  </si>
  <si>
    <t>Chasseneuil</t>
  </si>
  <si>
    <t>(Chasseneuil)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</si>
  <si>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55 controls 
Risk: Incomplete details of self-testing in Wdesk increases risk of non-compliance of applicable controls. </t>
  </si>
  <si>
    <t>Anne-lise Vallengelier (Plant Controller) &amp; Lidia Bellone (Segment controller)</t>
  </si>
  <si>
    <t>TEN-2172</t>
  </si>
  <si>
    <t>Mondovi</t>
  </si>
  <si>
    <t>(Mondovi)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</si>
  <si>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73 controls 
2. Process narratives are not updated 
Risk: Incomplete details of self-testing in Wdesk increases risk of non-compliance of applicable controls. </t>
  </si>
  <si>
    <t xml:space="preserve">Faustino Candela (Plant Controller) &amp; Christian Boucher (Regional Controller) </t>
  </si>
  <si>
    <t>TEN-2173</t>
  </si>
  <si>
    <t>(Napoleon OH)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</si>
  <si>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Testing results are not updated correctly for 3 controls 
3. Sample details not updated per requirement for 41 controls 
4. Frequency/ Type of control not aligned with the sample tested for 8 controls
Risk: Incomplete details of self-testing in Wdesk increases risk of non-compliance of applicable controls. 
 </t>
  </si>
  <si>
    <t xml:space="preserve">Diane Stahl (Plant Controller) &amp; Kim Rowe (Regional Controller)  </t>
  </si>
  <si>
    <t>TEN-2174</t>
  </si>
  <si>
    <t>Aguascalientes II</t>
  </si>
  <si>
    <t>(Aguascalientes II) (Clean Air)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</si>
  <si>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32 controls 
2. LCD does not align with the sample tested/testing attributes for 1 control 
3. Frequency/ Type of control not aligned with the sample tested for 16 controls 
Risk: Incomplete details of self-testing in Wdesk increases risk of non-compliance of applicable controls.</t>
  </si>
  <si>
    <t>Nathan Manuel Reyes (Plant Controller) &amp; Brian Moon (Segment Controller)</t>
  </si>
  <si>
    <t>TEN-2175</t>
  </si>
  <si>
    <t>Puebla I</t>
  </si>
  <si>
    <t>(Puebla I)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</si>
  <si>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Testing results are not updated correctly for 1 control 
3. Sample details not updated per requirement for 8 controls 
4. Frequency/ Type of control not aligned with the sample tested for 12 controls 
Risk: Incomplete details of self-testing in Wdesk increases risk of non-compliance of applicable controls. </t>
  </si>
  <si>
    <t xml:space="preserve">Jose Agustin Peregrina (Plant Controller) &amp; Brian Moon (Segment Controller) </t>
  </si>
  <si>
    <t>TEN-2176</t>
  </si>
  <si>
    <t>Clean Air Mexico Central</t>
  </si>
  <si>
    <t>(Clean Air Mexico Central) (Clean Air)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</si>
  <si>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2 controls 
2. Sample details not updated per requirement for 2 controls 
3. Controls marked as not required but additional details/segment controller not provided for 2 controls 
4. Frequency/ Type of control not aligned with the sample tested for 2 controls 
Risk: Incomplete details of self-testing in Wdesk increases risk of non-compliance of applicable controls. </t>
  </si>
  <si>
    <t xml:space="preserve">Carla Cervantes (Plant Controller) &amp; Brian Moon (Segment Controller) </t>
  </si>
  <si>
    <t>TEN-2178</t>
  </si>
  <si>
    <t>New Delhi - Aftermarket</t>
  </si>
  <si>
    <t>(New Delhi - Aftermarket) (Gurgaon) (DRiV)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</si>
  <si>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2 controls 
2. Testing results are not updated correctly for 4 controls 
3. Sample details not updated per requirement for 4 controls 
4. LCD does not align with the sample tested/testing attributes for 2 controls 
5. Controls marked as not required but additional details/segment controller not provided for 3 controls 
Risk: Incomplete details of self-testing in Wdesk increases risk of non-compliance of applicable controls. </t>
  </si>
  <si>
    <t xml:space="preserve">Deepak Rajput (Plant Controller) &amp; Jacko Xing (Segment Controller) </t>
  </si>
  <si>
    <t>TEN-2179</t>
  </si>
  <si>
    <t>Dresden</t>
  </si>
  <si>
    <t>(Dresden)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</si>
  <si>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2 controls 
2. Sample details not updated per requirement for 18 controls 
3. Controls marked as not required but additional details/segment controller not provided for 4 controls. 
4. Frequency/ Type of control not aligned with the sample tested for 20 controls. 
Risk: Incomplete details of self-testing in Wdesk increases risk of non-compliance of applicable controls. </t>
  </si>
  <si>
    <t xml:space="preserve">Kay Hoffmann (Plant Controller) &amp; Lidia Bellone (Segment Controller) </t>
  </si>
  <si>
    <t>TEN-2180</t>
  </si>
  <si>
    <t>(Ploiesti - Braking)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</si>
  <si>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2 controls 
2. Sample details not updated per requirement for 4 controls 
3. LCD does not align with the sample tested/testing attributes for 23 controls 
4. Controls marked as not required but additional details/segment controller not provided for 23 controls 
Risk: Incomplete details of self-testing in Wdesk increases risk of non-compliance of applicable controls. 
 </t>
  </si>
  <si>
    <t>Razvan Grigoriu (Plant Controller) &amp; Christian Boucher (Regional Controller)</t>
  </si>
  <si>
    <t>TEN-2181</t>
  </si>
  <si>
    <t>(Sealing JV Victor Gaskets)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</si>
  <si>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Testing results are not updated correctly for 5 controls 
3. Sample details not updated per requirement for 39 controls 
4. LCD does not align with the sample tested/testing attributes for 3 controls 
5. Controls marked as not required but additional details/segment controller not provided for 2 controls. 
6. Frequency/ Type of control not aligned with the sample tested for 14 controls 
7. Process narratives are not updated 
Risk: Incomplete details of self-testing in Wdesk increases risk of non-compliance of applicable controls. </t>
  </si>
  <si>
    <t xml:space="preserve">Dhaneswar Das (Plant Controller) &amp; Victoria Pagnucci (Segment Controller) </t>
  </si>
  <si>
    <t>TEN-2182</t>
  </si>
  <si>
    <t>(Parwanoo - Bearings)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</si>
  <si>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11 controls 
2. Frequency/ Type of control not aligned with the sample tested for 1 control 
3. Process narratives are not updated 
Risk: Incomplete details of self-testing in Wdesk increases risk of non-compliance of applicable controls. </t>
  </si>
  <si>
    <t>Isha Kumari (Plant Controller) &amp; Victoria Pagnucci (Segment Controller)</t>
  </si>
  <si>
    <t>TEN-2183</t>
  </si>
  <si>
    <t>(Bhiwadi - Ignition) (Powertrain)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</si>
  <si>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11 controls 
2. Testing results are not updated correctly for 2 controls 
3. Sample details not updated per requirement for 1 control 
4. Controls marked as not required but additional details/segment controller not provided for 3 controls 
5. Process narratives are not updated 
Risk: Incomplete details of self-testing in Wdesk increases risk of non-compliance of applicable controls. </t>
  </si>
  <si>
    <t>Sumit Gupta (Plant Controller) &amp; Victoria Pagnucci (Segment Controller)</t>
  </si>
  <si>
    <t>TEN-2184</t>
  </si>
  <si>
    <t>(Smithville TN)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</si>
  <si>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7 controls 
2. Controls marked as not required but additional details/segment controller not provided for 1 control 
3. Frequency/ Type of control not aligned with the sample tested for 2 controls 
Risk: Incomplete details of self-testing in Wdesk increases risk of non-compliance of applicable controls. 
 </t>
  </si>
  <si>
    <t xml:space="preserve">Christi Pereira (Plant Controller) &amp; Holly York (Regional Controller)  </t>
  </si>
  <si>
    <t>TEN-2185</t>
  </si>
  <si>
    <t>Tenneco Japan PS OE Warehouse</t>
  </si>
  <si>
    <t>(Tenneco Japan Warehouse OE)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</si>
  <si>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4 controls 
2. Sample details not updated per requirement for 25 controls 
3. Controls marked as not required but additional details/segment controller not provided for 6 controls. 
4. Frequency/ Type of control not aligned with the sample tested for 13 controls. 
5. Process narratives are not updated.
Risk: Incomplete details of self-testing in Wdesk increases risk of non-compliance of applicable controls. </t>
  </si>
  <si>
    <t>TEN-2186</t>
  </si>
  <si>
    <t>(Bhiwadi SPG)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</si>
  <si>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1 control 
2. Testing results are not updated correctly for 4 controls 
3. Sample details not updated per requirement for 20 controls 
4. Frequency/ Type of control not aligned with the sample tested for 4 controls 
Risk: Incomplete details of self-testing in Wdesk increases risk of non-compliance of applicable controls. </t>
  </si>
  <si>
    <t>Kirpal Yadav (Plant Controller) &amp; Arup Mukherjee (Segment Controller)</t>
  </si>
  <si>
    <t>TEN-2187</t>
  </si>
  <si>
    <t>Cuorgne</t>
  </si>
  <si>
    <t>(Cuorgne) (Powertrain)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</si>
  <si>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Mandatory fields not populated for 2 controls 
2. Testing results are not updated correctly for 16 controls 
3. Sample details not updated per requirement for 3 controls 
4. Controls marked as not required but additional details/segment controller approval not provided for 13 controls. 
Risk: Incomplete details of self-testing in Wdesk increases risk of non-compliance of applicable controls</t>
  </si>
  <si>
    <t xml:space="preserve">Fedele Finale (Plant Controller) &amp; Lidia Bellone (Segment Controller) </t>
  </si>
  <si>
    <t>TEN-2188</t>
  </si>
  <si>
    <t>(Sint Truiden) (Performance Solutions) - Management Self Testing Report 2025</t>
  </si>
  <si>
    <t xml:space="preserve">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Testing results are not updated correctly for 9 controls 
2. Sample details not updated per requirement for 9 controls 
3. LCD does not align with the sample tested/testing attributes for 3 controls 
4. Controls marked as not required but additional details/segment controller not provided for 3 controls. 
5. Frequency/ Type of control not aligned with the sample tested for 14 controls 
Risk: Incomplete details of self-testing in Wdesk increases risk of non-compliance of applicable controls. </t>
  </si>
  <si>
    <t xml:space="preserve">Ine Peeters (Plant Controller) &amp; Luc Ceulemans (Regional Controller) </t>
  </si>
  <si>
    <t>TEN-2189</t>
  </si>
  <si>
    <t>(Regional Aftermarket - NAM (Excludes Mexico)) (Regional Aftermarket - SAM) (AFFINIA (Excluding NAPD) / Southfield APS) (DRiV) - Management Self Testing Report 2025</t>
  </si>
  <si>
    <t>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The comments were not corrected/ received in Wdesk by the location after repeat follow-ups until October 31, 2025.  
1. Sample details not updated per requirement for 1 control 
Risk: Incomplete details of self-testing in Wdesk increases risk of non-compliance of applicable controls.</t>
  </si>
  <si>
    <t xml:space="preserve">Michael Kurinsky (Plant Controller) &amp; Devang Parikh (Segment Controller) </t>
  </si>
  <si>
    <t>TEN-2190</t>
  </si>
  <si>
    <t>Skokie (DRiV) - Full Scope 2025</t>
  </si>
  <si>
    <t>Inappropriate Badge Access Retention After
Termination and Lack of Formal Documentation</t>
  </si>
  <si>
    <t>Inappropriate Badge Access Retention After
Termination and Lack of Formal Documentation
A review of physical access logs identified that 122 terminated employees
retained active badge access credentials. The current process lacks formal
documentation and coordination between HR and Plant Security for timely
communication of employee terminations and corresponding revocation of
badge access.​
Additionally, plant security systems are limited in their reporting capabilities,
as they can only extract door access logs in PDF format rather than in an
analyzable Excel format and therefore cannot easily assess if recent activity
was appropriate.​
CCTV Camera Installation​
During the review of physical security controls at the Skokie site, it was
noted that no CCTV cameras are installed in the Distribution Center (DC)
area. Currently, 36 cameras are operational around the office section of the
facility; however, these do not provide visibility over the DC’s interior or
surrounding areas. The absence of surveillance in this high-activity zone
limits management’s ability to monitor movements, deter theft or
unauthorized access, and investigate incidents. This lack of coverage may
create potential legal exposure in the event of workplace accidents or
disputes, as there would be no visual evidence to support investigations.​
Management indicated that a security enhancement project is being
planned to upgrade overall plant surveillance, including the DC area. As of
the audit date, no specific implementation timeline or project completion
date has been confirmed.​</t>
  </si>
  <si>
    <t>Conduct periodic reconciliations between HR
termination records and active badge access lists to
confirm timely revocation.​
Enhance system capabilities to allow exportable and
analyzable access logs (e.g., Excel format).​
Prioritize and expedite installation of CCTV cameras
covering key areas within and around the Distribution
Center to ensure comprehensive surveillance.</t>
  </si>
  <si>
    <t xml:space="preserve">All 122 terminated employees have been purged from the system and policy has been written for HR to inform Security of all terminations as they occur. ​
Additionally, HR &amp; Security will reconcile on a monthly basis.​
​
The Security Enhancement project has been approved and scheduled to begin 2026. </t>
  </si>
  <si>
    <t>Ray White (Security Manager),
Kelli Antman (HR Manager)</t>
  </si>
  <si>
    <t>11/17/2025</t>
  </si>
  <si>
    <t>TEN-2191</t>
  </si>
  <si>
    <t>Bank Account Reconciliations</t>
  </si>
  <si>
    <t>REVE-29</t>
  </si>
  <si>
    <t>Aged and Unreconciled Bank Balances</t>
  </si>
  <si>
    <t>Following the merging of bank accounts for EP1 with other SAP instances,
the Juárez SSC team no longer has clear visibility into the specific
transactions and balances that need to be reconciled. The merged structure
has created ambiguity over which business unit—DRiV or other Tenneco
Business Units—owns certain cash movements and balances. As a result,
reconciliations cannot be performed accurately or timely, and there is
limited traceability of approximately USD ~8.7 million of unreconciled cash
balances in the June 2025 reconciliation.​
This reconciliation was observed in the April 2025 and the June 2025
reconciliations for JPMorgan Account Number 325005707 for both the
Concentration 5699 account reconciliation and the JPM Disbursement 5707
Account Reconciliation. Company codes 1001, 1070, and 1072 are combined
into these reconciliations. ​
The review timeline was noted as follows: The April 2025 reconciliations
were prepared between June 12-17, 2025 and reviewed July 22, 2025.  The
June 2025 reconciliations were prepared between July 21-22, 2025 and
reviewed October 12, 2025, after the audit had taken place.</t>
  </si>
  <si>
    <t>Develop and document a reconciliation support matrix
outlining points of contact for each account, entity, or
transaction type to ensure reconcilers know where to
direct questions and can obtain timely responses.</t>
  </si>
  <si>
    <t>Separate shared bank accounts by
legal entity to ensure clear ownership
at the DRiV level. ​
Create a reconciliation support matrix
that will document key contacts,
responsibilities, and review frequencies
for each bank account. ​
Perform the reconciliations inclusive
of reconciliation explanations and
management approval and sign off for
the reconciliation. The plan is to be
fully remediated March 2026.</t>
  </si>
  <si>
    <t>Sean Okeefe (BU Treasury) and
Georgeta Diaconu (SSC Leader)</t>
  </si>
  <si>
    <t>TEN-2192</t>
  </si>
  <si>
    <t>Accounts Receivable Aging</t>
  </si>
  <si>
    <t>Accounts Receivable:
Unclear Accountability And Ownership</t>
  </si>
  <si>
    <t>Accounts Receivable activities are managed by separate individuals across
functions, with minimal centralized oversight or ownership to ensure
accuracy, completeness, and timely resolution of reconciling items.
Investigations into potentially erroneous or aged balances are primarily
performed at a group level, rather than at the transactional or entity level
where discrepancies originate. This weakens the control environment
around AR integrity and financial reporting accuracy. For example, AR Aging
includes ~$1.5m of unexplained credit balance between 365-720 days past
due and receivables aged over 2 years are reserved at 100% rather than
being removed as per policy.​
A review of Accounts Receivable (AR) processes identified unclear
accountability for AR management and untimely performance of
reconciliations. Reconciliations currently do not include a detailed
investigation of significant or unusual balances. Instances were noted where
credit balances ranging between $50K–$500K remained unexplained in the
receivables ledger.</t>
  </si>
  <si>
    <t>Leadership should define and assign clear ownership for
AR reconciliation and monitoring, ensuring
accountability for accuracy, completeness, and timely
completion. ​
Implement standardized reconciliation procedures
requiring investigation and documentation of all
unusual or material balances, including credit positions.</t>
  </si>
  <si>
    <t>Establish clear roles and
responsibilities for AR reconciliations and
monitoring activities.​
Implement standardized AR
reconciliations, including timelines, action
steps and document of investigations for
unexplained differences or aged items</t>
  </si>
  <si>
    <t>Dan Brugger (Finance
Director), Georgeta Diaconu (Head of
Global Business Services), Claudia
Montoya (NA Senior Manager General
Ledger)</t>
  </si>
  <si>
    <t>TEN-2193</t>
  </si>
  <si>
    <t>SAP Access</t>
  </si>
  <si>
    <t>SAP Access Controls: Terminated and Shared User
Accounts Identified</t>
  </si>
  <si>
    <t xml:space="preserve">During a review of the SAP user access controls, 11 terminated employees
were identified that retained active SAP accounts at the time of the audit
(September 2025). These included three contract workers and one
employee whose termination dates ranged between April and August 2025,
yet access remained enabled several months after departure (X1BRAYLO​
X1DANIO6, X1KEVIM5, X1LICVMB, MEGAOTTO, NICHDAIG, EVERAR65, X1SA
HAFA, CASTRS21, X1SHAMKH, GARCIS72).​​
It was noted that shared Packaging accounts (e.g., SKOK-FPDPCK3 and
SKOK-FPDPCK5) remain active, each assigned with high-privilege roles such
as ZSEC_PACKAGING_MANAGER_2169, ZSEC_RF_PICKING_PACKING_2169,
ZSEC_TRAFFIC_SHIPP_COORD_2169, and
ZSEC_WHS_ADMINISTRATION_2169. ​
The use of shared credentials significantly reduces transaction traceability
and weakens accountability for system activities. Active user IDs not
currently on the DRiV employee roster indicates a need for periodic review
and reconciliation of user access. ​
It was noted that no users accessed the systems post termination. </t>
  </si>
  <si>
    <t>Establish a periodic, management-approved user access
certification process to review and confirm the validity
of all active accounts and roles.​
Review and rationalize SAP roles to align access rights
with job responsibilities.​
Review interface between AD and SAP to understand
why these individuals were not removed after
termination.</t>
  </si>
  <si>
    <t>Terminated users do not
have access to Active Directory and will
be removed from SAP. Shared User IDs
used for training; we have had
authorization for them since 2019 and will
continue to use and approve during PUR
reviews​.</t>
  </si>
  <si>
    <t>Daniel Barrera (Distribution
Center Manager)</t>
  </si>
  <si>
    <t>TEN-2194</t>
  </si>
  <si>
    <t>SAP Configuration</t>
  </si>
  <si>
    <t>Credit Limits exceeded</t>
  </si>
  <si>
    <t>SAP Configuration Allows Invoices to Exceed Purchase
Order Values (Two-Way Match)</t>
  </si>
  <si>
    <t>A review of the SAP procure-to-pay (P2P) configuration identified that the
system is currently not set to enforce a two-way match, allowing invoices to
be processed and paid even when they exceed corresponding purchase
order (PO) amounts.​
Testing identified 30+ instances within the audit period where invoice
amounts exceeded their related POs, with individual variances of up to $74K
and aggregate differences totaling approximately $200K. The configuration
permits invoices to post without an automated tolerance control or
exception workflow to flag and block these overages for review prior to
payment.​
This configuration gap increases reliance on manual monitoring by
Accounts Payable and Procurement teams, heightening the risk of
overpayments or unapproved expenditures going undetected.​
Instances where invoices were greater than PO: 4502572042,
4502896437, 4502572041, 4502850122, 4502672808</t>
  </si>
  <si>
    <t>Implement periodic exception reporting and review
controls to monitor and investigate invoices exceeding
PO amounts.</t>
  </si>
  <si>
    <t xml:space="preserve">Communication sent to all
Buyers/Planners that nothing will be Post
Good Received over the 10% limit. If over,
the PO will need to be adjusted, or a new
one will be needed. Plant has need to
receive overages from Vendors who
cannot keep up with need. </t>
  </si>
  <si>
    <t xml:space="preserve">DC Operations Team. Nestor
Narciso (Area Manager) and Daniel
Barrera (DC Manager). </t>
  </si>
  <si>
    <t>TEN-2195</t>
  </si>
  <si>
    <t>Month-End Close</t>
  </si>
  <si>
    <t>Incomplete Month-End Journal Entry Review and
Month-End Close Checklist</t>
  </si>
  <si>
    <t>During month-end, the completeness check does not cover all journal
entries. In June 2025, 20 of 41 journal entries were not reviewed due to
reliance on a manual, formula-driven process. This creates a risk that entries
may remain unreviewed or misstated.​
Further, the Financial Controller does not prepare or sign off on a month-
end close checklist, and responsibility for key close activities is unclear.
Without clear ownership and documentation, there is limited assurance that
all month-end procedures are performed, reviewed, and completed in a
timely manner.</t>
  </si>
  <si>
    <t>Adopt an automated or system-supported process to
ensure all journal entries are captured, reviewed, and
approved prior to close completion.​
Implement a formal month-end close checklist with
clear task ownership, review requirements, and sign-off
by the Financial Controller or designee.</t>
  </si>
  <si>
    <t>Create a standardized
checklist with task ownership, review
steps, and sign-off.</t>
  </si>
  <si>
    <t>Dan Brugger (Finance
Director), Max Eurich (Finance Manager),
Varsha Manghnani (Distribution Center
Senior Analyst)</t>
  </si>
  <si>
    <t>TEN-2196</t>
  </si>
  <si>
    <t>Materials Master Data</t>
  </si>
  <si>
    <t>Lack of Material Master Data Review</t>
  </si>
  <si>
    <t>The central materials team has the ability to edit material master data
directly in the system without any form of approval, review, or audit trail. No
formal process exists to monitor or validate changes made to key material
attributes such as valuation class, unit of measure, or standard cost.​
This control gap increases the risk of unauthorized or erroneous
modifications to master data, which could affect inventory valuation, cost of
goods sold, and overall financial reporting accuracy.</t>
  </si>
  <si>
    <t>Perform periodic reviews of master data changes to
ensure accuracy, completeness, and accountability.</t>
  </si>
  <si>
    <t>Start monthly process of
reviewing planner changes to master data​.</t>
  </si>
  <si>
    <t>Marcus Bodner (Supply
Planning Manager)</t>
  </si>
  <si>
    <t>TEN-2197</t>
  </si>
  <si>
    <t>Purchase Orders</t>
  </si>
  <si>
    <t>Lack of Open Purchase Order (PO) Review and
Documentation</t>
  </si>
  <si>
    <t>Open purchase orders (POs) within plants 2168 and 2169 totaling
approximately $533K were identified as remaining open from 2021–2024,
including $156K across 77 open POs at the time of the audit. These POs are
not subject to an annual review to assess whether they remain valid or
should be closed.​
No formal documentation is maintained to justify why individual POs
remain open, and while a weekly open PO report is generated, there is no
formal approval or retention of the review and sign-off. The lack of periodic
and documented review increases the risk of outdated, duplicate, or
unnecessary commitments remaining on the books, impacting financial
accuracy and budgeting visibility.</t>
  </si>
  <si>
    <t>Implement a documented periodic review process (at
least annually) to validate the necessity of open POs and
close obsolete or inactive ones.​
Establish formal review and approval controls requiring
retention of evidence (e.g., sign-off or electronic record)
for open PO report reviews.</t>
  </si>
  <si>
    <t>Start monthly process of
recording feedback from suppliers on
orders &gt; 1 year past due.</t>
  </si>
  <si>
    <t>TEN-2198</t>
  </si>
  <si>
    <t>Fixed Asset Tagging / Fixed Asset Classification</t>
  </si>
  <si>
    <t>Classification Errors, Inaccurate Depreciation,
and Inaccurate Asset Tagging</t>
  </si>
  <si>
    <t>Fixed Assets Classification Errors and Inaccurate
Depreciation
Analytics identified classification errors in 89 fixed assets, resulting in
miscalculated depreciation of approximately $50K. One asset (Line Side
Labeler RR) valued at $6K was recorded under two different asset
classes (20000 Machinery &amp; Equipment and 29000 Capitalised
Software) causing inconsistent depreciation treatment compared to similar
assets.​
Inaccurate Tagging and Fixed Asset Register Records​
Several discrepancies were identified in the tagging and recording of fixed
assets within the Skokie Distribution Center (DC):​
Seven assets (baggers) physically present on the plant floor remain
tagged with “Federal-Mogul” asset numbers and are not listed on the
current fixed asset register. While these items are fully depreciated and
would have a book value of $0, their continued use without proper
recording indicates  incomplete asset tracking  and reconciliation
between physical assets and the accounting system.​
Fixed Asset “BLDG 12 RACKING” with a book value of $183K was
recorded under entity 2168, although it physically belongs to entity 2169.​
Fixed Asset “Dell Computer Laptop” (asset 5792) was capitalized despite
being below the capitalization threshold, and the original invoice was not
retained, preventing validation against the Tenneco Capitalization Policy.</t>
  </si>
  <si>
    <t xml:space="preserve">Perform a comprehensive review and cleanup of the
fixed asset master data to correct misclassifications and
ensure consistency in depreciation methods.​
Establish a periodic reconciliation process between the
fixed asset register and physical assets at each site to
verify existence, classification, tagging, and residual
values.​
Perform a full reconciliation between physical assets,
asset tags, and the fixed asset register to ensure
completeness and correct entity assignments. </t>
  </si>
  <si>
    <t>Review and correct misclassified assets.​
​
Verify existence, classification, tagging, and residual values.​
​
Match physical assets, asset tags, and register entries.​
​
Confirm correct entity assignments and completeness.</t>
  </si>
  <si>
    <t>TEN-2199</t>
  </si>
  <si>
    <t>Period End Account Reconciliations</t>
  </si>
  <si>
    <t>Account Reconciliation Weaknesses and Lack
of Investigative Review</t>
  </si>
  <si>
    <t>Several control deficiencies were identified within the account reconciliation
process, indicating weaknesses in the accuracy, completeness, and timeliness
of financial reconciliations:​
Unusual Balances Not Investigated: No evidence of review or follow-up
on debit balances in AP rec, which may indicate overpayments, returns, or
posting errors including balance of 89k in 2023 in the vouchered payables
listing and ~$500k credit balance in AR rec. Some unvouchered balances
over $1k date back to 2022 and remain unresolved.​
Material 2024 Balances in AP: Over $100k in current-year unvouchered
balances from 2024 require review to confirm validity.​
Intercompany AP balances dating back to 2020 in excess of $1m as well
as debit balances also dating back to 2020 in excess of $2.5m with no clear
path to clear or resolve. ​
The Intercompany reconciliation process does not include aging
analysis or any back-up documentation. It relies on a third party
inputting the GL number into an excel and inputting the corresponding IC
number into the same excel.​
Missing Extraction Parameters across AR, AP, Bank, Fixed Assets,
Intercompany and Inventory Reconciliations: No (or minimal)
screenshot/ documentation of SAP selection criteria was provided, limiting
validation of the data's completeness and relevance.​
Reconciliations Performed later than policy mandated timeframe: AR
and Bank reconciliations performed 5-15 workdays later than policy
mandate.​
These issues collectively demonstrate a breakdown in reconciliation
discipline, oversight, and documentation, increasing the risk of misstated
balances and undetected errors.</t>
  </si>
  <si>
    <t xml:space="preserve">Implement standardized reconciliation procedures
requiring timely completion, documented review, and
investigation of all unusual, aged, or material balances.​
Enhance oversight and accountability by assigning
reconciliation ownership, introducing quality review
controls, and enforcing adherence to policy timelines.​
Document SAP extraction parameters and maintain
evidence supporting reconciliation completeness and
data integrity. </t>
  </si>
  <si>
    <t>Ensure timely completion by tracking and review documentation responsibly.​
​
Flag and resolve aged, unusual, or material balances. Maintain logs of investigations.​
​
Record SAP extraction parameters. Store evidence of completeness and accuracy.</t>
  </si>
  <si>
    <t>Dan Brugger (Finance
Director), Max Eurich (Finance Manager),
Varsha Manghnani (Distribution Center
Senior Analyst), Claudia Montoya (NA
Senior Manager General Ledger)</t>
  </si>
  <si>
    <t>Deficiency - To be due in coming days</t>
  </si>
  <si>
    <t>Nov</t>
  </si>
  <si>
    <t>Deficiency Status Update self testing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</si>
</sst>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indexed="8"/>
      <name val="Aptos Narrow"/>
      <family val="2"/>
      <scheme val="minor"/>
    </font>
    <font>
      <b/>
      <sz val="11"/>
      <name val="Calibri"/>
      <family val="2"/>
    </font>
    <font>
      <b/>
      <sz val="16"/>
      <color rgb="FF000000"/>
      <name val="Segoe UI"/>
      <family val="2"/>
    </font>
    <font>
      <b/>
      <sz val="14"/>
      <color rgb="FF000000"/>
      <name val="Segoe UI"/>
      <family val="2"/>
    </font>
    <font>
      <b/>
      <sz val="11"/>
      <color indexed="8"/>
      <name val="Aptos Narrow"/>
      <family val="2"/>
      <scheme val="minor"/>
    </font>
    <font>
      <b/>
      <sz val="11"/>
      <name val="Calibri"/>
      <family val="2"/>
    </font>
  </fonts>
  <fills count="4">
    <fill>
      <patternFill patternType="none"/>
    </fill>
    <fill>
      <patternFill patternType="gray125"/>
    </fill>
    <fill>
      <patternFill patternType="solid">
        <fgColor indexed="22"/>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2" fillId="0" borderId="0" xfId="0" applyFont="1"/>
    <xf numFmtId="0" fontId="3" fillId="0" borderId="0" xfId="0" applyFont="1"/>
    <xf numFmtId="0" fontId="0" fillId="0" borderId="1" xfId="0" applyBorder="1"/>
    <xf numFmtId="0" fontId="4" fillId="0" borderId="0" xfId="0" applyFont="1"/>
    <xf numFmtId="0" fontId="0" fillId="0" borderId="0" xfId="0" applyFill="1" applyBorder="1"/>
    <xf numFmtId="0" fontId="1" fillId="2" borderId="1" xfId="0" applyFont="1" applyFill="1" applyBorder="1" applyAlignment="1">
      <alignment vertical="top" wrapText="1"/>
    </xf>
    <xf numFmtId="0" fontId="4" fillId="3" borderId="1" xfId="0" applyFont="1" applyFill="1" applyBorder="1"/>
    <xf numFmtId="0" fontId="5" fillId="2" borderId="1" xfId="0" applyFont="1" applyFill="1" applyBorder="1" applyAlignment="1">
      <alignment vertical="top" wrapText="1"/>
    </xf>
    <xf numFmtId="0" fontId="1" fillId="2" borderId="1" xfId="0" applyFont="1" applyFill="1" applyBorder="1" applyAlignment="1">
      <alignment wrapText="1"/>
    </xf>
    <xf numFmtId="14" fontId="1" fillId="3" borderId="1" xfId="0" applyNumberFormat="1" applyFont="1" applyFill="1" applyBorder="1" applyAlignment="1">
      <alignment wrapText="1"/>
    </xf>
    <xf numFmtId="0" fontId="1" fillId="3" borderId="1" xfId="0" applyFont="1" applyFill="1" applyBorder="1" applyAlignment="1">
      <alignment wrapText="1"/>
    </xf>
    <xf numFmtId="0" fontId="5" fillId="2" borderId="1" xfId="0" applyFont="1" applyFill="1" applyBorder="1" applyAlignment="1">
      <alignment wrapText="1"/>
    </xf>
    <xf numFmtId="2" fontId="0" fillId="0" borderId="1" xfId="0" applyNumberFormat="1" applyBorder="1" applyAlignment="1"/>
    <xf numFmtId="0" fontId="1" fillId="2" borderId="1" xfId="0" applyFont="1" applyFill="1" applyBorder="1" applyAlignment="1">
      <alignment horizontal="left" vertical="top" wrapText="1"/>
    </xf>
    <xf numFmtId="0" fontId="5" fillId="2" borderId="1" xfId="0" applyFont="1" applyFill="1" applyBorder="1" applyAlignment="1">
      <alignment horizontal="left" vertical="top" wrapText="1"/>
    </xf>
    <xf numFmtId="2" fontId="0" fillId="0" borderId="2" xfId="0" applyNumberFormat="1" applyBorder="1" applyAlignment="1"/>
    <xf numFmtId="0" fontId="0" fillId="0" borderId="1" xfId="0" applyFill="1" applyBorder="1" applyAlignment="1"/>
    <xf numFmtId="0" fontId="0" fillId="0" borderId="1" xfId="0" applyBorder="1" applyAlignment="1">
      <alignment vertical="top" wrapText="1"/>
    </xf>
    <xf numFmtId="14" fontId="0" fillId="0" borderId="1" xfId="0" applyNumberFormat="1" applyBorder="1" applyAlignment="1">
      <alignment vertical="top"/>
    </xf>
    <xf numFmtId="0" fontId="0" fillId="0" borderId="1" xfId="0" applyBorder="1" applyAlignment="1">
      <alignment horizontal="left" vertical="top"/>
    </xf>
    <xf numFmtId="0" fontId="0" fillId="0" borderId="1" xfId="0" applyBorder="1" applyAlignment="1"/>
    <xf numFmtId="14" fontId="0" fillId="0" borderId="1" xfId="0" applyNumberFormat="1" applyBorder="1" applyAlignment="1"/>
    <xf numFmtId="14" fontId="0" fillId="0" borderId="1" xfId="0" applyNumberFormat="1" applyBorder="1" applyAlignment="1">
      <alignment vertical="top"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grawal, Ritu" refreshedDate="45982.512400810185" createdVersion="8" refreshedVersion="8" minRefreshableVersion="3" recordCount="395" xr:uid="{73DDBF15-CB35-4B16-B613-E4CFC23A5DAF}">
  <cacheSource type="worksheet">
    <worksheetSource ref="A2:BB397" sheet="Working File"/>
  </cacheSource>
  <cacheFields count="57">
    <cacheField name="Issue ID" numFmtId="0">
      <sharedItems/>
    </cacheField>
    <cacheField name="Year" numFmtId="0">
      <sharedItems/>
    </cacheField>
    <cacheField name="Identified By" numFmtId="0">
      <sharedItems count="5">
        <s v="IAD"/>
        <s v="Deloitte"/>
        <s v="Management"/>
        <s v="RCO"/>
        <s v="Other"/>
      </sharedItems>
    </cacheField>
    <cacheField name="Co-sourcing Partner" numFmtId="0">
      <sharedItems/>
    </cacheField>
    <cacheField name="Type" numFmtId="0">
      <sharedItems count="2">
        <s v="ICFR"/>
        <s v="Operational"/>
      </sharedItems>
    </cacheField>
    <cacheField name="Location" numFmtId="0">
      <sharedItems count="117">
        <s v="Performance Solutions MRS"/>
        <s v="Performance Solutions SPG"/>
        <s v="Performance Solutions Braking"/>
        <s v="Tax"/>
        <s v="Gliwice - Performance Solutions"/>
        <s v="Patiala - Pistons"/>
        <s v="Cardiff"/>
        <s v="Aartselaar/Kontich"/>
        <s v="Los Reyes"/>
        <s v="Reynosa"/>
        <s v="Stadtallendorf"/>
        <s v="Chivasso"/>
        <s v="Dacice"/>
        <s v="Parwanoo - Bearings"/>
        <s v="Bawal"/>
        <s v="Waupun"/>
        <s v="Shared Services Center - AP (IceCo)"/>
        <s v="Shared Services Center - AR (IceCo)"/>
        <s v="Shared Services Center - GL (DRiV)"/>
        <s v="Bhiwadi SPG"/>
        <s v="Bhiwadi (Ignition)"/>
        <s v="Hosur"/>
        <s v="Performance Solutions"/>
        <s v="Tenneco"/>
        <s v="Celaya"/>
        <s v="Wiesbaden"/>
        <s v="Tres Coracoes"/>
        <s v="Argentina Aftermarket"/>
        <s v="Argentina Bearings and Pistons"/>
        <s v="Angola"/>
        <s v="Leasing Center of Excellence"/>
        <s v="Mogi Mirim (Clean Air)"/>
        <s v="Blacksburg"/>
        <s v="Regional Aftmkt - NAM (excludes Mexico)"/>
        <s v="GVT Brazil (Santo Andre)"/>
        <s v="Chongqing (Performance Solutions)"/>
        <s v="Madrid DC"/>
        <s v="Greenville"/>
        <s v="Cotia"/>
        <s v="Smyrna"/>
        <s v="Lansing"/>
        <s v="Skokie MFG"/>
        <s v="Shared Services Center  - GL (IceCo)"/>
        <s v="Shared Services Center  - AR (DRiV)"/>
        <s v="Beck/Arnley"/>
        <s v="Corporate Accounting"/>
        <s v="Skokie DC"/>
        <s v="Gdansk"/>
        <s v="Patiala"/>
        <s v="China AM Trading"/>
        <s v="Grass Lake"/>
        <s v="New Delhi (FMG)"/>
        <s v="Barcelona"/>
        <s v="Tepotzotlan - OE"/>
        <s v="Bhiwadi (FMG)"/>
        <s v="Ermua"/>
        <s v="Sealing JV Victor Gaskets"/>
        <s v="Regional Clean Air North America"/>
        <s v="Bangalore - Steel Rings"/>
        <s v="Bangalore - Pistons"/>
        <s v="Bangalore - Rings"/>
        <s v="South Bend"/>
        <s v="Ploiesti"/>
        <s v="Napoleon"/>
        <s v="Meadowview"/>
        <s v="Shared Services Center - AR (PS)"/>
        <s v="NATC/USDC"/>
        <s v="Brunswick"/>
        <s v="Athens"/>
        <s v="Changzhou"/>
        <s v="Burscheid"/>
        <s v="Elkhart"/>
        <s v="Braking America"/>
        <s v="Smithville (Performance Solutions)"/>
        <s v="Puebla - Bearings"/>
        <s v="Rosario"/>
        <s v="Cambridge"/>
        <s v="Tenneco Romania Services (Bucharest Corporate)"/>
        <s v="DRiV Romania Services (Bucharest DRiV)"/>
        <s v="Shanghai"/>
        <s v="Marshall"/>
        <s v="Araras"/>
        <s v="Chonburi (Clean Air)"/>
        <s v="Coventry"/>
        <s v="Vallejo"/>
        <s v="Tepotzotlan - Sealing Systems"/>
        <s v="Litchfield"/>
        <s v="Puebla II (FINSA)"/>
        <s v="Herdorf"/>
        <s v="Arendal"/>
        <s v="Carpi"/>
        <s v="Port Elizabeth ( PT)"/>
        <s v="Ayutthaya"/>
        <s v="Orléans"/>
        <s v="Chennai (Clean Air)"/>
        <s v="Puebla - Pistons"/>
        <s v="Badalona"/>
        <s v="Beckedorf"/>
        <s v="Chapel-en-le-Frith"/>
        <s v="Glinde"/>
        <s v="Hannover"/>
        <s v="Japan OE"/>
        <s v="Korea SP"/>
        <s v="Laguna SP"/>
        <s v="Milan"/>
        <s v="Chasseneuil"/>
        <s v="Mondovi"/>
        <s v="Aguascalientes II"/>
        <s v="Puebla I"/>
        <s v="Clean Air Mexico Central"/>
        <s v="New Delhi - Aftermarket"/>
        <s v="Dresden"/>
        <s v="Tenneco Japan PS OE Warehouse"/>
        <s v="Cuorgne"/>
        <s v="Sint Truiden"/>
        <s v="Rybnik Shared Services"/>
        <s v="Performance Solutions NVH"/>
      </sharedItems>
    </cacheField>
    <cacheField name="Business Segment" numFmtId="0">
      <sharedItems count="7">
        <s v="Performance Solutions"/>
        <s v="Corporate"/>
        <s v="Powertrain"/>
        <s v="DRiV"/>
        <s v="IceCo (Shared Services)"/>
        <s v="Champion"/>
        <s v="Clean Air"/>
      </sharedItems>
    </cacheField>
    <cacheField name="Product Group/Region" numFmtId="0">
      <sharedItems count="30">
        <s v="Monroe Ride Solutions (Performance Solutions) - APAC"/>
        <s v="Systems Protection (Performance Solutions) - APAC"/>
        <s v="OE Braking (Performance Solutions) - EMEA"/>
        <s v="Corporate"/>
        <s v="Monroe Ride Solutions (Performance Solutions) - EMEA"/>
        <s v="India (Powertrain)"/>
        <s v="EMEA (DRiV)"/>
        <s v="Americas (DRiV)"/>
        <s v="NVH (Performance Solutions) - Americas"/>
        <s v="EMEA (Powertrain)"/>
        <s v="Americas (Powertrain)"/>
        <s v="Shared Services (IceCo)"/>
        <s v="Shared Services (DRiV)"/>
        <s v="India (Champion Ignition)"/>
        <s v="Corporate (Performance Solutions)"/>
        <s v="Monroe Ride Solutions (Performance Solutions) - Americas"/>
        <s v="South America (Clean Air)"/>
        <s v="OE Braking (Performance Solutions) - APAC"/>
        <s v="North America (Clean Air)"/>
        <s v="Asia Pacific (DRiV)"/>
        <s v="Corporate (Powertrain)"/>
        <s v="OE Braking (Performance Solutions) - Americas"/>
        <s v="Shared Service (Performance Solutions)"/>
        <s v="Americas (Champion Ignition)"/>
        <s v="Corporate (DRiV)"/>
        <s v="Asia Pacific (Clean Air)"/>
        <s v="Europe (Clean Air)"/>
        <s v="EMEA (Champion Ignition)"/>
        <s v="India (Clean Air)"/>
        <s v="NVH (Performance Solutions) - EMEA"/>
      </sharedItems>
    </cacheField>
    <cacheField name="Process" numFmtId="0">
      <sharedItems/>
    </cacheField>
    <cacheField name="Sub-Process" numFmtId="0">
      <sharedItems/>
    </cacheField>
    <cacheField name="Issue Classification" numFmtId="0">
      <sharedItems count="44">
        <s v="Account Reconciliations - Unapproved / Unsupported / Not done / Not Timely"/>
        <s v="Compliances - Statutory compliances not met"/>
        <s v="Physical Security concerns"/>
        <s v="Payroll non-compliances"/>
        <s v="Banking - Regulatory Non-Compliance / Authorized Signatory not updated"/>
        <s v="Purchasing - Inadequate Process / Unapproved PO / SA"/>
        <s v="Fixed Assets - Inadequate review / management"/>
        <s v="Fixed Assets - Physical Inventory Issues"/>
        <s v="EH&amp;S - Non-Compliances"/>
        <s v="AR - Ageing not performed"/>
        <s v="Master Data - Unapproved / Unsupported / Incorrect Updates"/>
        <s v="Fixed Assets - Spends beyond 110% of Cart Approvals"/>
        <s v="Access - Excessive Accesses / Delayed Termination / Password Sharing"/>
        <s v="Inventory - GRN Delays"/>
        <s v="Improper approvals"/>
        <s v="T&amp;E - Non-Compliance to Policy/ Concur related issues"/>
        <s v="Bank Access - H2H not configured / Manual Load / improper access "/>
        <s v="Delayed invoice bookkeeping / Duplicate Invoice checks"/>
        <s v="Manual Journal Entries - Unsupported/ Unapproved / Posting delays"/>
        <s v="Aged / Unsupported Balances"/>
        <s v="Inventory - Count / Adjustment related Issues"/>
        <s v="Documentation non-compliance"/>
        <s v="FSCP - Month End Reviews not performed / comprehensive"/>
        <s v="Fixed Assets - Inaccurate Depreciation"/>
        <s v="Fixed Assets - Delayed / Incorrect Capitalization"/>
        <s v="Revenue recognition-Sales Cut off not per INCO Terms / Unsupported"/>
        <s v="Non-Compliance - HR Regulatory"/>
        <s v="Inventory - In transit not per policy"/>
        <s v="Inventory - Inaccurate Valuation"/>
        <s v="Aged Open PO / SA Lines"/>
        <s v="Inventory - Unapproved / Out of Policy Reserves Calculations"/>
        <s v="Policies - Not Updated / Does not exist"/>
        <s v="HR Process - Non-Compliance to policy"/>
        <s v="Inventory - Scrap recording delays / Contracts &amp; Sale process not per policy"/>
        <s v="Self-testing not completed timely/ not updated as per guidelines"/>
        <s v="Periodic reviews not performed as per policy"/>
        <s v="Inadequate certification process"/>
        <s v="Inventory - Production recording delays"/>
        <s v="Inventory - Consignment stocks not per policy"/>
        <s v="Inadequate CIP analysis"/>
        <s v="IT - Backups"/>
        <s v="Customer Reimb Tooling not per policy"/>
        <s v="Unapproved Payments"/>
        <s v="Credit Limits exceeded"/>
      </sharedItems>
    </cacheField>
    <cacheField name="Rating" numFmtId="0">
      <sharedItems/>
    </cacheField>
    <cacheField name="Control ID" numFmtId="0">
      <sharedItems/>
    </cacheField>
    <cacheField name="Other Controls/Issues Reference" numFmtId="0">
      <sharedItems/>
    </cacheField>
    <cacheField name="Issue Source" numFmtId="0">
      <sharedItems/>
    </cacheField>
    <cacheField name="Control Description/Short Issue Description" numFmtId="0">
      <sharedItems/>
    </cacheField>
    <cacheField name="Deficiency Explanation/Issue Background" numFmtId="0">
      <sharedItems longText="1"/>
    </cacheField>
    <cacheField name="Repeat Issue" numFmtId="0">
      <sharedItems/>
    </cacheField>
    <cacheField name="Audit Recommendation" numFmtId="0">
      <sharedItems longText="1"/>
    </cacheField>
    <cacheField name="Management Action Plan" numFmtId="0">
      <sharedItems longText="1"/>
    </cacheField>
    <cacheField name="Action Plan IT Dependent" numFmtId="0">
      <sharedItems count="3">
        <s v="No"/>
        <s v=""/>
        <s v="Yes"/>
      </sharedItems>
    </cacheField>
    <cacheField name="Target Completion Date" numFmtId="14">
      <sharedItems containsSemiMixedTypes="0" containsNonDate="0" containsDate="1" containsString="0" minDate="2024-12-20T00:00:00" maxDate="2027-01-01T00:00:00" count="33">
        <d v="2024-12-31T00:00:00"/>
        <d v="2025-12-31T00:00:00"/>
        <d v="2024-12-20T00:00:00"/>
        <d v="2025-11-30T00:00:00"/>
        <d v="2025-09-30T00:00:00"/>
        <d v="2025-06-30T00:00:00"/>
        <d v="2025-08-31T00:00:00"/>
        <d v="2026-05-01T00:00:00"/>
        <d v="2026-01-31T00:00:00"/>
        <d v="2025-07-31T00:00:00"/>
        <d v="2025-10-31T00:00:00"/>
        <d v="2026-03-31T00:00:00"/>
        <d v="2026-12-31T00:00:00"/>
        <d v="2026-06-30T00:00:00"/>
        <d v="2025-10-30T00:00:00"/>
        <d v="2025-12-30T00:00:00"/>
        <d v="2026-01-15T00:00:00"/>
        <d v="2025-11-01T00:00:00"/>
        <d v="2025-11-15T00:00:00"/>
        <d v="2025-12-15T00:00:00"/>
        <d v="2025-10-17T00:00:00"/>
        <d v="2026-02-28T00:00:00"/>
        <d v="2025-12-12T00:00:00"/>
        <d v="2025-11-14T00:00:00"/>
        <d v="2025-11-24T00:00:00"/>
        <d v="2026-01-30T00:00:00"/>
        <d v="2025-11-28T00:00:00"/>
        <d v="2025-10-15T00:00:00"/>
        <d v="2026-09-30T00:00:00"/>
        <d v="2026-01-01T00:00:00"/>
        <d v="2026-02-15T00:00:00"/>
        <d v="2025-12-29T00:00:00"/>
        <d v="2025-11-05T00:00:00"/>
      </sharedItems>
      <fieldGroup par="56"/>
    </cacheField>
    <cacheField name="Target Completion Date Reference" numFmtId="0">
      <sharedItems/>
    </cacheField>
    <cacheField name="Issue Owner" numFmtId="0">
      <sharedItems/>
    </cacheField>
    <cacheField name="Issue Status" numFmtId="0">
      <sharedItems/>
    </cacheField>
    <cacheField name="Remediation Effective Date" numFmtId="0">
      <sharedItems containsDate="1" containsMixedTypes="1" minDate="2025-12-31T00:00:00" maxDate="2026-01-01T00:00:00"/>
    </cacheField>
    <cacheField name="Days Till Due" numFmtId="0">
      <sharedItems count="4">
        <s v="Past Due"/>
        <s v="Current (31-60)"/>
        <s v="Current (1-30)"/>
        <s v="Current (60+)"/>
      </sharedItems>
    </cacheField>
    <cacheField name="Management Comments" numFmtId="0">
      <sharedItems longText="1"/>
    </cacheField>
    <cacheField name="IAD Concurrence" numFmtId="0">
      <sharedItems/>
    </cacheField>
    <cacheField name="IAD Concurrence Status" numFmtId="0">
      <sharedItems/>
    </cacheField>
    <cacheField name="IAD Owner" numFmtId="0">
      <sharedItems/>
    </cacheField>
    <cacheField name="Assertions" numFmtId="0">
      <sharedItems/>
    </cacheField>
    <cacheField name="Does Deficiency relate directly to the achievement of one or more financial assertions" numFmtId="0">
      <sharedItems/>
    </cacheField>
    <cacheField name="Is likelihood reasonably possible?" numFmtId="0">
      <sharedItems/>
    </cacheField>
    <cacheField name="Value of transactions or accounts exposed or exepected to be exposed in the deficiency" numFmtId="0">
      <sharedItems/>
    </cacheField>
    <cacheField name="Potential Magnitude" numFmtId="0">
      <sharedItems/>
    </cacheField>
    <cacheField name="Document the factors considered in determining likelihood and magnitude" numFmtId="0">
      <sharedItems/>
    </cacheField>
    <cacheField name="Do Compensating Controls Exist?" numFmtId="0">
      <sharedItems/>
    </cacheField>
    <cacheField name="Compensating Controls" numFmtId="0">
      <sharedItems/>
    </cacheField>
    <cacheField name="Description of Compensating Controls" numFmtId="0">
      <sharedItems/>
    </cacheField>
    <cacheField name="Is the deficiency important enough to merit attention of financial reporting?" numFmtId="0">
      <sharedItems/>
    </cacheField>
    <cacheField name="Document Rationale" numFmtId="0">
      <sharedItems/>
    </cacheField>
    <cacheField name="Would individual conclude the deficiency is a material weakness" numFmtId="0">
      <sharedItems/>
    </cacheField>
    <cacheField name="Document Rationale2" numFmtId="0">
      <sharedItems/>
    </cacheField>
    <cacheField name="Are there multiple control deficiencies that affect same fs account balance or disclosure?" numFmtId="0">
      <sharedItems/>
    </cacheField>
    <cacheField name="Aggregation Description" numFmtId="0">
      <sharedItems/>
    </cacheField>
    <cacheField name="Deficiency Determination" numFmtId="0">
      <sharedItems/>
    </cacheField>
    <cacheField name="Management Rationale" numFmtId="0">
      <sharedItems/>
    </cacheField>
    <cacheField name="Date Found" numFmtId="0">
      <sharedItems containsDate="1" containsMixedTypes="1" minDate="2023-06-30T00:00:00" maxDate="2026-03-09T00:00:00"/>
    </cacheField>
    <cacheField name="Date Reported" numFmtId="0">
      <sharedItems containsDate="1" containsMixedTypes="1" minDate="2023-09-20T00:00:00" maxDate="2027-02-09T00:00:00"/>
    </cacheField>
    <cacheField name="Creation Date" numFmtId="0">
      <sharedItems/>
    </cacheField>
    <cacheField name="11/21/2025" numFmtId="2">
      <sharedItems containsSemiMixedTypes="0" containsString="0" containsNumber="1" containsInteger="1" minValue="-405" maxValue="336"/>
    </cacheField>
    <cacheField name="Aging Buckets" numFmtId="2">
      <sharedItems count="4">
        <s v="10-12 months"/>
        <e v="#N/A"/>
        <s v="&lt; 3 months"/>
        <s v="3-6 months"/>
      </sharedItems>
    </cacheField>
    <cacheField name="Current/ past due" numFmtId="0">
      <sharedItems count="2">
        <s v="Past Due"/>
        <s v="Current"/>
      </sharedItems>
    </cacheField>
    <cacheField name="Months (Target Completion Date)" numFmtId="0" databaseField="0">
      <fieldGroup base="21">
        <rangePr groupBy="months" startDate="2024-12-20T00:00:00" endDate="2027-01-01T00:00:00"/>
        <groupItems count="14">
          <s v="&lt;12/20/2024"/>
          <s v="Jan"/>
          <s v="Feb"/>
          <s v="Mar"/>
          <s v="Apr"/>
          <s v="May"/>
          <s v="Jun"/>
          <s v="Jul"/>
          <s v="Aug"/>
          <s v="Sep"/>
          <s v="Oct"/>
          <s v="Nov"/>
          <s v="Dec"/>
          <s v="&gt;1/1/2027"/>
        </groupItems>
      </fieldGroup>
    </cacheField>
    <cacheField name="Quarters (Target Completion Date)" numFmtId="0" databaseField="0">
      <fieldGroup base="21">
        <rangePr groupBy="quarters" startDate="2024-12-20T00:00:00" endDate="2027-01-01T00:00:00"/>
        <groupItems count="6">
          <s v="&lt;12/20/2024"/>
          <s v="Qtr1"/>
          <s v="Qtr2"/>
          <s v="Qtr3"/>
          <s v="Qtr4"/>
          <s v="&gt;1/1/2027"/>
        </groupItems>
      </fieldGroup>
    </cacheField>
    <cacheField name="Years (Target Completion Date)" numFmtId="0" databaseField="0">
      <fieldGroup base="21">
        <rangePr groupBy="years" startDate="2024-12-20T00:00:00" endDate="2027-01-01T00:00:00"/>
        <groupItems count="6">
          <s v="&lt;12/20/2024"/>
          <s v="2024"/>
          <s v="2025"/>
          <s v="2026"/>
          <s v="2027"/>
          <s v="&gt;1/1/2027"/>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s v="TEN-1000"/>
    <s v="2023"/>
    <x v="0"/>
    <s v=""/>
    <x v="0"/>
    <x v="0"/>
    <x v="0"/>
    <x v="0"/>
    <s v="Reconciliations"/>
    <s v=""/>
    <x v="0"/>
    <s v="Moderate"/>
    <s v="PEFR-68"/>
    <s v=""/>
    <s v=""/>
    <s v="Inadequate Finance Director review of Account Reconciliations (PEFR-68)."/>
    <s v="Background: The following deficiencies were noted in the Performance Solutions Finance Director review of Account Reconciliations:_x000a_The Finance Director of Monroe Ride Solutions (MRS) did not perform the annual review of balance sheet account reconciliation in accordance with the Global Policy SPI 0-01._x000a__x000a_Risk: Lack of an adequate balance sheet account reconciliation process increases the risk of continued account reconciliation issues at the location level, inaccurate balance sheet accounts and financial misstatements."/>
    <s v=""/>
    <s v="Business Unit management should implement a process to review all account reconciliations on all ledgers that fall under their responsibility on an annual basis._x000a__x000a_Evidence of this review should be shared with the Business Unit CFO and maintained locally for review upon request."/>
    <s v="The MRS Global Finance Director will implement a process to ensure that all account reconciliations for ledgers under Global MRS are reviewed annually.  _x000a_The review of the individual accounts will be performed by the Performance Solutions Business Unit Controller and a subset of those reconciliations will be reviewed by the Finance Director in accordance with the Global Policy."/>
    <x v="0"/>
    <x v="0"/>
    <s v=""/>
    <s v="Rolf Bartels, Finance Director, MRS Global"/>
    <s v="Open"/>
    <s v=""/>
    <x v="0"/>
    <s v=""/>
    <s v=""/>
    <s v="Not Completed"/>
    <s v="Pagnucci"/>
    <s v="A, C, CO, E/O, P&amp;D, R&amp;O, V"/>
    <s v=""/>
    <s v=""/>
    <s v=""/>
    <s v=""/>
    <s v=""/>
    <s v=""/>
    <s v=""/>
    <s v=""/>
    <s v=""/>
    <s v=""/>
    <s v=""/>
    <s v=""/>
    <s v=""/>
    <s v=""/>
    <s v=""/>
    <s v=""/>
    <s v=""/>
    <s v=""/>
    <s v="03/12/2024"/>
    <n v="325"/>
    <x v="0"/>
    <x v="0"/>
  </r>
  <r>
    <s v="TEN-1001"/>
    <s v="2023"/>
    <x v="0"/>
    <s v=""/>
    <x v="0"/>
    <x v="1"/>
    <x v="0"/>
    <x v="1"/>
    <s v="Reconciliations"/>
    <s v=""/>
    <x v="0"/>
    <s v="Moderate"/>
    <s v="PEFR-68"/>
    <s v=""/>
    <s v=""/>
    <s v="Inadequate Finance Director review of Account Reconciliations (PEFR-68)."/>
    <s v="Background: The following deficiencies were noted in the Performance Solutions Finance Director review of Account Reconciliations:_x000a_The Finance Director of SPG did not perform the annual review of balance sheet account reconciliation in accordance with the Global Policy SPI 0-01._x000a__x000a_Risk: Lack of an adequate balance sheet account reconciliation process increases the risk of continued account reconciliation issues at the location level, inaccurate balance sheet accounts and financial misstatements."/>
    <s v=""/>
    <s v="Business Unit management should implement a process to review all account reconciliations on all ledgers that fall under their responsibility on an annual basis._x000a__x000a_Evidence of this review should be shared with the Business Unit CFO and maintained locally for review upon request."/>
    <s v="The SPG Global Finance Director will implement a process to ensure that all account reconciliations for ledgers under Global SPG are reviewed annually.  _x000a_The review of the individual accounts will be performed by the Performance Solutions Business Unit Controller and a subset of those reconciliations will be reviewed by the Finance Director in accordance with the Global Policy."/>
    <x v="0"/>
    <x v="0"/>
    <s v=""/>
    <s v="Carlos De Sa Freire, Finance Director, SPG Global"/>
    <s v="Open"/>
    <s v=""/>
    <x v="0"/>
    <s v=""/>
    <s v=""/>
    <s v="Not Completed"/>
    <s v="Pagnucci"/>
    <s v="A, C, CO, E/O, P&amp;D, R&amp;O, V"/>
    <s v=""/>
    <s v=""/>
    <s v=""/>
    <s v=""/>
    <s v=""/>
    <s v=""/>
    <s v=""/>
    <s v=""/>
    <s v=""/>
    <s v=""/>
    <s v=""/>
    <s v=""/>
    <s v=""/>
    <s v=""/>
    <s v=""/>
    <s v=""/>
    <s v=""/>
    <s v=""/>
    <s v="03/12/2024"/>
    <n v="325"/>
    <x v="0"/>
    <x v="0"/>
  </r>
  <r>
    <s v="TEN-1002"/>
    <s v="2023"/>
    <x v="0"/>
    <s v=""/>
    <x v="0"/>
    <x v="2"/>
    <x v="0"/>
    <x v="2"/>
    <s v="Reconciliations"/>
    <s v=""/>
    <x v="0"/>
    <s v="Moderate"/>
    <s v="PEFR-68"/>
    <s v=""/>
    <s v=""/>
    <s v="Inadequate Finance Director review of Account Reconciliations (PEFR-68)."/>
    <s v="Background: The following deficiencies were noted in the Performance Solutions Finance Director review of Account Reconciliations:_x000a_The Finance Director of Braking did not perform the annual review of balance sheet account reconciliation in accordance with the Global Policy SPI 0-01._x000a__x000a_Risk: Lack of an adequate balance sheet account reconciliation process increases the risk of continued account reconciliation issues at the location level, inaccurate balance sheet accounts and financial misstatements."/>
    <s v=""/>
    <s v="Business Unit management should implement a process to review all account reconciliations on all ledgers that fall under their responsibility on an annual basis._x000a__x000a_Evidence of this review should be shared with the Business Unit CFO and maintained locally for review upon request."/>
    <s v="The Braking Global Finance Director will implement a process to ensure that all account reconciliations for ledgers under Global Braking are reviewed annually.  _x000a_The review of the individual accounts will be performed by the Performance Solutions Business Unit Controller and a subset of those reconciliations will be reviewed by the Finance Director in accordance with the Global Policy."/>
    <x v="0"/>
    <x v="0"/>
    <s v=""/>
    <s v="Saul Ramos Villela, Finance Director, Braking Global"/>
    <s v="Open"/>
    <s v=""/>
    <x v="0"/>
    <s v=""/>
    <s v=""/>
    <s v="Not Completed"/>
    <s v="Pagnucci"/>
    <s v="A, C, CO, E/O, P&amp;D, R&amp;O, V"/>
    <s v=""/>
    <s v=""/>
    <s v=""/>
    <s v=""/>
    <s v=""/>
    <s v=""/>
    <s v=""/>
    <s v=""/>
    <s v=""/>
    <s v=""/>
    <s v=""/>
    <s v=""/>
    <s v=""/>
    <s v=""/>
    <s v=""/>
    <s v=""/>
    <s v=""/>
    <s v=""/>
    <s v="03/12/2024"/>
    <n v="325"/>
    <x v="0"/>
    <x v="0"/>
  </r>
  <r>
    <s v="TEN-1003"/>
    <s v="2023"/>
    <x v="1"/>
    <s v=""/>
    <x v="0"/>
    <x v="3"/>
    <x v="1"/>
    <x v="3"/>
    <s v="Taxes"/>
    <s v=""/>
    <x v="1"/>
    <s v=""/>
    <s v="TAXE-19, TAXE-21, TAXE-30"/>
    <s v=""/>
    <s v="Tax - Corporate - Deloitte Identified"/>
    <s v="An aggregate significant deficiency was identified related to tax controls (TAXE-19, TAXE-21, TAXE-30)."/>
    <s v="Background: The Company has designed and implemented internal controls over the quarter and year-end closing process for income taxes. Certain controls were not operating effectively as a result of either the lack of timely or effective reviews due to resource constraints, resulting in multiple financial statement adjustments in the areas of transfer pricing, value-added tax, uncertain tax positions, and deferred income taxes._x000a__x000a_The following specific controls failures were identified:_x000a_•_x0009_An uncertain tax position for a transfer pricing matter was recorded in Czechia for $25 million. This was identified as a late entry and recorded._x000a_•_x0009_A $12 million reclassification between current and long-term liabilities for uncertain tax positions payable in the next twelve months was recorded as a late adjustment._x000a_•_x0009_Deloitte identified a $29 million balance sheet reclassification related to the year-end VAT netting entry._x000a_•_x0009_An uncorrected $4 million entry was identified by Deloitte related to a Poland deferred tax valuation allowance_x000a__x000a_Risk: Tax account balances may by misstated."/>
    <s v=""/>
    <s v=""/>
    <s v="Management will perform the following:_x000a_•_x0009_The key issue related to the controls is the speed need to close the books. During the year end close, the tax department received tax entries from several jurisdictions that required significant revisions which took away from the review of items related to uncertain tax positions and valuation allowances._x000a_•_x0009_The tax department will look to accelerate the close process thru moving foreign entities to a November hard close, with a simplified provision for December. Local country tax provisions will be reviewed during the December time frame._x000a_•_x0009_We will review our resource model to ensure we have expertise in the appropriate areas. The company is subject to newly enacted complex laws related to BEPS and is subject to increasing scrutiny related to transfer pricing. The department has significant knowledge of transfer pricing issues but lacks a technical expert to drive strategy/documentation for worldwide transfer pricing._x000a_•_x0009_The company will look to drive efficiency and effectiveness in the close process by looking for opportunities to further automate the provision process. "/>
    <x v="1"/>
    <x v="0"/>
    <s v=""/>
    <s v="Kevin Peterson, Director Tax Reporting &amp; Audits"/>
    <s v="Open"/>
    <s v=""/>
    <x v="0"/>
    <s v=""/>
    <s v=""/>
    <s v="Not Completed"/>
    <s v="Pagnucci"/>
    <s v="A, C, E/O, V"/>
    <s v=""/>
    <s v=""/>
    <s v=""/>
    <s v=""/>
    <s v=""/>
    <s v=""/>
    <s v=""/>
    <s v=""/>
    <s v=""/>
    <s v=""/>
    <s v=""/>
    <s v=""/>
    <s v=""/>
    <s v=""/>
    <s v=""/>
    <s v=""/>
    <s v=""/>
    <d v="2024-03-14T00:00:00"/>
    <s v="03/14/2024"/>
    <n v="325"/>
    <x v="0"/>
    <x v="0"/>
  </r>
  <r>
    <s v="TEN-1049"/>
    <s v="2023"/>
    <x v="0"/>
    <s v=""/>
    <x v="1"/>
    <x v="4"/>
    <x v="0"/>
    <x v="4"/>
    <s v="Physical Security"/>
    <s v=""/>
    <x v="2"/>
    <s v="Moderate"/>
    <s v=""/>
    <s v=""/>
    <s v="Gliwice Monroe Ride Solutions, Poland - Full Scope"/>
    <s v="The physical security of the plant requires improvement. "/>
    <s v="Background: The Gliwice plant uses CCTV camera system that were monitored from the main security station. CCTV recording was maintained for period of only 30 days instead of corporate standard of 45 days._x000a__x000a_Risk: The lack of a longer retention period of fully the security camera system limits the location’s ability to monitor safety and security risks and to review past events in the event of an incident. "/>
    <s v=""/>
    <s v="CCTV recording should be maintained for 45 days. "/>
    <s v="Company is under revision of IT systems upgrade (CAPEX) to enable at least 45 days recording time._x000a__x000a_We are in process of introducing CAR for approval. If approval is not approved, we will  approach Global Security to grant a deviation from the policy."/>
    <x v="1"/>
    <x v="0"/>
    <s v=""/>
    <s v="Jakub Grygiel - EHS Manager"/>
    <s v="Open"/>
    <s v=""/>
    <x v="0"/>
    <s v="Still 30 days. Capex needs to be identified, necessary to apply for extra capex."/>
    <s v=""/>
    <s v="Not Completed"/>
    <s v="Gupta"/>
    <s v=""/>
    <s v=""/>
    <s v=""/>
    <s v=""/>
    <s v=""/>
    <s v=""/>
    <s v=""/>
    <s v=""/>
    <s v=""/>
    <s v=""/>
    <s v=""/>
    <s v=""/>
    <s v=""/>
    <s v=""/>
    <s v=""/>
    <s v=""/>
    <s v=""/>
    <d v="2023-10-27T00:00:00"/>
    <d v="2024-05-14T00:00:00"/>
    <s v="05/14/2024"/>
    <n v="325"/>
    <x v="0"/>
    <x v="0"/>
  </r>
  <r>
    <s v="TEN-1155"/>
    <s v="2024"/>
    <x v="2"/>
    <s v=""/>
    <x v="0"/>
    <x v="5"/>
    <x v="2"/>
    <x v="5"/>
    <s v="Payroll"/>
    <s v=""/>
    <x v="3"/>
    <s v=""/>
    <s v="PAYR-22"/>
    <s v=""/>
    <s v="Patiala-Pistons (Powertrain) - Management Self-Testing"/>
    <s v=""/>
    <s v="&quot;As per HR there is no Payroll register in SAP upto Jun-24 from Jul-24 same is developed in SAP &amp; new flexi pay component arrear amount is under configuration_x000a_Timeline is Aug-24&quot;"/>
    <s v=""/>
    <s v=""/>
    <s v="HR Team is closely working with IT team for Payroll Register,  Same will be available by Oct-24"/>
    <x v="2"/>
    <x v="1"/>
    <s v="AG - Date changed on request of Dana as IT solution is expected by April 30, 2025."/>
    <s v="HR Department (Shubhankar Malakar)Head HR"/>
    <s v="Open"/>
    <s v=""/>
    <x v="1"/>
    <s v=""/>
    <s v=""/>
    <s v="N/A"/>
    <s v="Gupta"/>
    <s v="A, C, CO, E/O, P&amp;D, R&amp;O, V"/>
    <s v=""/>
    <s v=""/>
    <s v=""/>
    <s v=""/>
    <s v=""/>
    <s v=""/>
    <s v=""/>
    <s v=""/>
    <s v=""/>
    <s v=""/>
    <s v=""/>
    <s v=""/>
    <s v=""/>
    <s v=""/>
    <s v=""/>
    <s v=""/>
    <s v=""/>
    <d v="2024-09-23T00:00:00"/>
    <s v="09/23/2024"/>
    <n v="-40"/>
    <x v="1"/>
    <x v="1"/>
  </r>
  <r>
    <s v="TEN-1227"/>
    <s v="2024"/>
    <x v="2"/>
    <s v=""/>
    <x v="0"/>
    <x v="6"/>
    <x v="1"/>
    <x v="3"/>
    <s v="Treasury - Cash and Investments"/>
    <s v=""/>
    <x v="4"/>
    <s v=""/>
    <s v="TRSY-03"/>
    <s v=""/>
    <s v="Cardiff (DRiV) - Management Self-Testing"/>
    <s v=""/>
    <s v="Return was not completed due to transfer of responsibility for the business from Cardiff to Chapel."/>
    <s v=""/>
    <s v=""/>
    <s v="Plant Controller will review the current signatories and ensure updated accordingly."/>
    <x v="0"/>
    <x v="2"/>
    <s v=""/>
    <s v="Ian Greenwood"/>
    <s v="Open"/>
    <s v=""/>
    <x v="0"/>
    <s v=""/>
    <s v=""/>
    <s v="N/A"/>
    <s v="Gupta"/>
    <s v="E/O"/>
    <s v=""/>
    <s v=""/>
    <s v=""/>
    <s v=""/>
    <s v=""/>
    <s v=""/>
    <s v=""/>
    <s v=""/>
    <s v=""/>
    <s v=""/>
    <s v=""/>
    <s v=""/>
    <s v=""/>
    <s v=""/>
    <s v=""/>
    <s v=""/>
    <s v=""/>
    <d v="2024-12-09T00:00:00"/>
    <s v="12/09/2024"/>
    <n v="336"/>
    <x v="0"/>
    <x v="0"/>
  </r>
  <r>
    <s v="TEN-1341"/>
    <s v="2024"/>
    <x v="3"/>
    <s v=""/>
    <x v="0"/>
    <x v="7"/>
    <x v="3"/>
    <x v="6"/>
    <s v="Reconciliations"/>
    <s v="Adjustments &amp; Period-end Close"/>
    <x v="0"/>
    <s v="Moderate"/>
    <s v="PEFR-68"/>
    <s v=""/>
    <s v="Aartselaar, Kontich (DRiV) - ICFR 2024"/>
    <s v="Long standing variances in finished goods inventory account have not been written-off/ adjusted within the main inventory account ledger."/>
    <s v="Background: We noted that for finished goods inventory account reconciliation, there was a variance of 31,357.5 EUR between the inventory account and the material-wise inventory subledger. This was duly noted within the supporting documents as an inventory adjustment. However, this is a long-standing variance which has not been adjusted within the main inventory account after due investigation and appears in monthly reconciliation as an adjustment entry. _x000a_Management represented that ERP does not allow for adjustment to main inventory account and ledgers are required to be open at backend for adjustment entry. _x000a__x000a_Risk: Adjustments posted subsequent to closing the general ledger (e.g., top-side or late adjustments) are not authorized, complete, accurate and supported with documentation."/>
    <s v=""/>
    <s v="Any variances between the general ledger and subledger (especially in cases of vital accounts with high risk) should be duly investigated and resolved within the main account ledger ensuring that the subledger balance agrees with the account balance with no further adjustments required._x000a__x000a_Location should work with ERP team to adjust the difference at account level. "/>
    <s v="This issue has been discussed with IT several years ago and was deemed to be not technically possible / too risky to resolve. Our external auditors have always been aware of the difference but this has never been an issue for them.  _x000a_For this issue we will raise a ticket with IT, push to ensure it receives the appropriate attention and keep IA in the loop on the status / discussions.  It is important to note that it might not be possible to resolve this issue."/>
    <x v="1"/>
    <x v="3"/>
    <s v=""/>
    <s v="Mike Haward, Director Finance Export"/>
    <s v="Open"/>
    <s v=""/>
    <x v="2"/>
    <s v=""/>
    <s v=""/>
    <s v="Not Completed"/>
    <s v="Gupta"/>
    <s v="A, C, CO, E/O, P&amp;D, R&amp;O, V"/>
    <s v=""/>
    <s v=""/>
    <s v=""/>
    <s v=""/>
    <s v=""/>
    <s v=""/>
    <s v=""/>
    <s v=""/>
    <s v=""/>
    <s v=""/>
    <s v=""/>
    <s v=""/>
    <s v=""/>
    <s v=""/>
    <s v=""/>
    <s v=""/>
    <s v=""/>
    <d v="2025-03-06T00:00:00"/>
    <s v="03/06/2025"/>
    <n v="-9"/>
    <x v="1"/>
    <x v="1"/>
  </r>
  <r>
    <s v="TEN-1377"/>
    <s v="2024"/>
    <x v="0"/>
    <s v=""/>
    <x v="1"/>
    <x v="8"/>
    <x v="3"/>
    <x v="7"/>
    <s v="Production and Inventory"/>
    <s v="Scrap Contracts"/>
    <x v="5"/>
    <s v="Moderate"/>
    <s v=""/>
    <s v=""/>
    <s v="Los Reyes (Performance Solutions) - Full Scope 2024"/>
    <s v="Management did not retain evidence of the bidding process for scrap vendor contracting."/>
    <s v="During the review of the scrap sales contracts, IAD observed bidding on scrap vendor lacks evidence of approval and documentation related to all bids obtained."/>
    <s v="No"/>
    <s v="Recommend management retain evidence of competitive bidding in any future contract negotiations with scrap vendors.​"/>
    <s v="Quarterly Bidding validation signed by Plant Manager and Controller"/>
    <x v="0"/>
    <x v="1"/>
    <s v=""/>
    <s v="Raúl Huitrón, Plant Manager Senior_x000a_Luis Gutierrez, Plant Controller'"/>
    <s v="Open"/>
    <s v=""/>
    <x v="1"/>
    <s v=" "/>
    <s v=""/>
    <s v="Not Completed"/>
    <s v="PWC"/>
    <s v=""/>
    <s v=""/>
    <s v=""/>
    <s v=""/>
    <s v=""/>
    <s v=""/>
    <s v=""/>
    <s v=""/>
    <s v=""/>
    <s v=""/>
    <s v=""/>
    <s v=""/>
    <s v=""/>
    <s v=""/>
    <s v=""/>
    <s v=""/>
    <s v=""/>
    <d v="2024-09-09T00:00:00"/>
    <d v="2024-05-15T00:00:00"/>
    <s v="06/04/2025"/>
    <n v="-40"/>
    <x v="1"/>
    <x v="1"/>
  </r>
  <r>
    <s v="TEN-1378"/>
    <s v="2024"/>
    <x v="0"/>
    <s v=""/>
    <x v="0"/>
    <x v="8"/>
    <x v="3"/>
    <x v="7"/>
    <s v="Property, Plant, and Equipment"/>
    <s v="Idle Asset Review"/>
    <x v="6"/>
    <s v="Moderate"/>
    <s v="PPAE-33"/>
    <s v=""/>
    <s v="Los Reyes (Performance Solutions) - Full Scope 2024"/>
    <s v="The location does not perform a review over Idle Assets​"/>
    <s v="There is no process in place to review idle assets at the facility. IAD confirmed through inquiry with the Production Manager that are idle assets on the plant floor. The list is identified based on the manager's experience; however, through confirmation with the Facility Manager and Plant Controller, no periodic review is conducted to determine the accurate number of assets in this category based on minimal usage."/>
    <s v="No"/>
    <s v="Management should implement an annual review process for idle assets, including the identification and documentation of assets with minimal usage. Evidence of the review should be retained even if no assets were identified.​"/>
    <s v="Introduction of a biannual review over the Idle Assets"/>
    <x v="0"/>
    <x v="1"/>
    <s v=""/>
    <s v="Raul Huitron, Plant Manager Senior Carlos García, Engineering Manager Luis Gutierrez​, Plant Controller"/>
    <s v="Open"/>
    <s v=""/>
    <x v="1"/>
    <s v=" "/>
    <s v=""/>
    <s v="Not Completed"/>
    <s v="PWC"/>
    <s v="V"/>
    <s v=""/>
    <s v=""/>
    <s v=""/>
    <s v=""/>
    <s v=""/>
    <s v=""/>
    <s v=""/>
    <s v=""/>
    <s v=""/>
    <s v=""/>
    <s v=""/>
    <s v=""/>
    <s v=""/>
    <s v=""/>
    <s v=""/>
    <s v=""/>
    <d v="2024-09-09T00:00:00"/>
    <d v="2024-05-15T00:00:00"/>
    <s v="06/04/2025"/>
    <n v="-40"/>
    <x v="1"/>
    <x v="1"/>
  </r>
  <r>
    <s v="TEN-1383"/>
    <s v="2024"/>
    <x v="0"/>
    <s v=""/>
    <x v="1"/>
    <x v="8"/>
    <x v="3"/>
    <x v="7"/>
    <s v="Physical Security"/>
    <s v="Security Cameras"/>
    <x v="2"/>
    <s v="Moderate"/>
    <s v=""/>
    <s v=""/>
    <s v="Los Reyes (Performance Solutions) - Full Scope 2024"/>
    <s v="Security Cameras at the plant were not in full compliance with company policy​"/>
    <s v="The following exceptions were noted related to the camera system compliance at the plant:​_x000a__x000a_1. Outdated Layout: The current security camera map is not up-to-date, with two cameras missing from the specifications. The system currently lists 47 devices instead of the expected 49.​_x000a__x000a_2. Obsolete Device: One physically obsolete camera has not been removed at the facility (located outside on the driveway).​_x000a__x000a_3. Non-Functional Cameras: Six cameras have been non-operational since August 18th, resulting in a 31-day period of downtime as of the IAD inspection date (September 18th 2024).​_x000a__x000a_4. Obstructed Camera View: At least one camera focusing on the vehicle entrance is physically obstructed by overgrown vegetation, hindering its functionality."/>
    <s v="No"/>
    <s v="Management should maintain security camera maps and escalate technical issues with security cameras to avoid extended downtime.​"/>
    <s v="Management will add a monthly validation by staff different member (not EHS) over the full compliance"/>
    <x v="0"/>
    <x v="1"/>
    <s v=""/>
    <s v="&quot;Raul Huitron, Plant Manager Senior_x000a_Hugo Meza, Quality Manager_x000a_Luis Gutierrez, Plant Controller&quot;_x000a_"/>
    <s v="Open"/>
    <s v=""/>
    <x v="1"/>
    <s v=" "/>
    <s v=""/>
    <s v="Not Completed"/>
    <s v="PWC"/>
    <s v=""/>
    <s v=""/>
    <s v=""/>
    <s v=""/>
    <s v=""/>
    <s v=""/>
    <s v=""/>
    <s v=""/>
    <s v=""/>
    <s v=""/>
    <s v=""/>
    <s v=""/>
    <s v=""/>
    <s v=""/>
    <s v=""/>
    <s v=""/>
    <s v=""/>
    <d v="2024-09-09T00:00:00"/>
    <d v="2024-05-15T00:00:00"/>
    <s v="06/04/2025"/>
    <n v="-40"/>
    <x v="1"/>
    <x v="1"/>
  </r>
  <r>
    <s v="TEN-1384"/>
    <s v="2024"/>
    <x v="0"/>
    <s v=""/>
    <x v="1"/>
    <x v="8"/>
    <x v="3"/>
    <x v="7"/>
    <s v="Treasury - Cash and Investments"/>
    <s v="Trade Compliance"/>
    <x v="1"/>
    <s v="Moderate"/>
    <s v=""/>
    <s v=""/>
    <s v="Los Reyes (Performance Solutions) - Full Scope 2024"/>
    <s v="Trade Compliance function is not adequately staffed  to track KPIs and provide adequate compliance functions.​"/>
    <s v="Per the location’s response to Trade Compliance questions, the location does not currently have enough staff to operate and provide adequate customs compliance. The location does also provide training regarding trade compliance outside of mandatory trainings required by HR.​"/>
    <s v="No"/>
    <s v="The location should assess the need to cross train current employees or acquire additional staff to make the trade compliance function adequate.​"/>
    <s v="We will introduce monthly review and validation over Trade compliance"/>
    <x v="0"/>
    <x v="1"/>
    <s v=""/>
    <s v="Raul Huitron, Plant Manager Senior Karla Cisneros, Material / Logistics Manager_x000a_"/>
    <s v="Open"/>
    <s v=""/>
    <x v="1"/>
    <s v=" "/>
    <s v=""/>
    <s v="Not Completed"/>
    <s v="PWC"/>
    <s v=""/>
    <s v=""/>
    <s v=""/>
    <s v=""/>
    <s v=""/>
    <s v=""/>
    <s v=""/>
    <s v=""/>
    <s v=""/>
    <s v=""/>
    <s v=""/>
    <s v=""/>
    <s v=""/>
    <s v=""/>
    <s v=""/>
    <s v=""/>
    <s v=""/>
    <d v="2024-09-09T00:00:00"/>
    <d v="2024-05-15T00:00:00"/>
    <s v="06/04/2025"/>
    <n v="-40"/>
    <x v="1"/>
    <x v="1"/>
  </r>
  <r>
    <s v="TEN-1407"/>
    <s v="2024"/>
    <x v="0"/>
    <s v=""/>
    <x v="0"/>
    <x v="9"/>
    <x v="0"/>
    <x v="8"/>
    <s v="Property, Plant, and Equipment"/>
    <s v="Fixed Asset Inventory"/>
    <x v="7"/>
    <s v="Moderate"/>
    <s v="PPAE-32, PPAE-33"/>
    <s v=""/>
    <s v="Reynosa (Performance Solutions) - Full Scope 2024"/>
    <s v="Lack of Documentation for Fixed Asset Inventory"/>
    <s v="According to company policy, a physical count of 100% of fixed assets is required every five years to ensure the accuracy of the fixed asset register. During the review of the 2020 Fixed Asset inventory conducted at Tenneco Reynosa, there was no standardized documentation available to verify the execution of the inventory. Key information, including the preparer, reviewer, results, and follow-up actions on discrepancies, was missing. ​_x000a__x000a_​_x000a__x000a_Additionally, there was no independent review to validate the inventory results or confirm that any differences were properly addressed. The absence of this documentation raises concerns about the accuracy of the fixed asset register and whether the inventory was conducted in line with company standards. This lack of records makes it difficult to verify that the fixed asset count was comprehensive and accurate, which is critical for maintaining the integrity of the company’s financial records."/>
    <s v="No"/>
    <s v="Management should implement a standardized process for conducting and documenting fixed asset inventories in accordance with company policy.​"/>
    <s v="Document floor mapping of equipment's for fixed assets inventory.​_x000a__x000a_Annual FA inventory will be perform this year.​_x000a__x000a_Standardized dated report of quarterly status with owner name"/>
    <x v="0"/>
    <x v="4"/>
    <s v=""/>
    <s v="Nubia Sanchez, Plant Controller"/>
    <s v="Open"/>
    <s v=""/>
    <x v="0"/>
    <s v=" "/>
    <s v=""/>
    <s v="Not Completed"/>
    <s v="PWC"/>
    <s v="A, C, E/O, V"/>
    <s v=""/>
    <s v=""/>
    <s v=""/>
    <s v=""/>
    <s v=""/>
    <s v=""/>
    <s v=""/>
    <s v=""/>
    <s v=""/>
    <s v=""/>
    <s v=""/>
    <s v=""/>
    <s v=""/>
    <s v=""/>
    <s v=""/>
    <s v=""/>
    <d v="2024-08-12T00:00:00"/>
    <d v="2024-05-15T00:00:00"/>
    <s v="06/04/2025"/>
    <n v="52"/>
    <x v="2"/>
    <x v="0"/>
  </r>
  <r>
    <s v="TEN-1408"/>
    <s v="2024"/>
    <x v="0"/>
    <s v=""/>
    <x v="1"/>
    <x v="9"/>
    <x v="0"/>
    <x v="8"/>
    <s v="Physical Security"/>
    <s v="Physical Security"/>
    <x v="2"/>
    <s v="Moderate"/>
    <s v=""/>
    <s v=""/>
    <s v="Reynosa (Performance Solutions) - Full Scope 2024"/>
    <s v="Use of Prohibited Security Cameras under NDAA Regulation"/>
    <s v="During the audit, it was observed that the plant had six Hikvision security cameras in operation, which are explicitly prohibited under both Tenneco’s internal security policy and the U.S. National Defense Authorization Act (NDAA) regulation. These cameras are classified as insecure due to their susceptibility to cybersecurity threats, including potential hacking. Tenneco’s policy strictly forbids the use of such cameras because they present a significant security risk, particularly in sensitive operational environments. ​_x000a__x000a_​_x000a__x000a_The NDAA regulation also bans the use of Hikvision and other specific brands in organizations that deal with U.S. government contracts due to concerns over data security and potential foreign surveillance. Despite these clear guidelines, the plant continued using these cameras, which exposes the organization to potential security breaches, malicious attacks, and unauthorized access to sensitive data or facilities."/>
    <s v="No"/>
    <s v="Management should replace the prohibited Hikvision with security systems that comply with both Tenneco’s internal policies and NDAA regulations or minimally remove these cameras from connection to any Tenneco network.​"/>
    <s v="Transition form CCTV to digital cameras in Reynosa to follow policy regulations. ​_x000a__x000a_As this represents a higher invest amount this will need to be approved and prioritized by high management team. Find attached the PPT presentation"/>
    <x v="2"/>
    <x v="1"/>
    <s v=""/>
    <s v="Nubia Sanchez, Plant Controller"/>
    <s v="Open"/>
    <s v=""/>
    <x v="1"/>
    <s v=" "/>
    <s v=""/>
    <s v="Not Completed"/>
    <s v="PWC"/>
    <s v=""/>
    <s v=""/>
    <s v=""/>
    <s v=""/>
    <s v=""/>
    <s v=""/>
    <s v=""/>
    <s v=""/>
    <s v=""/>
    <s v=""/>
    <s v=""/>
    <s v=""/>
    <s v=""/>
    <s v=""/>
    <s v=""/>
    <s v=""/>
    <s v=""/>
    <d v="2024-08-12T00:00:00"/>
    <d v="2024-05-15T00:00:00"/>
    <s v="06/04/2025"/>
    <n v="-40"/>
    <x v="1"/>
    <x v="1"/>
  </r>
  <r>
    <s v="TEN-1455"/>
    <s v="2024"/>
    <x v="0"/>
    <s v=""/>
    <x v="1"/>
    <x v="10"/>
    <x v="2"/>
    <x v="9"/>
    <s v="Environmental Health and Safety (EH&amp;S)"/>
    <s v="Employee safety standards/measures"/>
    <x v="8"/>
    <s v="Moderate"/>
    <s v=""/>
    <s v=""/>
    <s v="Stadtallendorf (PT) - Full Scope 2024"/>
    <s v="Machine safety actions outstanding."/>
    <s v="Background:_x000a_November 2023 the Senior EH&amp;S Manager visited Stadtallendorf and identified several machines and equipment that did not meet the Tenneco standard in terms of employee safety. As of audit fieldwork phase (May 2024), capex and expense to be spent for the outstanding actions was about €830K. According to the Operations Manager, the last safety measures cannot be implemented before the end of 2025, representing a 2 years time frame since the observations were made and final realization._x000a__x000a_Risk: Employees are not adequately protected from injury."/>
    <s v="No"/>
    <s v=" It is recommended to verify if the safety measures could be implemented earlier."/>
    <s v="Machines which are not necessary are blocked and will be scrapped. Other machines are under investigation for safety upgrades like machine controls._x000a_Capex will be budgeted for 2025 to make the unsafe machines safe._x000a_Plant management is reviewing the actions on a weekly basis with production._x000a_Action plan is shared with the EH&amp;S Regional Director and with the  Operations Director Powertrain EMEA."/>
    <x v="0"/>
    <x v="1"/>
    <s v=""/>
    <s v="Liladhar Wagh, Plant Manager"/>
    <s v="Open"/>
    <s v=""/>
    <x v="1"/>
    <s v=" "/>
    <s v=""/>
    <s v="Not Completed"/>
    <s v="Internal Audit"/>
    <s v=""/>
    <s v=""/>
    <s v=""/>
    <s v=""/>
    <s v=""/>
    <s v=""/>
    <s v=""/>
    <s v=""/>
    <s v=""/>
    <s v=""/>
    <s v=""/>
    <s v=""/>
    <s v=""/>
    <s v=""/>
    <s v=""/>
    <s v=""/>
    <s v=""/>
    <d v="2024-05-13T00:00:00"/>
    <d v="2025-05-21T00:00:00"/>
    <s v="06/04/2025"/>
    <n v="-40"/>
    <x v="1"/>
    <x v="1"/>
  </r>
  <r>
    <s v="TEN-1463"/>
    <s v="2024"/>
    <x v="0"/>
    <s v=""/>
    <x v="1"/>
    <x v="11"/>
    <x v="2"/>
    <x v="9"/>
    <s v="Physical Security"/>
    <s v=" "/>
    <x v="2"/>
    <s v="Major"/>
    <s v=""/>
    <s v=""/>
    <s v="Chivasso (PT) - Full Scope 2024"/>
    <s v="Security checks were out of order"/>
    <s v="Background: _x000a_When visiting the Chivasso location the following security-related points were noted: _x000a_The location has an entrance for pedestrians that is protected by a door which should be opened by presenting a badge. It was noted that this door was almost always open so that the location was accessible to everyone. _x000a_There were no guards. But there was a system in place to secure the building boundaries, with sensors and alarms. Audit was informed that the security system was partially out of order. _x000a_The plant uses a closed-circuit television system. Out of 8 cameras installed, 3 were out of service._x000a__x000a_Risk: Inadequate security management increases the risk of personal damage and property loss."/>
    <s v="No"/>
    <s v="The door at the entrance for pedestrians should be locked. _x000a_The security system should be repaired so that all areas of the outside plant perimeters are surveilled. _x000a_The 3 cameras that were out of service should be repaired."/>
    <s v="Entrance door closer has been repaired so the task can be closed._x000a_The security system will be renewed. Renewal comprises complete substitution of the entire installation of the security system that covers the plant building boundary (motion sensors, volumetric sensor, alarms, control units, cables etc.)._x000a_Non-working cameras will be substituted to restore the external perimeter plant surveillance._x000a_Last negotiations will be completed by September 24 with a timing of the installation activities to be done in the next months."/>
    <x v="0"/>
    <x v="1"/>
    <s v=""/>
    <s v="Cristina Neculai, Procurement &amp; Purchasing Manager"/>
    <s v="Open"/>
    <s v=""/>
    <x v="1"/>
    <s v=" "/>
    <s v=""/>
    <s v="Not Completed"/>
    <s v="Internal Audit"/>
    <s v=""/>
    <s v=""/>
    <s v=""/>
    <s v=""/>
    <s v=""/>
    <s v=""/>
    <s v=""/>
    <s v=""/>
    <s v=""/>
    <s v=""/>
    <s v=""/>
    <s v=""/>
    <s v=""/>
    <s v=""/>
    <s v=""/>
    <s v=""/>
    <s v=""/>
    <d v="2024-10-06T00:00:00"/>
    <d v="2025-05-21T00:00:00"/>
    <s v="06/04/2025"/>
    <n v="-40"/>
    <x v="1"/>
    <x v="1"/>
  </r>
  <r>
    <s v="TEN-1471"/>
    <s v="2024"/>
    <x v="0"/>
    <s v=""/>
    <x v="1"/>
    <x v="12"/>
    <x v="2"/>
    <x v="9"/>
    <s v="Physical Security"/>
    <s v=" "/>
    <x v="2"/>
    <s v="Major"/>
    <s v=""/>
    <s v=""/>
    <s v="Dacice (PT) - Full Scope 2024"/>
    <s v="Physical Security weaknesses"/>
    <s v="Background:_x000a_Tenneco Dačice is operating in buildings rented from the Japanese automobile supplier THK. THK as owner is also producing on the site with about 700 employees. There is one entrance to the property on which the Dačice plant is located, this is via the gatehouse operated by THK who is also responsible for the control and security of the facility. The following security related observations have been made:_x000a_Two manufacturing buildings and one administration building are rented and used by Dačice Tenneco. The Tenneco buildings are accessible unchecked for everyone who passed the gate controlled by the guards from THK._x000a_While making the plant tour it was noted that not all operators in the plant were wearing the safety glasses. Safety glasses are mandatory according to the directive._x000a_The Dačice safety instruction prescribes that identification badges should be worn on a visible place. But no identification badges have been issued to the auditors when arriving at site. When the entering the facility with the car only a car plate was issued._x000a__x000a_Risk: Unauthorized access to the Tenneco buildings; Occupational safety is at risk."/>
    <s v="No"/>
    <s v="The access concept to the buildings operated by Tenneco Dačice should be reviewed with Global Security._x000a_Safety instructions must be followed and safety glasses worn accordingly in the production area._x000a_The concept of badge issuance for Tenneco visitors should be revisited."/>
    <s v="1. Get in touch with Global Security Department. Access situation will be reviewed with Global Security, if possible on-site, to determine the best solution. Based on agreed solution, Capex/expense request will be initiated. Dačice proposal: Implement electronic keys for all entries._x000a_2. Safety glasses: Employees were informed that there will be a bonus deduction if safety glasses are not worn as prescribed._x000a_3. Identification badges are now issued to visitors._x000a_"/>
    <x v="0"/>
    <x v="1"/>
    <s v=""/>
    <s v="Zdenek Pribyl, Plant Manager"/>
    <s v="Open"/>
    <s v=""/>
    <x v="1"/>
    <s v="Status 14.8.:  Global Security Manager visited plant 11.7.2025 and send us the Security Assessment 1.8.2025. We have to decide specific solution, send a request to the supplier for a quote and then ask for approval Global Security Manager."/>
    <s v=""/>
    <s v="Not Completed"/>
    <s v="Internal Audit"/>
    <s v=""/>
    <s v=""/>
    <s v=""/>
    <s v=""/>
    <s v=""/>
    <s v=""/>
    <s v=""/>
    <s v=""/>
    <s v=""/>
    <s v=""/>
    <s v=""/>
    <s v=""/>
    <s v=""/>
    <s v=""/>
    <s v=""/>
    <s v=""/>
    <s v=""/>
    <d v="2024-09-09T00:00:00"/>
    <d v="2025-05-21T00:00:00"/>
    <s v="06/04/2025"/>
    <n v="-40"/>
    <x v="1"/>
    <x v="1"/>
  </r>
  <r>
    <s v="TEN-1489"/>
    <s v="2024"/>
    <x v="0"/>
    <s v=""/>
    <x v="0"/>
    <x v="13"/>
    <x v="2"/>
    <x v="5"/>
    <s v="Revenue and Receivables"/>
    <s v="AR Ageing "/>
    <x v="9"/>
    <s v="Major"/>
    <s v="REVE-61"/>
    <s v=""/>
    <s v="Parwanoo, IN (PT) - Full Scope 2024"/>
    <s v="Account receivable process require improvement"/>
    <s v="IAD obtained the trade receivable sub ledger as of July 2024 and following was noted:_x000a_During review, it was observed that the net due dates (payment terms) captured in SAP for the customer invoices are inaccurate due to inaccurate credit terms assigned  Consequently, the Accounts Receivable (AR) ageing report generated from SAP is manually adjusted by the finance team based on inputs from the sales team._x000a_Balance in allowance for doubtful debts ledger (Account Number 1100.130) as on July 31, 2024, was INR 39 Lacs ($46.43K) which constitutes nearly 1% of the total AR balance. As per Note and Accounts Receivable Policy (01-003) para 3.2, accounts greater than two years past due, should be fully reserved, written off and removed from the accounts receivable ageing. Full amount of Rs 39 lacs ($47K) is not written off though the amount has been past due since more than 2 years._x000a_Unapplied customer credits as on July 31, 2024, amounted to Rs. 377 Lacs ($449K) with entries ageing since Jan 2021"/>
    <s v="No"/>
    <s v="The revised net due dates need to be updated in SAP. _x000a_Amount outstanding for more than 2 years needs to be written off. _x000a_Unapplied credits need to be reviewed and knocking off should be done timely"/>
    <s v="We need to correct the mapping of payment terms in SAP in our customer master. Out of INR 39 lacs, INR 18 lacs is due on account of supplementary invoices raised to M&amp;M. Sales team is already taking up with the Customer. Rest is being reviewed customer wise, and we can write off wherever required. Going forward we will look into unapplied credits and follow up with customers for open items which are more than a month old"/>
    <x v="0"/>
    <x v="4"/>
    <s v="RA - Date changed on request of Dana and approved by IAD."/>
    <s v="Isha Kumari, Plant Controller"/>
    <s v="Open"/>
    <s v=""/>
    <x v="0"/>
    <s v=" "/>
    <s v=""/>
    <s v="Not Completed"/>
    <s v="Chawla"/>
    <s v="A, C, CO, E/O, P&amp;D, R&amp;O, V"/>
    <s v=""/>
    <s v=""/>
    <s v=""/>
    <s v=""/>
    <s v=""/>
    <s v=""/>
    <s v=""/>
    <s v=""/>
    <s v=""/>
    <s v=""/>
    <s v=""/>
    <s v=""/>
    <s v=""/>
    <s v=""/>
    <s v=""/>
    <s v=""/>
    <d v="2024-10-14T00:00:00"/>
    <d v="2025-05-15T00:00:00"/>
    <s v="06/04/2025"/>
    <n v="52"/>
    <x v="2"/>
    <x v="0"/>
  </r>
  <r>
    <s v="TEN-1503"/>
    <s v="2024"/>
    <x v="0"/>
    <s v=""/>
    <x v="0"/>
    <x v="14"/>
    <x v="0"/>
    <x v="0"/>
    <s v="Master Data"/>
    <s v="Master Data - Selling Prices "/>
    <x v="10"/>
    <s v="Major"/>
    <s v="REVE-63"/>
    <s v=""/>
    <s v="Bawal, IN (MRS) - Full Scope 2024"/>
    <s v="Finished goods part numbers not created leading to incorrect revenue recognition for period end &amp; 3-4 mths delay in posting credit memos to correct sale"/>
    <s v="IAD could not validate customer price charged on the invoices  with underlying Customer Purchase orders of all Maruti Suzuki Products Limited samples (MSIL -SPD). For 69 parts numbers, Tenneco Bawal had only created 31 Finished goods part numbers and was updating the Selling prices in SAP to record revenues at the highest of the prices for supplies. _x000a_The existing process led to customer paying either less or more than all the invoiced amounts. Further it required Finance team to reconcile the discrepancies from the data on web portal, post financial Debit / credit notes every week and reload to the customer portals and the corresponding impact of these transactions on the Goods and Sales taxes returns. Credit memos processed on this account for the customer during Jan – June 2024 amounted to Rs. 163 lacs ($196K)."/>
    <s v="No"/>
    <s v="Management should take immediate steps to create OES part numbers in SAP production process or ensure that the system is able to maintain multiple prices for different customer part numbers for one finished good. Tenneco deliveries should be recorded for the correct part and at the right selling prices."/>
    <s v="RPC for release of the internal part codes for each MSIL part number is under process between Sales &amp; Engg. Team and the same shall updated in SAP for use in Master data and dispatches. "/>
    <x v="2"/>
    <x v="5"/>
    <s v=""/>
    <s v="Sankarbabu, Sampangiappa_x000a_(Engg. Deptt)_x000a_Joshi, Vaibhav  (Sales Deptt.)"/>
    <s v="Open"/>
    <s v=""/>
    <x v="0"/>
    <s v=" "/>
    <s v=""/>
    <s v="Not Completed"/>
    <s v="Chawla"/>
    <s v="A"/>
    <s v=""/>
    <s v=""/>
    <s v=""/>
    <s v=""/>
    <s v=""/>
    <s v=""/>
    <s v=""/>
    <s v=""/>
    <s v=""/>
    <s v=""/>
    <s v=""/>
    <s v=""/>
    <s v=""/>
    <s v=""/>
    <s v=""/>
    <s v=""/>
    <d v="2024-07-08T00:00:00"/>
    <d v="2025-05-15T00:00:00"/>
    <s v="06/04/2025"/>
    <n v="144"/>
    <x v="3"/>
    <x v="0"/>
  </r>
  <r>
    <s v="TEN-1512"/>
    <s v="2024"/>
    <x v="0"/>
    <s v=""/>
    <x v="0"/>
    <x v="14"/>
    <x v="0"/>
    <x v="0"/>
    <s v="Property, Plant, and Equipment"/>
    <s v="CART approvals "/>
    <x v="11"/>
    <s v="Major"/>
    <s v="PPAE-06"/>
    <s v=""/>
    <s v="Bawal, IN (MRS) - Full Scope 2024"/>
    <s v="CART overspend  and Capex reviews   "/>
    <s v="PNG Power sourcing : 2022-T2245- BAM1_PLT-02205 was approved was approved on 30th Sep'22 Rs.37.67 lacs ($45k), however, actual spend on the asset was 32% more than the approval @ $60K.  No supplementary cart. The capex tracker maintained by the Projects team showed the excess spent under an expansion Project cart though it was clearly for HT room for Caparo Power.  _x000a_Customer reimbursable storage trolleys: Cart no 2022-T2245-BAM1_PLT-02260 was approved on 13th June 2023 at ZERO capex spent with net income of approximately INR 15 lacs ($18K) to the location being the Difference of actual cost of Trolleys to be bought &amp; reimbursement received from customer (M/s Maruti). Location spent Rs 36.72 lacs ($44k) to purchase the trolleys and capitalized on 15th Nov'2023 (WDV Rs 32.44 lacs ($38K) as on 31st May'2024.  However, till the last day of the audit, the location has not received the formal purchase order from the customer for the reimbursement of the said trolleys cost agreed with them. _x000a_PDI Automation IAD noted that CART 2022-T2245-BAM1_PLT-02332  (PDI Automation) was approved on 12th Oct'22 for Rs.97.08 lacs ($122k). Quotation by incumbent vendor M/s Geo informatics was obtained on the approval date of the CART, for Rs 74.76 lacs however, post approval from operation executive director, PO was issued for Rs 57 lacs. Further, quotation for the same project from another vendor used for bid comparison (M/s Penta Automation) was obtained on 11th Nov'22 i.e. post approval.  _x000a_ECAP &amp; EHS documentation not available in 3 out of 4 carts. "/>
    <s v="No"/>
    <s v="Management should establish clear procedures for the indirect purchasing processes in compliance with the Global Purchasing policies including competitive bidding, vendor review, and appropriate purchases without a purchase order.  Adequate bidding procedures should be carried out by purchasing teams and documented in a transparent process."/>
    <s v="All capex and cart spend is discussed, and approved by all stake holder’s including General Manager, Plant Manager, Finance Director as per global authority index for capex. Moving forward project team will raise the supplementary Cart for additional work if required. Project team and Plant controller will ensure all final quotations and documentation will be uploaded before the approvals. A proper Project cost tracker already shared to Audit Team . Customer Tooling PO will  be received by May, 2025 as confirmed by Sales Team."/>
    <x v="0"/>
    <x v="5"/>
    <s v=""/>
    <s v="Pawan Kumar (Plant Controller) &amp; Kothai (SSC), Virender Thakur (Sales)"/>
    <s v="Open"/>
    <s v=""/>
    <x v="0"/>
    <s v=" "/>
    <s v=""/>
    <s v="Not Completed"/>
    <s v="Chawla"/>
    <s v="E/O"/>
    <s v=""/>
    <s v=""/>
    <s v=""/>
    <s v=""/>
    <s v=""/>
    <s v=""/>
    <s v=""/>
    <s v=""/>
    <s v=""/>
    <s v=""/>
    <s v=""/>
    <s v=""/>
    <s v=""/>
    <s v=""/>
    <s v=""/>
    <s v=""/>
    <d v="2024-07-08T00:00:00"/>
    <d v="2025-05-15T00:00:00"/>
    <s v="06/04/2025"/>
    <n v="144"/>
    <x v="3"/>
    <x v="0"/>
  </r>
  <r>
    <s v="TEN-1593"/>
    <s v="2024"/>
    <x v="0"/>
    <s v=""/>
    <x v="0"/>
    <x v="15"/>
    <x v="2"/>
    <x v="10"/>
    <s v="Reconciliations"/>
    <s v="Month end Ajustments "/>
    <x v="0"/>
    <s v="Major"/>
    <s v="PEFR-32"/>
    <s v=""/>
    <s v="Waupun,VSG (PT) - Full Scope 2024"/>
    <s v="Account reconciliations are not matched to Ten stream balances (PEFR-32. PPAE-35)  "/>
    <s v="IAD reviewed the month end closing and reporting process and noted that: _x000a_Location does not load One stream, but they do need to perform GL to Ten stream reconciliation, this is done only at a compare file level (High level asset and P&amp;L items) just matching the basic group totals and does not ensure that the map is correct and / or if new accounts added are appropriately mapped. _x000a_IAD was able to reconcile the BS mapping for June 2024 but not the P&amp;L – Value of CY Income in BS is ($8553789) however the P&amp;L report using parameters 1030 plant 2560 pulls up an EBIT of $ 9281316, hence a difference that needs to be reconciled. _x000a_Audit team could not validate the completeness and mathematical accuracy of some of the reconciliations, as it was left audit team to match multiple codes to what was consolidated.  _x000a_Fixed assets reconciliations ( Q1 &amp; Q2) were not approved in a timely manner and had difference between Gross Value and Accumulated depreciations to Ten stream due to mapping issues of Computer software ($2k &amp; 6.5K resp) _x000a_Month end Close Procedure:  Month-end accounting close check to meet timeline and related items was not reviewed and dated for completeness for both the selected samples. _x000a_Certain activities to be completed are documented in a template however the same are not noted as completed for the month."/>
    <s v=""/>
    <s v="Management should review Policy to gain an understanding of the requirements for an effective account reconciliation. Monthly, once all the account reconciliation workbooks are prepared, a completeness review should be performed, against the most current One stream download to match the balances for each reconciliation. The Difference in EBIT from SAP reports to Ten stream should be reconciled and adjusted / noted as comments in the Report to ensure that local ledgers are matched to US GAAP Reported values._x000a_Month end Checklists should be reviewed and approved for completeness of required activities"/>
    <s v="Rreconciliations have been reworked to follow the Corporate Policy format, which includes a Retrieve formula to pull the One Stream balances into the reconciliation. The new format lists all accounts from SAP that roll into the OneStream account for accurate reconciliation. Consolidated checklist is in use as one master list and is reviewed for completeness by the plant controller. SAP P&amp;L EBIT &amp; Balance Sheet report needs to be reviewed and updated to ensure all SAP accounts are noted as there have been account updates and the SAP RP2 BS is not reconciled.  Work with SAP IT support to update reports. Controller needs to be on site to review and approve the account recons on the share point. Shared services to ensure timely update of transactions errors when informed  "/>
    <x v="1"/>
    <x v="4"/>
    <s v="RA - Date changed on request of Dana and approved by IAD."/>
    <s v="Kathy Stout &amp; RP2 IT Support "/>
    <s v="Open"/>
    <s v=""/>
    <x v="0"/>
    <s v="Sept 30, 2025  SAP P&amp;L EBIT and BS details need to be updated for new accounts added in prior years.  Need IT support for review of report and programming of our SAP RP2 system.  IT support originally obtained backed out and we have been without IT support, but a contractor was finally secured starting 9/29/2025.  We will meet on 10/1/2025 to identify SAP RP2 updates needed.  The IT contractor will then identify the programming updates to t completed.   Tentatively should be updated and resolved by 10/31/2025."/>
    <s v=""/>
    <s v="Not Completed"/>
    <s v="Chawla"/>
    <s v="A"/>
    <s v=""/>
    <s v=""/>
    <s v=""/>
    <s v=""/>
    <s v=""/>
    <s v=""/>
    <s v=""/>
    <s v=""/>
    <s v=""/>
    <s v=""/>
    <s v=""/>
    <s v=""/>
    <s v=""/>
    <s v=""/>
    <s v=""/>
    <s v=""/>
    <d v="2024-09-09T00:00:00"/>
    <d v="2025-05-15T00:00:00"/>
    <s v="06/04/2025"/>
    <n v="52"/>
    <x v="2"/>
    <x v="0"/>
  </r>
  <r>
    <s v="TEN-1599"/>
    <s v="2024"/>
    <x v="0"/>
    <s v=""/>
    <x v="0"/>
    <x v="15"/>
    <x v="2"/>
    <x v="10"/>
    <s v="Information Technology General Controls (ITGC)"/>
    <s v="Segregation of Duties "/>
    <x v="12"/>
    <s v="Major"/>
    <s v=""/>
    <s v=""/>
    <s v="Waupun,VSG (PT) - Full Scope 2024"/>
    <s v="Segregation of Duties – UnmitigatedRisks "/>
    <s v="IAD noted the following unmitigated Risks in roll assignments to users_x000a_ _x000a_IAD noted that the Plant Controller had access to post journal entries as well along with being the approver of the  JE completeness review.  _x000a__x000a_Additionally, for Jan 2024 IAD noted that  Sales Coordinator had access to update Customer master data , Customer selling Price data and create Orders, Invoices and post Dr / Cr memos to customer accounts "/>
    <s v=""/>
    <s v="Adequate access should be provided to users based on their roles and any inappropriate access should be removed as per defined policies. _x000a_Adequate segregation of duties should be maintained to ensure work should not overlap"/>
    <s v="Work with IT to create new roles that ensure segregation of duties on Journal entry creation vs posting._x000a_Review the compensating controls for critical transactions to ensure risk mitigation is in place for – Customer updates, customer  pricing, Customer Order creation, Creating DR / CR memos._x000a_Review current roles and redefine where required to ensure that SOD exists where it is not possible to have a compensating control activity."/>
    <x v="1"/>
    <x v="4"/>
    <s v="RA - Date changed on request of Dana and approved by IAD."/>
    <s v="Annette Lionberger,Plant controller and SAP RP2 IT support "/>
    <s v="Open"/>
    <s v=""/>
    <x v="0"/>
    <s v="Sept 30, 2025   Worked with IT to identify current roles.  IT determined they would not be creating any new roles in SAP RP2 system due to obsolescence of system and lack of programming support,  Controller was provided list of all roles by employee.  Will further request that the employees' roles be compared to the SOD and CT system used when establishing new employee security.  Once this is completed, we will request either specific roles to be removed and/or adding new CT risk mitigations, to be identifed as needed.  Plan is to complete by Oct. 31, 2025. "/>
    <s v=""/>
    <s v="Not Completed"/>
    <s v="Chawla"/>
    <s v=""/>
    <s v=""/>
    <s v=""/>
    <s v=""/>
    <s v=""/>
    <s v=""/>
    <s v=""/>
    <s v=""/>
    <s v=""/>
    <s v=""/>
    <s v=""/>
    <s v=""/>
    <s v=""/>
    <s v=""/>
    <s v=""/>
    <s v=""/>
    <s v=""/>
    <d v="2024-09-09T00:00:00"/>
    <d v="2025-05-15T00:00:00"/>
    <s v="06/04/2025"/>
    <n v="52"/>
    <x v="2"/>
    <x v="0"/>
  </r>
  <r>
    <s v="TEN-1619"/>
    <s v="2025"/>
    <x v="4"/>
    <s v="Genpact ERC"/>
    <x v="1"/>
    <x v="16"/>
    <x v="4"/>
    <x v="11"/>
    <s v="Purchasing and Payables"/>
    <s v="Invoice Processing"/>
    <x v="12"/>
    <s v="Major"/>
    <s v=""/>
    <s v=""/>
    <s v="SSC / Phase 1 / Genpact ERC / 2025"/>
    <s v="Absence of segregation of duties"/>
    <s v="Invoice processing  team at Kolkata SSC have rights to modify PO details in Plex at the time of posting an invoice as well as mark the Invoice status as &quot;Pay&quot; for payment in Plex thus creating an SOD conflict. _x000a__x000a_In the current month-end process, for case of discrepancy between Invoice copy and Invoice/ PO details in SAP (such as Price, Quantity ), Kolkata SSC have been instructed to modify PO details in Plex and process the invoice with &quot;Hold&quot; status. Necessary adjustments are performed in next month.  Since Plex does not have autoblock functionality for such cases and manual block needs to be applied by Kolkata SSC personnel hence there is open risk of Invoices with unauthorized modifications getting paid."/>
    <s v="No"/>
    <s v="Invoice processing team (SSC Kolkata) should not have edit rights to PO details . All cases of discrepancies between Invoice copy and PO needs to be resolved via Lite workflow before posting the Invoice in Plex._x000a_"/>
    <s v="Mitigation short term: the AP team lead to review and validate that there are no out of balances between the payment list shared by the BU Cash Lead and the actual list of paid items. IT to investigate the possibility of removing the user rights to modify PO details. Mitigation medium/long term: Basware to be implemented for these locations driving the entire error resolution to be systemic"/>
    <x v="2"/>
    <x v="6"/>
    <s v=""/>
    <s v="Jeff Niszczak- PT, Clean Air, Ign , SSC; Petru Baciu"/>
    <s v="Open"/>
    <s v=""/>
    <x v="0"/>
    <s v="Plex system is a very rudimentary system that will not allow for user access flexibility. Lite Workflow is a temporary solution with limited capabilities as well. Marking the invoices with a ,,Pay'' status is part of the selection of documents to be included in the payment run as per the instructions received from the BU Cash Leads. "/>
    <s v=""/>
    <s v="Not Completed"/>
    <s v="Chawla"/>
    <s v=""/>
    <s v=""/>
    <s v=""/>
    <s v=""/>
    <s v=""/>
    <s v=""/>
    <s v=""/>
    <s v=""/>
    <s v=""/>
    <s v=""/>
    <s v=""/>
    <s v=""/>
    <s v=""/>
    <s v=""/>
    <s v=""/>
    <s v=""/>
    <s v=""/>
    <d v="2025-01-20T00:00:00"/>
    <d v="2025-01-20T00:00:00"/>
    <s v="08/05/2025"/>
    <n v="82"/>
    <x v="2"/>
    <x v="0"/>
  </r>
  <r>
    <s v="TEN-1621"/>
    <s v="2025"/>
    <x v="4"/>
    <s v="Genpact ERC"/>
    <x v="0"/>
    <x v="16"/>
    <x v="4"/>
    <x v="11"/>
    <s v="Purchasing and Payables"/>
    <s v="Invoice Processing"/>
    <x v="13"/>
    <s v="Moderate"/>
    <s v="PAPA-18"/>
    <s v=""/>
    <s v="SSC / Phase 1 / Genpact ERC / 2025"/>
    <s v="ERP allowing duplicate invoice posting with minor modifications"/>
    <s v="Clean Air entities (DE and CZ)-Absence of Duplicate Invoice Check functionality (incl. Tolerance-Based Matching)  in SAP_x000a_"/>
    <s v="No"/>
    <s v="Duplicate identification tool/ Excel based macro to be implemented identifying duplicates using tolerance based matching ."/>
    <s v="To revisit the topic and ensure correct understanding of the risk."/>
    <x v="0"/>
    <x v="6"/>
    <s v=""/>
    <s v="Jeff Niszczak- PT, Clean Air, Ign , SSC; Petru Baciu"/>
    <s v="Open"/>
    <s v=""/>
    <x v="0"/>
    <s v="The duplicate identification functionality is present in SAP."/>
    <s v=""/>
    <s v="Not Completed"/>
    <s v="Chawla"/>
    <s v="E/O, R&amp;O"/>
    <s v=""/>
    <s v=""/>
    <s v=""/>
    <s v=""/>
    <s v=""/>
    <s v=""/>
    <s v=""/>
    <s v=""/>
    <s v=""/>
    <s v=""/>
    <s v=""/>
    <s v=""/>
    <s v=""/>
    <s v=""/>
    <s v=""/>
    <s v=""/>
    <d v="2025-01-03T00:00:00"/>
    <d v="2025-01-03T00:00:00"/>
    <s v="08/05/2025"/>
    <n v="82"/>
    <x v="2"/>
    <x v="0"/>
  </r>
  <r>
    <s v="TEN-1622"/>
    <s v="2025"/>
    <x v="4"/>
    <s v="Genpact ERC"/>
    <x v="1"/>
    <x v="16"/>
    <x v="4"/>
    <x v="11"/>
    <s v="Purchasing and Payables"/>
    <s v="Payments"/>
    <x v="14"/>
    <s v="Moderate"/>
    <s v=""/>
    <s v=""/>
    <s v="SSC / Phase 1 / Genpact ERC / 2025"/>
    <s v="Monitoring of Urgent/Manual payment"/>
    <s v="At present, all manual and urgent payment requests are received in payment processor’s individual Tenneco mailbox._x000a_Location: PT_ MX Puebla Pistons/PT_MX Puebla Rings/​PT_MX Aguascalientes​_x000a_CA_MX Puebla &amp; Aguascalientes​/PT_DE Herdorf/Clean air cluster (DE,CZ) at Bucharest SSC"/>
    <s v="No"/>
    <s v="Generic email box / workflow should be used to ensure that all manual and urgent payment requests are tracked and timely processed."/>
    <s v="Generic mailbox to be created for all payment related communication."/>
    <x v="2"/>
    <x v="6"/>
    <s v=""/>
    <s v="Jeff Niszczak- PT, Clean Air, Ign , SSC; Petru Baciu"/>
    <s v="Open"/>
    <s v=""/>
    <x v="0"/>
    <s v="N/A"/>
    <s v=""/>
    <s v="Not Completed"/>
    <s v="Chawla"/>
    <s v=""/>
    <s v=""/>
    <s v=""/>
    <s v=""/>
    <s v=""/>
    <s v=""/>
    <s v=""/>
    <s v=""/>
    <s v=""/>
    <s v=""/>
    <s v=""/>
    <s v=""/>
    <s v=""/>
    <s v=""/>
    <s v=""/>
    <s v=""/>
    <s v=""/>
    <d v="2025-01-15T00:00:00"/>
    <d v="2025-01-15T00:00:00"/>
    <s v="08/05/2025"/>
    <n v="82"/>
    <x v="2"/>
    <x v="0"/>
  </r>
  <r>
    <s v="TEN-1623"/>
    <s v="2025"/>
    <x v="4"/>
    <s v="Genpact ERC"/>
    <x v="1"/>
    <x v="16"/>
    <x v="4"/>
    <x v="11"/>
    <s v="Purchasing and Payables"/>
    <s v="Payments"/>
    <x v="4"/>
    <s v="Moderate"/>
    <s v=""/>
    <s v=""/>
    <s v="SSC / Phase 1 / Genpact ERC / 2025"/>
    <s v="Upload of payment file on the bank portal in editable format"/>
    <s v="Payment files are not sent to Treasury in encrypted file format for bank upload by the SSC AP team. There is no host-to-host transfer of payments into the bank portal._x000a__x000a_Further, in case of manual payments for Mexico locations details are manually entered by SSC team on the bank portal instead of uploading encrypted payment file._x000a__x000a_Location : PT_ MX Puebla Pistons/ PT_MX Puebla Rings/ ​PT_MX Aguascalientes​_x000a_CA_MX Puebla &amp; Aguascalientes​/ PT_DE Herdorf"/>
    <s v="No"/>
    <s v="Implement host to host payment file transfer to ensure approved payments are securely transferred to bank portal._x000a_Payment files must be uploaded on the bank format in encrypted file format to ensure accuracy and restrict unauthorized changes and to the manual payments file."/>
    <s v="Short termsolution: implement an encripted excel file to be used. Long term solution: H2H implementation."/>
    <x v="2"/>
    <x v="6"/>
    <s v=""/>
    <s v="Jeff Niszczak- PT, Clean Air, Ign , SSC; Petru Baciu"/>
    <s v="Open"/>
    <s v=""/>
    <x v="0"/>
    <s v="N/A"/>
    <s v=""/>
    <s v="Not Completed"/>
    <s v="Chawla"/>
    <s v=""/>
    <s v=""/>
    <s v=""/>
    <s v=""/>
    <s v=""/>
    <s v=""/>
    <s v=""/>
    <s v=""/>
    <s v=""/>
    <s v=""/>
    <s v=""/>
    <s v=""/>
    <s v=""/>
    <s v=""/>
    <s v=""/>
    <s v=""/>
    <s v=""/>
    <d v="2025-01-15T00:00:00"/>
    <d v="2025-01-15T00:00:00"/>
    <s v="08/05/2025"/>
    <n v="82"/>
    <x v="2"/>
    <x v="0"/>
  </r>
  <r>
    <s v="TEN-1624"/>
    <s v="2025"/>
    <x v="4"/>
    <s v="Genpact ERC"/>
    <x v="1"/>
    <x v="16"/>
    <x v="4"/>
    <x v="11"/>
    <s v="Purchasing and Payables"/>
    <s v="Payments"/>
    <x v="15"/>
    <s v="Moderate"/>
    <s v=""/>
    <s v=""/>
    <s v="SSC / Phase 1 / Genpact ERC / 2025"/>
    <s v="Manual entry of credit card expense details in Concur"/>
    <s v="All the credit card transactions are not captured automatically in Concur. Genpact T&amp;E team manually adds the expense line item basis the T&amp;E expense statement submitted. _x000a__x000a_Location: CA_MX Puebla &amp; Aguascalientes​"/>
    <s v="No"/>
    <s v="Credit card transactions details should automatically interface into Concur to ensure that credit card expense reconcile with credit card statements."/>
    <s v="Topic to be revisited and reconfirmed."/>
    <x v="0"/>
    <x v="6"/>
    <s v=""/>
    <s v="Jeff Niszczak- PT, Clean Air, Ign , SSC; Petru Baciu"/>
    <s v="Open"/>
    <s v=""/>
    <x v="0"/>
    <s v="All expenses are automatically reflected in Concur-&gt; employee files the expense and IP team validates and sends for payments."/>
    <s v=""/>
    <s v="Not Completed"/>
    <s v="Chawla"/>
    <s v=""/>
    <s v=""/>
    <s v=""/>
    <s v=""/>
    <s v=""/>
    <s v=""/>
    <s v=""/>
    <s v=""/>
    <s v=""/>
    <s v=""/>
    <s v=""/>
    <s v=""/>
    <s v=""/>
    <s v=""/>
    <s v=""/>
    <s v=""/>
    <s v=""/>
    <d v="2025-01-29T00:00:00"/>
    <d v="2025-01-29T00:00:00"/>
    <s v="08/05/2025"/>
    <n v="82"/>
    <x v="2"/>
    <x v="0"/>
  </r>
  <r>
    <s v="TEN-1625"/>
    <s v="2025"/>
    <x v="4"/>
    <s v="Genpact ERC"/>
    <x v="0"/>
    <x v="16"/>
    <x v="4"/>
    <x v="11"/>
    <s v="Purchasing and Payables"/>
    <s v="Payments"/>
    <x v="12"/>
    <s v="Major"/>
    <s v="PAPA-12"/>
    <s v=""/>
    <s v="SSC / Phase 1 / Genpact ERC / 2025"/>
    <s v="Invoice pay term and due date is editable "/>
    <s v="Payment team has access to modify the below mentioned _x000a_a. PT- Payment term , payment days and  Bline date._x000a_b. CA-  Discount amount, payment term, payment date and Bline date._x000a__x000a_Location PT_DE Herdorf/Clean air cluster (DE,CZ) at Bucharest SSC"/>
    <s v="No"/>
    <s v="Access to modify the invoice and payment details should be restricted to ensure proper segregation of duties."/>
    <s v="Access to modify payment terms to be removed."/>
    <x v="2"/>
    <x v="6"/>
    <s v=""/>
    <s v="Jeff Niszczak- PT, Clean Air, Ign , SSC; Petru Baciu"/>
    <s v="Open"/>
    <s v=""/>
    <x v="0"/>
    <s v="This access is not esential for this team."/>
    <s v=""/>
    <s v="Not Completed"/>
    <s v="Chawla"/>
    <s v="A, E/O, R&amp;O"/>
    <s v=""/>
    <s v=""/>
    <s v=""/>
    <s v=""/>
    <s v=""/>
    <s v=""/>
    <s v=""/>
    <s v=""/>
    <s v=""/>
    <s v=""/>
    <s v=""/>
    <s v=""/>
    <s v=""/>
    <s v=""/>
    <s v=""/>
    <s v=""/>
    <d v="2025-02-12T00:00:00"/>
    <d v="2025-02-12T00:00:00"/>
    <s v="08/05/2025"/>
    <n v="82"/>
    <x v="2"/>
    <x v="0"/>
  </r>
  <r>
    <s v="TEN-1627"/>
    <s v="2025"/>
    <x v="4"/>
    <s v="Genpact ERC"/>
    <x v="1"/>
    <x v="16"/>
    <x v="4"/>
    <x v="11"/>
    <s v="Purchasing and Payables"/>
    <s v="Payments"/>
    <x v="16"/>
    <s v="Moderate"/>
    <s v=""/>
    <s v=""/>
    <s v="SSC / Phase 1 / Genpact ERC / 2025"/>
    <s v="Upload of payment file on the bank portal in editable format"/>
    <s v="Non SEPA- There is no host-to-host transfer of payments into the bank portal. At present for DE entities, payments file is sent by  Bucharest SSC to Tenneco plant team for manual upload onto bank portal. For CA_CZ Hodkovice, payments are uploaded by Bucharest SSC to the bank portal._x000a__x000a_SEPA payments are transferred directly on the bank portal through payment run in SAP._x000a__x000a_Location : Clean air cluster (DE,CZ) at Bucharest SSC"/>
    <s v="No"/>
    <s v="Implement host to host payment file transfer to ensure approved payments are securely transferred to bank portal._x000a_Payment files must be uploaded on the bank format in encrypted file format to ensure accuracy and restrict unauthorized changes and to the manual payments file._x000a_."/>
    <s v="Short term solution: implement an encripted excel file to be used. Long term solution: H2H implementation."/>
    <x v="2"/>
    <x v="6"/>
    <s v=""/>
    <s v="Jeff Niszczak- PT, Clean Air, Ign , SSC; Petru Baciu"/>
    <s v="Open"/>
    <s v=""/>
    <x v="0"/>
    <s v="N/A"/>
    <s v=""/>
    <s v="Not Completed"/>
    <s v="Chawla"/>
    <s v=""/>
    <s v=""/>
    <s v=""/>
    <s v=""/>
    <s v=""/>
    <s v=""/>
    <s v=""/>
    <s v=""/>
    <s v=""/>
    <s v=""/>
    <s v=""/>
    <s v=""/>
    <s v=""/>
    <s v=""/>
    <s v=""/>
    <s v=""/>
    <s v=""/>
    <d v="2025-01-15T00:00:00"/>
    <d v="2025-01-15T00:00:00"/>
    <s v="08/05/2025"/>
    <n v="82"/>
    <x v="2"/>
    <x v="0"/>
  </r>
  <r>
    <s v="TEN-1629"/>
    <s v="2025"/>
    <x v="4"/>
    <s v="Genpact ERC"/>
    <x v="1"/>
    <x v="16"/>
    <x v="4"/>
    <x v="11"/>
    <s v="Purchasing and Payables"/>
    <s v="Payments"/>
    <x v="17"/>
    <s v="Moderate"/>
    <s v=""/>
    <s v=""/>
    <s v="SSC / Phase 1 / Genpact ERC / 2025"/>
    <s v="Archive data used to check duplicates is insufficient"/>
    <s v="Before preparing a payment run, Kolkata SSC uses a Excel based Macro to identify duplicate invoices. Currently, invoice data for last 4 months is used to identify duplicates due to system restriction preventing Kolkata SSC to extract historical data_x000a__x000a_Location: PT MX Linan"/>
    <s v="No"/>
    <s v="Kolkata SSC team to work with Tenneco IT team to extract at least 2 years historical invoice data and use that as archived data for identifying duplicate invoices "/>
    <s v="IT to support the effort of extractiong 2 years worth of data from Plex."/>
    <x v="2"/>
    <x v="6"/>
    <s v=""/>
    <s v="Jeff Niszczak- PT, Clean Air, Ign , SSC; Petru Baciu"/>
    <s v="Open"/>
    <s v=""/>
    <x v="0"/>
    <s v="For Plex system only last 6 months data can be extracted from the system."/>
    <s v=""/>
    <s v="Not Completed"/>
    <s v="Chawla"/>
    <s v=""/>
    <s v=""/>
    <s v=""/>
    <s v=""/>
    <s v=""/>
    <s v=""/>
    <s v=""/>
    <s v=""/>
    <s v=""/>
    <s v=""/>
    <s v=""/>
    <s v=""/>
    <s v=""/>
    <s v=""/>
    <s v=""/>
    <s v=""/>
    <s v=""/>
    <d v="2025-02-12T00:00:00"/>
    <d v="2025-02-12T00:00:00"/>
    <s v="08/05/2025"/>
    <n v="82"/>
    <x v="2"/>
    <x v="0"/>
  </r>
  <r>
    <s v="TEN-1631"/>
    <s v="2025"/>
    <x v="4"/>
    <s v="Genpact ERC"/>
    <x v="0"/>
    <x v="17"/>
    <x v="4"/>
    <x v="11"/>
    <s v="Revenue and Receivables"/>
    <s v="Cash Applications"/>
    <x v="9"/>
    <s v="Moderate"/>
    <s v="REVE-61"/>
    <s v=""/>
    <s v="SSC / Phase 1 / Genpact ERC / 2025"/>
    <s v="Unapplied balances​"/>
    <s v="There remains unapplied  cash balances  “on account” for overpayments, and not identified against customer invoice/s​. There is a similar unapplied open balance “on account” for  underpayments and not identified against customer invoice/s​. _x000a_PT Herdorf (as on 24th Jan 2025)- _x000a_Overpayments :  Open balance - 214 K euro  (- 98 K euro is aged over 3 months)_x000a_Underpayments :Open balance  of  63K euro ( 6 K euro is aged over 3 months)_x000a_PT_IT Chivasso(as on 24th Jan 2025)_x000a_Overpayments :  Open balance  of- 363 K euro  ( -29 K euro is aged over 3 months)_x000a_Underpayments : Open balance  of 43K euro (20 K euro is aged over 3 months)"/>
    <s v="No"/>
    <s v="Jeff Niszczak,Ioana Grigoras"/>
    <s v=""/>
    <x v="0"/>
    <x v="1"/>
    <s v=""/>
    <s v="Gwen Brooks"/>
    <s v="Open"/>
    <s v=""/>
    <x v="1"/>
    <s v="Need to extend closure deadline due to action plan and root cause not being finalized and same process checked for all the sites "/>
    <s v=""/>
    <s v="Not Completed"/>
    <s v="Chawla"/>
    <s v="A, C, CO, E/O, P&amp;D, R&amp;O, V"/>
    <s v=""/>
    <s v=""/>
    <s v=""/>
    <s v=""/>
    <s v=""/>
    <s v=""/>
    <s v=""/>
    <s v=""/>
    <s v=""/>
    <s v=""/>
    <s v=""/>
    <s v=""/>
    <s v=""/>
    <s v=""/>
    <s v=""/>
    <s v=""/>
    <d v="2025-03-01T00:00:00"/>
    <d v="2025-05-01T00:00:00"/>
    <s v="08/05/2025"/>
    <n v="-40"/>
    <x v="1"/>
    <x v="1"/>
  </r>
  <r>
    <s v="TEN-1632"/>
    <s v="2025"/>
    <x v="4"/>
    <s v="Genpact ERC"/>
    <x v="1"/>
    <x v="17"/>
    <x v="4"/>
    <x v="11"/>
    <s v="Revenue and Receivables"/>
    <s v="Cash Applications"/>
    <x v="9"/>
    <s v="Moderate"/>
    <s v=""/>
    <s v=""/>
    <s v="SSC / Phase 1 / Genpact ERC / 2025"/>
    <s v="System configuration"/>
    <s v="Cash application process is manual and  auto match facility is currently not being used. Bank statement are received manually over email ( IT Chivasso)_x000a__x000a_PT IT Chivasso_x000a_Auto match facility on T Code 28 cannot be used , until  bank statements are uploaded in SAP"/>
    <s v="No"/>
    <s v="Jeff Niszczak,Ioana Grigoras"/>
    <s v=""/>
    <x v="2"/>
    <x v="3"/>
    <s v=""/>
    <s v="Gaston Roeschli, Director, Operational Finance BRM _x000a_Ioana  Grigoras, Global Accounts Lead"/>
    <s v="Open"/>
    <s v=""/>
    <x v="2"/>
    <s v="Need to extend closure deadline due to action plan and root cause not being finalized and same process checked for all the sites "/>
    <s v=""/>
    <s v="Not Completed"/>
    <s v="Chawla"/>
    <s v=""/>
    <s v=""/>
    <s v=""/>
    <s v=""/>
    <s v=""/>
    <s v=""/>
    <s v=""/>
    <s v=""/>
    <s v=""/>
    <s v=""/>
    <s v=""/>
    <s v=""/>
    <s v=""/>
    <s v=""/>
    <s v=""/>
    <s v=""/>
    <s v=""/>
    <d v="2025-03-01T00:00:00"/>
    <d v="2025-05-01T00:00:00"/>
    <s v="08/05/2025"/>
    <n v="-9"/>
    <x v="1"/>
    <x v="1"/>
  </r>
  <r>
    <s v="TEN-1633"/>
    <s v="2025"/>
    <x v="4"/>
    <s v="Genpact ERC"/>
    <x v="1"/>
    <x v="17"/>
    <x v="4"/>
    <x v="11"/>
    <s v="Revenue and Receivables"/>
    <s v="Cash Applications"/>
    <x v="9"/>
    <s v="Moderate"/>
    <s v=""/>
    <s v=""/>
    <s v="SSC / Phase 1 / Genpact ERC / 2025"/>
    <s v="Non standardized approach"/>
    <s v="IT Chivasso-Process by which SSC Kolkata receives intimation of customer/ incoming payments is not standardized. Bank statement excerpts are received over email and not uploaded on SAP (Bank statements are uploaded in SAP at PT Herdorf)"/>
    <s v="No"/>
    <s v="Jeff Niszczak,Ioana Grigoras"/>
    <s v=""/>
    <x v="2"/>
    <x v="7"/>
    <s v=""/>
    <s v="Gaston Roeschli, Director, Operational Finance BRM _x000a_Ioana  Grigoras, Global Accounts Lead"/>
    <s v="Open"/>
    <s v=""/>
    <x v="3"/>
    <s v="Need to extend closure deadline due to action plan and root cause not being finalized and same process checked for all the sites "/>
    <s v=""/>
    <s v="Not Completed"/>
    <s v="Chawla"/>
    <s v=""/>
    <s v=""/>
    <s v=""/>
    <s v=""/>
    <s v=""/>
    <s v=""/>
    <s v=""/>
    <s v=""/>
    <s v=""/>
    <s v=""/>
    <s v=""/>
    <s v=""/>
    <s v=""/>
    <s v=""/>
    <s v=""/>
    <s v=""/>
    <s v=""/>
    <d v="2025-03-01T00:00:00"/>
    <d v="2025-05-01T00:00:00"/>
    <s v="08/05/2025"/>
    <n v="-161"/>
    <x v="1"/>
    <x v="1"/>
  </r>
  <r>
    <s v="TEN-1636"/>
    <s v="2025"/>
    <x v="4"/>
    <s v="Genpact ERC"/>
    <x v="1"/>
    <x v="16"/>
    <x v="4"/>
    <x v="11"/>
    <s v="Purchasing and Payables"/>
    <s v="Month end"/>
    <x v="12"/>
    <s v="Major"/>
    <s v=""/>
    <s v=""/>
    <s v="SSC / Phase 1 / Genpact ERC / 2025"/>
    <s v="Manual JVs can be posted without prior approval In the absence of a GL team, there are conflicting user roles in SAP"/>
    <s v="Clean Air entities (DE and CZ)-Month end AP accruals: Individual posting to FB 50 (AP subledger) also posts to FB60 (GL)- which are SAP conflicting user roles. (There is no separate GL team)_x000a__x000a_Park and post functionality is not being used for posting accrual JVs, and neither is there an approval workflow. The JV pre- approval and post review process is manual, and approvals/confirmations are over email. _x000a__x000a_SAP does not restrict posting a JV without approval, in the absence of a workflow. There remains an open risk of posting manual JVs without prior approvals (non -compliance with company policy).   "/>
    <s v="No"/>
    <s v="Approval/ Review of Manual Journal entries can be managed in a workflow tool. _x000a_Tool can be configured to ensure that approval flow enforces segregation of duties and auto posting of the manual journal entries in SAP, following the necessary approvals."/>
    <s v="IT to suggest workflows that can be implemented to replace the manual process."/>
    <x v="2"/>
    <x v="6"/>
    <s v=""/>
    <s v="Jeff Niszczak- PT, Clean Air, Ign , SSC; Petru Baciu"/>
    <s v="Open"/>
    <s v=""/>
    <x v="0"/>
    <s v="A 4 eyes control in place//all the JV are approved by the plant controller and the approval e-mails are attached in SAP for audit trail. But this is a manual process therefore having a workflow to manage this is preferable. IT to suggest workflows that can be implemented to replace the manual process ex. Serrala."/>
    <s v=""/>
    <s v="Not Completed"/>
    <s v="Chawla"/>
    <s v=""/>
    <s v=""/>
    <s v=""/>
    <s v=""/>
    <s v=""/>
    <s v=""/>
    <s v=""/>
    <s v=""/>
    <s v=""/>
    <s v=""/>
    <s v=""/>
    <s v=""/>
    <s v=""/>
    <s v=""/>
    <s v=""/>
    <s v=""/>
    <s v=""/>
    <d v="2025-02-25T00:00:00"/>
    <d v="2025-02-26T00:00:00"/>
    <s v="08/05/2025"/>
    <n v="82"/>
    <x v="2"/>
    <x v="0"/>
  </r>
  <r>
    <s v="TEN-1637"/>
    <s v="2025"/>
    <x v="4"/>
    <s v="Genpact ERC"/>
    <x v="0"/>
    <x v="16"/>
    <x v="4"/>
    <x v="11"/>
    <s v="Purchasing and Payables"/>
    <s v="Month end"/>
    <x v="0"/>
    <s v="Moderate"/>
    <s v="PAPA-44"/>
    <s v=""/>
    <s v="SSC / Phase 1 / Genpact ERC / 2025"/>
    <s v="Incorrect creditor position in the financial records"/>
    <s v="Clean Air entities (DE and CZ)-Process of reconciling vendor balances in financial records on a periodic basis (annual/semi annual) , has not been established"/>
    <s v="No"/>
    <s v="Identify top critical vendors and receive their statement of accounts on a periodic basis, and reconcile it with the vendor's sub ledger_x000a_investigate and follow up on unreconciling items"/>
    <s v="AP IP team will reconcile the top 20 vendors per location looking at the vendor's turnover. We will work to have a general frame for the vendor reconciliation that will include a higher percentage from the active vendors."/>
    <x v="0"/>
    <x v="6"/>
    <s v=""/>
    <s v="Jeff Niszczak- PT, Clean Air, Ign , SSC; Petru Baciu"/>
    <s v="Open"/>
    <s v=""/>
    <x v="0"/>
    <s v="N/A"/>
    <s v=""/>
    <s v="Not Completed"/>
    <s v="Chawla"/>
    <s v="A, C, CO, E/O, P&amp;D, R&amp;O, V"/>
    <s v=""/>
    <s v=""/>
    <s v=""/>
    <s v=""/>
    <s v=""/>
    <s v=""/>
    <s v=""/>
    <s v=""/>
    <s v=""/>
    <s v=""/>
    <s v=""/>
    <s v=""/>
    <s v=""/>
    <s v=""/>
    <s v=""/>
    <s v=""/>
    <d v="2025-02-25T00:00:00"/>
    <d v="2025-02-26T00:00:00"/>
    <s v="08/05/2025"/>
    <n v="82"/>
    <x v="2"/>
    <x v="0"/>
  </r>
  <r>
    <s v="TEN-1638"/>
    <s v="2025"/>
    <x v="4"/>
    <s v="Genpact ERC"/>
    <x v="1"/>
    <x v="18"/>
    <x v="3"/>
    <x v="12"/>
    <s v="Revenue and Receivables"/>
    <s v="Intercompany and manual JVs"/>
    <x v="18"/>
    <s v="Major"/>
    <s v=""/>
    <s v=""/>
    <s v="SSC / Phase 1 / Genpact ERC / 2025"/>
    <s v="Intercompany journal entries"/>
    <s v="DRIV: Absence of maker checker control . Intercompany Manual Journal entries (JE) are not being reviewed prior to posting.​_x000a__x000a_Pre-approval of standard Journal entries (Intercompany) received at the beginning of the year from TENNECO Finance POC. The approval is received over email. ​_x000a_Kolkata SSC posts entries for Intercompany accruals and as well as invoice posting, creating a SOD conflict_x000a_Park and post functionality is not being used ​_x000a_The above are non adherence to company policy"/>
    <s v="No"/>
    <s v="1. All non- standard manual JVs (including Intercompany) must be approved prior to posting. This includes recurrent JVs with varying amounts. _x000a_2. Approvals must be sought for every non-standard journal entry  prior to posting, over SharePoint (not via email). Define GOA Matrix at the pitcher site._x000a_3.Enable park and post functionality on SAP (as per corporate policy , separate individuals should prepare and post journal entries)​_x000a_4. Review accesses of GL team at SSC Kolkata to remove conflicting user roles_x000a_5.Consider configuration of a workflow tool where auto posting of manual journal entries follows the necessary approvals in the system (best practice)"/>
    <s v=""/>
    <x v="2"/>
    <x v="6"/>
    <s v=""/>
    <s v="Georgeta Diaconu- Head of DriV SSC"/>
    <s v="Open"/>
    <s v=""/>
    <x v="0"/>
    <s v=""/>
    <s v=""/>
    <s v="Not Completed"/>
    <s v="Chawla"/>
    <s v=""/>
    <s v=""/>
    <s v=""/>
    <s v=""/>
    <s v=""/>
    <s v=""/>
    <s v=""/>
    <s v=""/>
    <s v=""/>
    <s v=""/>
    <s v=""/>
    <s v=""/>
    <s v=""/>
    <s v=""/>
    <s v=""/>
    <s v=""/>
    <s v=""/>
    <d v="2025-01-13T00:00:00"/>
    <d v="2025-01-15T00:00:00"/>
    <s v="08/05/2025"/>
    <n v="82"/>
    <x v="2"/>
    <x v="0"/>
  </r>
  <r>
    <s v="TEN-1639"/>
    <s v="2025"/>
    <x v="4"/>
    <s v="Genpact ERC"/>
    <x v="0"/>
    <x v="18"/>
    <x v="3"/>
    <x v="12"/>
    <s v="Revenue and Receivables"/>
    <s v="Intercompany and manual JVs"/>
    <x v="19"/>
    <s v="Moderate"/>
    <s v="PEFR-68"/>
    <s v=""/>
    <s v="SSC / Phase 1 / Genpact ERC / 2025"/>
    <s v="Open unreconciled IC balances"/>
    <s v="DRIV: Open legacy IC  balance (as on 30th Nov 2024) as on  of -3.8 Mn USD (ageing &gt;90 days is -2.67 Mn ). on IC AP accruals(T&amp;E reclass). This balance has not been cleared as the corresponding IC vendor number is not set up in the system. Hence, amounts cannot be moved from accruals against a particular IC vendor payment."/>
    <s v="No"/>
    <s v="There must be a defined action plan to set up vendor in SAP and for AP team to post the affiliate invoices. GL team access from AP Subledger must be revoked"/>
    <s v=""/>
    <x v="2"/>
    <x v="6"/>
    <s v=""/>
    <s v="Georgeta Diaconu- Head of DriV SSC"/>
    <s v="Open"/>
    <s v=""/>
    <x v="0"/>
    <s v=""/>
    <s v=""/>
    <s v="Not Completed"/>
    <s v="Chawla"/>
    <s v="A, C, CO, E/O, P&amp;D, R&amp;O, V"/>
    <s v=""/>
    <s v=""/>
    <s v=""/>
    <s v=""/>
    <s v=""/>
    <s v=""/>
    <s v=""/>
    <s v=""/>
    <s v=""/>
    <s v=""/>
    <s v=""/>
    <s v=""/>
    <s v=""/>
    <s v=""/>
    <s v=""/>
    <s v=""/>
    <d v="2025-01-13T00:00:00"/>
    <d v="2025-01-15T00:00:00"/>
    <s v="08/05/2025"/>
    <n v="82"/>
    <x v="2"/>
    <x v="0"/>
  </r>
  <r>
    <s v="TEN-1640"/>
    <s v="2025"/>
    <x v="4"/>
    <s v="Genpact ERC"/>
    <x v="0"/>
    <x v="16"/>
    <x v="4"/>
    <x v="11"/>
    <s v="Purchasing and Payables"/>
    <s v="Invoice Processing"/>
    <x v="17"/>
    <s v="Major"/>
    <s v="PAPA-12"/>
    <s v=""/>
    <s v="SSC / Phase 1 / Genpact ERC / 2025"/>
    <s v="Absence of 2/3 way match and duplicate identification functionality in QAD"/>
    <s v="QAD does not have functionality to identify duplicate invoice and perform automatic 3-way match._x000a__x000a_Location: PT_MX Aguascalientes"/>
    <s v="No"/>
    <s v="Absence of 2/3 way match and duplicate identification functionality in QAD"/>
    <s v="QAD duplicate identification to be enabled by IT. Basware is to be deployed to support with the 2/3 way match and provide enhanced query resolution and reporting capabilities."/>
    <x v="2"/>
    <x v="6"/>
    <s v=""/>
    <s v="Jeff Niszczak- PT, Clean Air, Ign , SSC; Petru Baciu"/>
    <s v="Open"/>
    <s v=""/>
    <x v="0"/>
    <s v="DAT is in place but it is not as efficient as being used where SAP is in place; Manual 3 way match in place - GR report is extracted and to serve as a base for identifying the invoices to validate and match."/>
    <s v=""/>
    <s v="Not Completed"/>
    <s v="Chawla"/>
    <s v="A, E/O, R&amp;O"/>
    <s v=""/>
    <s v=""/>
    <s v=""/>
    <s v=""/>
    <s v=""/>
    <s v=""/>
    <s v=""/>
    <s v=""/>
    <s v=""/>
    <s v=""/>
    <s v=""/>
    <s v=""/>
    <s v=""/>
    <s v=""/>
    <s v=""/>
    <s v=""/>
    <d v="2025-01-03T00:00:00"/>
    <d v="2025-01-03T00:00:00"/>
    <s v="08/05/2025"/>
    <n v="82"/>
    <x v="2"/>
    <x v="0"/>
  </r>
  <r>
    <s v="TEN-1642"/>
    <s v="2025"/>
    <x v="0"/>
    <s v="PwC"/>
    <x v="0"/>
    <x v="19"/>
    <x v="0"/>
    <x v="1"/>
    <s v="Production and Inventory"/>
    <s v="Phyiscal Count"/>
    <x v="20"/>
    <s v="Major"/>
    <s v="PINV-01"/>
    <s v=""/>
    <s v="Bhiwadi SPG (PS) - Full Scope 2025 "/>
    <s v="Inventory Count Differences need review and corrective action "/>
    <s v="Inaccuracy in consumption of material per BOM vs. Actual_x000a_Per the current location process, movement type 701 and 702 are commonly used to post adjustments in process yield in consumption of raw materials &amp; these were managed through physical / cycle count inventory adjustments in SAP during the year too..  _x000a_Noted 290 of 17901 (1.6%) items where physical count adjustments were posted throughout the year 2024. Management noted that consumption booked as per BOM was inaccurate and hence stock was updated to reflect actual physical quantities on hand. Gross Year end PI adjustment amounted to INR 62 lacs ($ 73K) representing 1.1% of 2024 COGS._x000a_Difference in Inventory count during Year end Counts_x000a_Location confirmed that the Statutory auditors conducted a Physical Count of Inventory on 30th Dec 2024, noted the following discrepancies -  _x000a_Location had not disabled the ERP user access during the year-end 2024 physical count._x000a_Inventory count sheets currently include pre-filled quantities as part of their regular process. _x000a_Net Inventory discrepancies of Rs. 17.44 lacs ($20K) were noted however,  Gross difference was Rs. 55.17 lacs ($64.9K). This difference was approx. 1% of COGS, however, no formal reasons were noted as part of an analysis in the documentation retained."/>
    <s v="Yes"/>
    <s v="Review and document reasons for significant inventory count differences as part of year-end close._x000a_Ensure BOMs are updated annually based on prior period yield adjustments (using 701/702 movements) &amp; for any std cost changes due to manufactured / bought out parts._x000a_Restrict and monitor movement types 701/702; this should require documentation and approval for all adjustments."/>
    <s v="BOM  are regularly reviewed and corrected timely .if any major gap found by operation team  based on actual recorded  of  particular  BOM.  As we  explained  that  this is not BOM problem . 1% Variance in  annual count is normal according to our  Product  and  Manufacturing process  due to  heat  Shrinkage and  producing  Bulk &amp; Cut Length  of  Twist tube and  Flex Guard according to customer requirement.  "/>
    <x v="0"/>
    <x v="4"/>
    <s v=""/>
    <s v="Tarun / Kuldeep "/>
    <s v="Open"/>
    <d v="2025-12-31T00:00:00"/>
    <x v="0"/>
    <s v="For this Control need the  extension  till December 2025 due to  Year end  we  perform  wall to wall Inventory by  locking the  ERP user lock and tag properly  "/>
    <s v=""/>
    <s v="Not Completed"/>
    <s v="Chawla"/>
    <s v="A, C, E/O"/>
    <s v=""/>
    <s v=""/>
    <s v=""/>
    <s v=""/>
    <s v=""/>
    <s v=""/>
    <s v=""/>
    <s v=""/>
    <s v=""/>
    <s v=""/>
    <s v=""/>
    <s v=""/>
    <s v=""/>
    <s v=""/>
    <s v=""/>
    <s v=""/>
    <d v="2025-04-30T00:00:00"/>
    <d v="2025-07-29T00:00:00"/>
    <s v="08/05/2025"/>
    <n v="52"/>
    <x v="2"/>
    <x v="0"/>
  </r>
  <r>
    <s v="TEN-1652"/>
    <s v="2025"/>
    <x v="0"/>
    <s v="PwC"/>
    <x v="0"/>
    <x v="19"/>
    <x v="0"/>
    <x v="1"/>
    <s v="Revenue and Receivables"/>
    <s v="Month end Reconciliations "/>
    <x v="0"/>
    <s v="Major"/>
    <s v="PEFR-32"/>
    <s v=""/>
    <s v="Bhiwadi SPG (PS) - Full Scope 2025 "/>
    <s v="Unreconciled balances for One stream entity GURCORSGA"/>
    <s v="Account reconciliation not prepared &amp; absence of documentation for review_x000a_Company code 6350 reported under two entities, SPG-BA07 &amp; 08 (SPGBHIIND) / IT-BA20 (GURCORSGA). _x000a_IT – BA20 (GURCORSGA) was used as a consolidation entity for Corporate PTSB IT expenses, and the financials were loaded by Gurgaon Corporate office. Account reconciliations for BA20 were not available for Year 2024 &amp; YTD Feb 2025 &amp; not provided for review. Key Balances reported as on 31.12.2024 included : I/C Accounts Receivable / (Payable) ; Fixed assets ; AP Payables; Prepaid Non-Income taxes &amp; Payroll accruals _x000a_It was observed that the location does not retain any evidence of the review for preparing and compiling the Monthly Period End Accounting Close checklist. Furthermore, it was noted that the individual performing the procedure does not affix their initials and date to the checklist, resulting in no evidence to demonstrate the timely completion of activities as outlined in the checklist._x000a_Discrepancies in Intercompany Confirmations_x000a_Inter-company confirmations as of January 2025 had un-identified differences between the IT-BA20 (GURCORSGA) entity and other entities exceeding $10K._x000a_"/>
    <s v=""/>
    <s v="Log the actual completion date and reviewer initials for each close activity on the monthly checklist._x000a_Investigate and remove any inappropriate access to ERP._x000a_Resolve intercompany differences and ensure all reconciliations are completed per policy. "/>
    <s v="Not related to our OS entity, Need to work with PT  Team for these reconciliation. We  do IC  and GL Reconciliation on monthly which are shared with Audit team, But the balances will need to be moved to PT. ."/>
    <x v="0"/>
    <x v="4"/>
    <s v=""/>
    <s v=""/>
    <s v="Open"/>
    <s v=""/>
    <x v="0"/>
    <s v="This   is not related with SPG. So need to removed  from SPG Audit list and  report in PT"/>
    <s v=""/>
    <s v="Not Completed"/>
    <s v="Chawla"/>
    <s v="A"/>
    <s v=""/>
    <s v=""/>
    <s v=""/>
    <s v=""/>
    <s v=""/>
    <s v=""/>
    <s v=""/>
    <s v=""/>
    <s v=""/>
    <s v=""/>
    <s v=""/>
    <s v=""/>
    <s v=""/>
    <s v=""/>
    <s v=""/>
    <s v=""/>
    <d v="2025-04-30T00:00:00"/>
    <d v="2025-07-29T00:00:00"/>
    <s v="08/05/2025"/>
    <n v="52"/>
    <x v="2"/>
    <x v="0"/>
  </r>
  <r>
    <s v="TEN-1654"/>
    <s v="2025"/>
    <x v="0"/>
    <s v="PwC"/>
    <x v="1"/>
    <x v="19"/>
    <x v="0"/>
    <x v="1"/>
    <s v="Information Technology General Controls (ITGC)"/>
    <s v="Segregation of Duties "/>
    <x v="12"/>
    <s v="Major"/>
    <s v=""/>
    <s v=""/>
    <s v="Bhiwadi SPG (PS) - Full Scope 2025 "/>
    <s v="Segregation of duties conflicts noted in SAP Role assignment "/>
    <s v="Unmitigated risks and role overlap_x000a_Location users had excessive rights in ERP. For example, some SCM users can create Vendors, Create &amp; Approve PRs, Create POs, Approve POs; production users could create GRN and Quality Control could ship material. _x000a_Certain Finance activities had transitioned to Shared Services, however Plant Finance personnel still had access to create GRNs, Process Vendor Invoices, Run Payments, make Reversals and approve payments. _x000a_It was noted that the following changes are required:_x000a_Role reduction of 35 (17%) of 206 current roles_x000a_Role change of 11 roles - remove old role and grant a new role_x000a_"/>
    <s v=""/>
    <s v="Review and rationalize user roles to eliminate unnecessary or conflicting access._x000a_Conduct a role review bi-annually to maintain proper segregation and reduce overlap."/>
    <s v="All the SOD are  review with plant Manager  and   identified the  access gaps  for existing  users  which will be  corrected soon . "/>
    <x v="0"/>
    <x v="4"/>
    <s v=""/>
    <s v="Charan Yadav ( Plant Manager) "/>
    <s v="Open"/>
    <s v=""/>
    <x v="0"/>
    <s v="At Global level SPG  SAP Security  team is working on the SOD and  fixed it soon"/>
    <s v=""/>
    <s v="Not Completed"/>
    <s v="Chawla"/>
    <s v=""/>
    <s v=""/>
    <s v=""/>
    <s v=""/>
    <s v=""/>
    <s v=""/>
    <s v=""/>
    <s v=""/>
    <s v=""/>
    <s v=""/>
    <s v=""/>
    <s v=""/>
    <s v=""/>
    <s v=""/>
    <s v=""/>
    <s v=""/>
    <s v=""/>
    <d v="2025-04-30T00:00:00"/>
    <d v="2025-07-29T00:00:00"/>
    <s v="08/05/2025"/>
    <n v="52"/>
    <x v="2"/>
    <x v="0"/>
  </r>
  <r>
    <s v="TEN-1660"/>
    <s v="2025"/>
    <x v="0"/>
    <s v="IAD - Internal Team "/>
    <x v="1"/>
    <x v="20"/>
    <x v="5"/>
    <x v="13"/>
    <s v="Documentation "/>
    <s v=""/>
    <x v="21"/>
    <s v="Major"/>
    <s v=""/>
    <s v=""/>
    <s v="Bhd Ign/IA/2024 / WB Case"/>
    <s v="Ignition SOP Built Issue"/>
    <s v="Significant issues noted at Ign Bhiwadi Location - Location was tasked to ensure roll out of the SOP Built Project "/>
    <s v="No"/>
    <s v="SOP Built out project to be completed "/>
    <s v=""/>
    <x v="0"/>
    <x v="8"/>
    <s v=""/>
    <s v="Upkar Singh ( Plant Manager) "/>
    <s v="Open"/>
    <s v=""/>
    <x v="3"/>
    <s v=""/>
    <s v=""/>
    <s v="Not Completed"/>
    <s v="Chawla"/>
    <s v=""/>
    <s v=""/>
    <s v=""/>
    <s v=""/>
    <s v=""/>
    <s v=""/>
    <s v=""/>
    <s v=""/>
    <s v=""/>
    <s v=""/>
    <s v=""/>
    <s v=""/>
    <s v=""/>
    <s v=""/>
    <s v=""/>
    <s v=""/>
    <s v=""/>
    <d v="2025-01-01T00:00:00"/>
    <d v="2025-07-28T00:00:00"/>
    <s v="08/05/2025"/>
    <n v="-71"/>
    <x v="1"/>
    <x v="1"/>
  </r>
  <r>
    <s v="TEN-1661"/>
    <s v="2025"/>
    <x v="0"/>
    <s v="IAD - Internal Team "/>
    <x v="1"/>
    <x v="21"/>
    <x v="0"/>
    <x v="0"/>
    <s v="Treasury - Cash and Investments"/>
    <s v="Banking"/>
    <x v="16"/>
    <s v="Critical"/>
    <s v=""/>
    <s v=""/>
    <s v="Hosur / PS BU / 2023 "/>
    <s v="H2H Vendor Payment Setup Hosur"/>
    <s v="Significant issues noted at Hosur AP Payments - Location was tasked to ensure roll out of the H2H connectivity for BOA coonetivity for reconciliations / vendor payments and enabling payment advice to vendors "/>
    <s v="No"/>
    <s v="H2H with BOA to be implemented alongwith Vendor payment advice rollout "/>
    <s v=""/>
    <x v="2"/>
    <x v="9"/>
    <s v=""/>
    <s v="SS Srinivas ( Finance Director)"/>
    <s v="Open"/>
    <s v=""/>
    <x v="0"/>
    <s v=""/>
    <s v=""/>
    <s v="Not Completed"/>
    <s v="Chawla"/>
    <s v=""/>
    <s v=""/>
    <s v=""/>
    <s v=""/>
    <s v=""/>
    <s v=""/>
    <s v=""/>
    <s v=""/>
    <s v=""/>
    <s v=""/>
    <s v=""/>
    <s v=""/>
    <s v=""/>
    <s v=""/>
    <s v=""/>
    <s v=""/>
    <s v=""/>
    <d v="2025-01-01T00:00:00"/>
    <d v="2025-07-28T00:00:00"/>
    <s v="08/05/2025"/>
    <n v="113"/>
    <x v="3"/>
    <x v="0"/>
  </r>
  <r>
    <s v="TEN-1662"/>
    <s v="2025"/>
    <x v="0"/>
    <s v="IAD - Internal Team "/>
    <x v="1"/>
    <x v="22"/>
    <x v="0"/>
    <x v="14"/>
    <s v="Treasury - Cash and Investments"/>
    <s v="Banking"/>
    <x v="16"/>
    <s v="Critical"/>
    <s v=""/>
    <s v=""/>
    <s v="Genpact -SSC/ PS BU / 2025 "/>
    <s v="Genpact granted Access Rights to PS Banks "/>
    <s v="Following Control issues noted in SSC rollout of payments processs to Genpact -  Performance Solution BU                                                                                                                                                     a.Genpact teams are already accessing the below accounts to make payments to vendors _x000a_b.Files are loaded manually / sometimes as excel uploads and other times as manual inputs on bank sites with updates to fields like bank account details and amounts _x000a_c.Locations for these banks USE ONE TIME VENDOR codes also which are inherently RISKY as they allow vendor invoice processors to change bank account numbers manually as the data is not fetched from masters _x000a_d.Locations DO NOT have any second authorized signatory as both signatories are in GENPACT and not Value caps exist_x000a_e.Genpact additionally performs Bank Reconciliations also , adding to the above risk multiple fold "/>
    <s v="No"/>
    <s v="PS Locations moved AP payments to SSC Genpact , however Bank Access also transitioned , this shall need to be moved back in house ) "/>
    <s v=""/>
    <x v="2"/>
    <x v="4"/>
    <s v=""/>
    <s v="Swati Agarwal  (Executive DirectorFinance) Arup Mukherjee ( Finance Director, Performance Solutions) "/>
    <s v="Open"/>
    <s v=""/>
    <x v="0"/>
    <s v=""/>
    <s v=""/>
    <s v="Not Completed"/>
    <s v="Chawla"/>
    <s v=""/>
    <s v=""/>
    <s v=""/>
    <s v=""/>
    <s v=""/>
    <s v=""/>
    <s v=""/>
    <s v=""/>
    <s v=""/>
    <s v=""/>
    <s v=""/>
    <s v=""/>
    <s v=""/>
    <s v=""/>
    <s v=""/>
    <s v=""/>
    <s v=""/>
    <d v="2025-07-23T00:00:00"/>
    <d v="2025-07-28T00:00:00"/>
    <s v="08/05/2025"/>
    <n v="52"/>
    <x v="2"/>
    <x v="0"/>
  </r>
  <r>
    <s v="TEN-1663"/>
    <s v="2025"/>
    <x v="0"/>
    <s v="IAD - Internal Team "/>
    <x v="1"/>
    <x v="22"/>
    <x v="0"/>
    <x v="14"/>
    <s v="Compliance  "/>
    <s v="Compliannce Tool"/>
    <x v="21"/>
    <s v="Major"/>
    <s v=""/>
    <s v=""/>
    <s v="PS BU / Compliance Tool /  2025 "/>
    <s v="Compliance Tool Roll Out  for PS BU "/>
    <s v="Rollout of Global Complince Tool  for PS BU "/>
    <s v="No"/>
    <s v="Compliance Tool Roll out for PS Locations "/>
    <s v=""/>
    <x v="2"/>
    <x v="10"/>
    <s v=""/>
    <s v="Kapil Abrol (Director- Taxation) / Ian Burns (Executive Director)"/>
    <s v="Open"/>
    <s v=""/>
    <x v="0"/>
    <s v=""/>
    <s v=""/>
    <s v="Not Completed"/>
    <s v="Chawla"/>
    <s v=""/>
    <s v=""/>
    <s v=""/>
    <s v=""/>
    <s v=""/>
    <s v=""/>
    <s v=""/>
    <s v=""/>
    <s v=""/>
    <s v=""/>
    <s v=""/>
    <s v=""/>
    <s v=""/>
    <s v=""/>
    <s v=""/>
    <s v=""/>
    <s v=""/>
    <d v="2025-07-01T00:00:00"/>
    <d v="2025-07-28T00:00:00"/>
    <s v="08/05/2025"/>
    <n v="21"/>
    <x v="2"/>
    <x v="0"/>
  </r>
  <r>
    <s v="TEN-1664"/>
    <s v="2025"/>
    <x v="0"/>
    <s v="IAD - Internal Team "/>
    <x v="1"/>
    <x v="23"/>
    <x v="1"/>
    <x v="3"/>
    <s v="Period End Financial Reporting"/>
    <s v=""/>
    <x v="22"/>
    <s v="Major"/>
    <s v=""/>
    <s v=""/>
    <s v="All BU / SAP Period end process / 2025 "/>
    <s v="Excessive SAP Rights for Month end activity - Book Closure / Global "/>
    <s v="Business units to note improvements required in Month end access for period open and close in SAP                                                                                                                                                                                           1. Consider refinement of policy – restrict access, cut-off times_x000a_2.Explore any system automation or workflows to better enable _x000a_3.Governance - granting access, open/close – enhancing controls"/>
    <s v="No"/>
    <s v="Review accessive rights granted for period end Open and close in SAP"/>
    <s v=""/>
    <x v="2"/>
    <x v="10"/>
    <s v=""/>
    <s v="All BU Leads - Dana Schick ( Segment Controller CA/PT) , Arup Mukherjee ( Finance Director, Performance Solutions), Devang (Executive Director and Chief Accounting Officer) "/>
    <s v="Open"/>
    <s v=""/>
    <x v="0"/>
    <s v=""/>
    <s v=""/>
    <s v="Not Completed"/>
    <s v="Chawla"/>
    <s v=""/>
    <s v=""/>
    <s v=""/>
    <s v=""/>
    <s v=""/>
    <s v=""/>
    <s v=""/>
    <s v=""/>
    <s v=""/>
    <s v=""/>
    <s v=""/>
    <s v=""/>
    <s v=""/>
    <s v=""/>
    <s v=""/>
    <s v=""/>
    <s v=""/>
    <d v="2025-07-01T00:00:00"/>
    <d v="2025-07-28T00:00:00"/>
    <s v="08/05/2025"/>
    <n v="21"/>
    <x v="2"/>
    <x v="0"/>
  </r>
  <r>
    <s v="TEN-1670"/>
    <s v="2025"/>
    <x v="0"/>
    <s v="KPMG"/>
    <x v="0"/>
    <x v="21"/>
    <x v="0"/>
    <x v="0"/>
    <s v="Property, Plant, and Equipment"/>
    <s v="Depreciation"/>
    <x v="23"/>
    <s v="Critical"/>
    <s v="PPAE-15"/>
    <s v=""/>
    <s v="Hosur MRS (PS) - Full Scope 2025 "/>
    <s v="Inaccurate Depreciation computed for Fixed assets"/>
    <s v="Depreciation: On review of accumulated depreciation for all assets mapped in FAR, noted 74 assets wherein depreciation charged post revaluation of assets from revaluation date 15th Nov’2022 to 1st January 2024 was incorrectly calculated and updated in SAP. Net Impact on accumulated depreciation as on 31st January 2025 amounting to Rs 45.51 lacs ($53.54k) under-stated in PL  Refer table below for breakdown of increase/decrease over such assets: _x000a_Further, it was observed that additional depreciation was not charged for 15 assets which underwent an addition during the year.. Net impact on depreciation over such assets amounting to Rs. 1 lacs ($ 1.18k) (Refer Annexure 1 (1))_x000a_Capitalization of Low-Value Assets, not depreciated in the year of acquisition: Asset acquisition valuing less than $5K are being capitalized in FAR throughout the period 2012 to 2024. The carrying value of these assets has been carried forward to the subsequent calendar year's net block as on Jan’25 for such assets amounts to Rs 25.54 lacs ($30.05k). (Refer Annexure 1 (2))"/>
    <s v="Yes"/>
    <s v="Conduct a comprehensive review of tagging of depreciation key in FAR-SAP._x000a_Implement automated validation checks in SAP to prevent errors in depreciation calculations post-revaluation. Also, while addition made to existing asset, re-evaluation of useful life to combined asset should be assess._x000a_Configure automated key tagging to asset capitalization below $5K to ensure accuracy"/>
    <s v="Depreciation: _x000a_Revaluation has been performed by the corporate team and updated by IT team in 2024. We will take the support from IT team to co-ordinate with the SPOC and update the corrections in the month of Jun 25._x000a_Capitalization of Low-Value Assets:_x000a_As the sample are taken from the period 2012 to 2024. We will be taking the approval from FD and same will be charged off in June’25"/>
    <x v="2"/>
    <x v="4"/>
    <s v=""/>
    <s v="K Kothai (Finance)"/>
    <s v="Open"/>
    <s v=""/>
    <x v="0"/>
    <s v=""/>
    <s v=""/>
    <s v="Not Completed"/>
    <s v="Chawla"/>
    <s v="A, C, E/O"/>
    <s v=""/>
    <s v=""/>
    <s v=""/>
    <s v=""/>
    <s v=""/>
    <s v=""/>
    <s v=""/>
    <s v=""/>
    <s v=""/>
    <s v=""/>
    <s v=""/>
    <s v=""/>
    <s v=""/>
    <s v=""/>
    <s v=""/>
    <s v=""/>
    <d v="2025-04-30T00:00:00"/>
    <d v="2025-07-29T00:00:00"/>
    <s v="08/14/2025"/>
    <n v="52"/>
    <x v="2"/>
    <x v="0"/>
  </r>
  <r>
    <s v="TEN-1671"/>
    <s v="2025"/>
    <x v="0"/>
    <s v="KPMG"/>
    <x v="0"/>
    <x v="21"/>
    <x v="0"/>
    <x v="0"/>
    <s v="Property, Plant, and Equipment"/>
    <s v="Valuation of assets "/>
    <x v="24"/>
    <s v="Major"/>
    <s v="PPAE-35"/>
    <s v=""/>
    <s v="Hosur MRS (PS) - Full Scope 2025 "/>
    <s v="Incorrect revaluation &amp; quantity in PPE’s"/>
    <s v="Incorrect Fixed Asset Register Mapping and Asset Quantity Errors?Revaluation of assets: Noted 1 asset where acquisition value is incorrectly mapped in FAR post revaluation of asset. For asset #122740 revalued amount was Rs 36.16 lacs ($42.55k) however, gross block mapped in FAR for Rs 39.78 lacs ($46.8k) i.e. excess gross block by Rs 3.61 lacs ($4.25k) revalued. This would lead to incorrect depreciation recording in the books of accounts._x000a__x000a__x000a_Asset created without quantity field in FAR : During the review of FAR, noted 31 instances of Machines &amp; Equipment, where multiple asset were capitalized in one asset code without stating the quantities. (Refer Annexure 1 (3))_x000a__x000a__x000a_Delay in capitalization: Noted 1 assets (Boundary wall) amounting to Rs. 19.85 lacs ($23.35k)  where the capital work had been completed in April 2024. However, due to delays in obtaining the capitalization certificates from respective department, these assets were not capitalized and depreciated in books until Jan’25. Net Depreciation impact Rs 0.93 Lacs ($1.1k) (Refer Annexure 2 (2))"/>
    <s v=""/>
    <s v="Maker-checker controls should be established, post updating revalued asset in FAR _x000a_All asset quantities should be accurately updated._x000a_CWIP certificate should be call out from all department on monthly basis."/>
    <s v="Revaluation of assets: Acquisition value is incorrectly mapped in FAR post revaluation of asset (122740) in 2024. We will take the support from IT team to co-ordinate with the SPOC &amp; update the corrections_x000a_Asset created without quantity field in FAR: The sample shown are for the period 1984 to 2018, So we will take the approval of FD and get the quantity and update the same in June’25_x000a_Delay in capitalization: As vendor did not complete the job due to non following the Tenneco guidelines &amp; agreement was for fitted post completion of one part. Following to another part of job new asset code was created and same is being capitalized. Add. Dep will be charged."/>
    <x v="0"/>
    <x v="4"/>
    <s v=""/>
    <s v="K Kothai (Finance)"/>
    <s v="Open"/>
    <s v=""/>
    <x v="0"/>
    <s v=""/>
    <s v=""/>
    <s v="Not Completed"/>
    <s v="Chawla"/>
    <s v="A, C, CO, E/O, P&amp;D, R&amp;O, V"/>
    <s v=""/>
    <s v=""/>
    <s v=""/>
    <s v=""/>
    <s v=""/>
    <s v=""/>
    <s v=""/>
    <s v=""/>
    <s v=""/>
    <s v=""/>
    <s v=""/>
    <s v=""/>
    <s v=""/>
    <s v=""/>
    <s v=""/>
    <s v=""/>
    <d v="2025-04-30T00:00:00"/>
    <d v="2025-07-29T00:00:00"/>
    <s v="08/14/2025"/>
    <n v="52"/>
    <x v="2"/>
    <x v="0"/>
  </r>
  <r>
    <s v="TEN-1672"/>
    <s v="2025"/>
    <x v="0"/>
    <s v="KPMG"/>
    <x v="0"/>
    <x v="21"/>
    <x v="0"/>
    <x v="0"/>
    <s v="Property, Plant, and Equipment"/>
    <s v="Physical count"/>
    <x v="7"/>
    <s v="Moderate"/>
    <s v="PPAE-32"/>
    <s v=""/>
    <s v="Hosur MRS (PS) - Full Scope 2025 "/>
    <s v="Monitoring over tagging of assets, tools and management of idle assets"/>
    <s v="Fixed Asset Tagging and Idle Assets Not Reviewed_x000a__x000a_Physical Verification : During physical verification of 25 sample fixed assets:_x000a_2 assets were identified without asset tagging, making it challenging to track them in the Fixed Asset Register._x000a_2 assets were observed with multiple asset tags attached to a single piece of machinery, leading to potential confusion in asset identification and tracking. (Refer Annexure 2 (1))_x000a_1 asset was found to have been non-operational for an extended period; however, it had not been categorized as an idle asset in the system_x000a_Absence of monitoring over Product tooling sent to supplier location :  Noted that tooling owned by Tenneco physically existed at vendor / supplier locations and were capitalized in Tenneco FAR. Although, quantity of such assets at vendor location could not be identified due to non-availability of location mapping in FAR. Also, RFA (Returnable Fixed Assets) process not in place for such tooling."/>
    <s v="Yes"/>
    <s v="Ensure all assets have a unique identifier in the Fixed Asset Register to improve tracking and reconciliation._x000a_Explore adding vendor location in the FAR and obtain annual confirmation from vendors to regularly monitor the company owned tools"/>
    <s v="Physical Verification :_x000a_Tagging were available at the site for the sample selected however there was issue in identification further this will be improved and ensure the right tagging. _x000a_We have the review mechanisms for idle asset however for ambulance no vendor was showing interest in bidding hence we decided to scrap and  it is  under necessary approvals for scrapping._x000a_Absence of monitoring over Product tooling sent to supplier location: We have identified the Vendor asset with the help of GP team and action has been implemented  basis the  recommendation."/>
    <x v="2"/>
    <x v="4"/>
    <s v=""/>
    <s v="MAHESH (MET), VENKATESH (HR)"/>
    <s v="Open"/>
    <s v=""/>
    <x v="0"/>
    <s v=""/>
    <s v=""/>
    <s v="Not Completed"/>
    <s v="Chawla"/>
    <s v="A, C, E/O, V"/>
    <s v=""/>
    <s v=""/>
    <s v=""/>
    <s v=""/>
    <s v=""/>
    <s v=""/>
    <s v=""/>
    <s v=""/>
    <s v=""/>
    <s v=""/>
    <s v=""/>
    <s v=""/>
    <s v=""/>
    <s v=""/>
    <s v=""/>
    <s v=""/>
    <d v="2025-04-30T00:00:00"/>
    <d v="2025-07-31T00:00:00"/>
    <s v="08/14/2025"/>
    <n v="52"/>
    <x v="2"/>
    <x v="0"/>
  </r>
  <r>
    <s v="TEN-1686"/>
    <s v="2025"/>
    <x v="0"/>
    <s v="KPMG"/>
    <x v="0"/>
    <x v="21"/>
    <x v="0"/>
    <x v="0"/>
    <s v="Revenue and Receivables"/>
    <s v="Master data"/>
    <x v="25"/>
    <s v="Major"/>
    <s v="REVE-63"/>
    <s v=""/>
    <s v="Hosur MRS (PS) - Full Scope 2025 "/>
    <s v="Changes in price as per price master and sales register"/>
    <s v="Pricing Date Changes and Variances between Price Master and Sales Register_x000a__x000a_Pricing Change Rights : Noted that the sales order creation team has editing rights for the pricing date in SAP (backdated pricing). As a result, pricing in sales orders is adjusted based on the pricing master values on the edited date, and the same revised prices are mapped to invoicing. This may result in potential revenue leakages._x000a_Currently there are, 2 Junior level team member in sales order creation team having backdated pricing rights in system _x000a__x000a_Price Master v/s Sales Register : Upon reviewing the price master and sales register, a variance was identified between the sale price recorded in the sales register and the prices listed in the price master for the same customer and the same material code. This discrepancy had a financial impact amounting to Rs 1.87 lacs ($2.2K). (Refer Annexure 10(2))_x000a__x000a_It was observed that due to Time gap in between Server time in Europe (CET) and India (IST) which is apprx. 3.5 hours, Old Selling prices are being auto picked  while creation of SO/ Sales Invoices."/>
    <s v=""/>
    <s v="1. Implement role-based access controls in SAP to ensure only authorized personnel can modify pricing dates._x000a_2. Establish an automated pricing validation process to ensure sale prices align with the price master at the time of invoicing."/>
    <s v="Price Change Rights: We had checked with Europe team currently its not possible to change the option to disable in pricing date. In future any enhancement that time will try to implement_x000a_Price Master vs Sales Register: As explained by us we had raised the supplementary invoices for 1.87 lacs subsequently"/>
    <x v="2"/>
    <x v="1"/>
    <s v=""/>
    <s v="Hemalata, Vaibhav Joshi (Sales Director)"/>
    <s v="Open"/>
    <s v=""/>
    <x v="1"/>
    <s v=""/>
    <s v=""/>
    <s v="Not Completed"/>
    <s v="Chawla"/>
    <s v="A"/>
    <s v=""/>
    <s v=""/>
    <s v=""/>
    <s v=""/>
    <s v=""/>
    <s v=""/>
    <s v=""/>
    <s v=""/>
    <s v=""/>
    <s v=""/>
    <s v=""/>
    <s v=""/>
    <s v=""/>
    <s v=""/>
    <s v=""/>
    <s v=""/>
    <d v="2025-04-30T00:00:00"/>
    <d v="2025-07-31T00:00:00"/>
    <s v="08/14/2025"/>
    <n v="-40"/>
    <x v="1"/>
    <x v="1"/>
  </r>
  <r>
    <s v="TEN-1691"/>
    <s v="2025"/>
    <x v="0"/>
    <s v="KPMG"/>
    <x v="0"/>
    <x v="21"/>
    <x v="0"/>
    <x v="0"/>
    <s v="Payroll"/>
    <s v="Time recording"/>
    <x v="26"/>
    <s v="Major"/>
    <s v="PAYR-03"/>
    <s v=""/>
    <s v="Hosur MRS (PS) - Full Scope 2025 "/>
    <s v="Manual process of recording attendance for contractual employees"/>
    <s v="Gaps in Attendance Tracking, Compliance with Labor Regulations, and Employee Data Management_x000a__x000a_Attendance of Contractual Employees : Time in and time out of contractual employees is recorded on a timecard, which is signed by the security guard and departmental supervisor. However, there is no biometric system in place for tracking contractual employees' attendance, raising concerns on reliance over manual data for processing invoices, prone to manual errors &amp; potential overpayments_x000a_Attendance of Security Personnel: The security supervisor independently marks the attendance for all security personnel without the involvement of the HR team. Verification of attendance is conducted by the HR team at the end of the day for both 12-hour shifts._x000a_Furthermore, the attendance register is kept in the custody of security at the gate, and no biometric system is utilized for tracking attendance._x000a__x000a_Compliance with Labor Regulations : Noted count of contractual employees authorized as per Tenneco RC exceeds the number of contractual employees permitted under the Contract Labor Act, 1971 (Refer Annexure 16(2))"/>
    <s v=""/>
    <s v="Implement a biometric attendance system to ensure precise and tamper-proof tracking of contractual employees' time in and time out._x000a_Align workforce planning with the Contract Labor Act, 1971, ensuring contractual employee counts do not exceed permitted limits."/>
    <s v="Contractual Employees: Planning to implement bio metric system for contract labours including Security._x000a_Security Personnel: The necessary counter measure (Attendance Register is now placed at HR Office has taken and implemented for eliminating the SOD conflict of security personnel attendance_x000a_Labor Regulations: Application  has been submitted by contractors for amendment of License and submitted supporting docs to auditors as well. However, the Authority has confirmed that the amended license would be receiving during next renewal."/>
    <x v="0"/>
    <x v="3"/>
    <s v=""/>
    <s v="Deepika Chouhan - HR"/>
    <s v="Open"/>
    <s v=""/>
    <x v="2"/>
    <s v=""/>
    <s v=""/>
    <s v="Not Completed"/>
    <s v="Chawla"/>
    <s v="A, E/O"/>
    <s v=""/>
    <s v=""/>
    <s v=""/>
    <s v=""/>
    <s v=""/>
    <s v=""/>
    <s v=""/>
    <s v=""/>
    <s v=""/>
    <s v=""/>
    <s v=""/>
    <s v=""/>
    <s v=""/>
    <s v=""/>
    <s v=""/>
    <s v=""/>
    <d v="2025-04-30T00:00:00"/>
    <d v="2025-07-31T00:00:00"/>
    <s v="08/14/2025"/>
    <n v="-9"/>
    <x v="1"/>
    <x v="1"/>
  </r>
  <r>
    <s v="TEN-1707"/>
    <s v="2025"/>
    <x v="0"/>
    <s v="Genpact - ERC"/>
    <x v="1"/>
    <x v="24"/>
    <x v="0"/>
    <x v="15"/>
    <s v="Production and Inventory"/>
    <s v="Inventory Transfer"/>
    <x v="27"/>
    <s v="Critical"/>
    <s v="PINV-02"/>
    <s v=""/>
    <s v="Celaya, PS (MRS) - Full Scope 2025"/>
    <s v="Unreconciled Inventory post closure of Kettering Plant"/>
    <s v="Kettering Plant, based out of United States was closed in year 2023 and part of direct material inventory was transferred to Celaya post closure._x000a__x000a_During the review of the inventory‑transfer process following the 2023 closure of the Kettering plant, we noted:_x000a_Out of the MXN 286 Mn (USD 14.5 Mn) closing inventory at 2022 year‑end, only MXN 132 Mn (USD 6.7 Mn) was transferred to the Celaya plant and MXN 1.3 Mn (USD 70K) remained at Kettering plant as on 31st December 2024._x000a_Further, we noted that there was no record or tracking of the remaining MXN 154 Mn (USD 7.8 Mn) of inventory, and the inventory team was unaware of its status."/>
    <s v="No"/>
    <s v="Reconcile &amp; Investigate: Conduct an immediate physical count at Celaya and any residual Kettering locations to locate or write off the untracked stock, with documented disposition_x000a_Formalize Transfer Procedures: Develop and enforce a plant‑closure inventory transfer protocol—mandating SAP transfer postings, dual sign‑off &amp; cut‑over checklists"/>
    <s v="Kettering’s plant inventory is separated from Celaya records, the responsibility of inventory management was not under Celaya scope during the plant closing. Corresponding records of the USD 7.8M allocations are located at the corporate files storage site. Of the USD 6.7M direct material amount that was transferred to Celaya. The existing stock balance is included in Celaya’s records. The material is part of the annual physical inventory, continuous cyclic counts and excess and obsolete reserve processes. As of today USD 1.4M are already included in the excess and obsolete reserve, the remaining balance is included in the periodic analysis required by the corporate policy and it is applied as mandated"/>
    <x v="0"/>
    <x v="4"/>
    <s v=""/>
    <s v="Hector Casas, Plant Controller_x000a_Arup Mukherjee, PS Controller"/>
    <s v="Open"/>
    <s v=""/>
    <x v="0"/>
    <s v=""/>
    <s v=""/>
    <s v="Not Completed"/>
    <s v="Chawla"/>
    <s v="A, C, CO, E/O, P&amp;D, R&amp;O, V"/>
    <s v=""/>
    <s v=""/>
    <s v=""/>
    <s v=""/>
    <s v=""/>
    <s v=""/>
    <s v=""/>
    <s v=""/>
    <s v=""/>
    <s v=""/>
    <s v=""/>
    <s v=""/>
    <s v=""/>
    <s v=""/>
    <s v=""/>
    <s v=""/>
    <d v="2025-04-19T00:00:00"/>
    <d v="2025-08-01T00:00:00"/>
    <s v="08/29/2025"/>
    <n v="52"/>
    <x v="2"/>
    <x v="0"/>
  </r>
  <r>
    <s v="TEN-1708"/>
    <s v="2025"/>
    <x v="0"/>
    <s v="Genpact - ERC"/>
    <x v="0"/>
    <x v="24"/>
    <x v="0"/>
    <x v="15"/>
    <s v="Production and Inventory"/>
    <s v="Inventory Accounting"/>
    <x v="20"/>
    <s v="Major"/>
    <s v="PINV-01"/>
    <s v=""/>
    <s v="Celaya, PS (MRS) - Full Scope 2025"/>
    <s v="Incorrect accounting to record inventory variances in SAP"/>
    <s v="At the time of Annual Physical Inventory (API) verification, Inventory team records status of inventory in SAP with a positive value if the stock found physically is less than or equal to quantity recorded in SAP. If the physical stock is found in more quantity than SAP quantity, inventory is recorded with a negative value._x000a__x000a_During our review of SAP inventory at the North Plant (Celaya) as on 26th March 2025, we noted:_x000a_SAP reflected approximately MXN 12.75 Mn (USD 639K) of negative stock. Further inquiry revealed that, during the Annual Physical Inventory Verification, excess items found in the warehouse were posted in SAP using negative‐quantity entries rather than correcting the underlying stock records"/>
    <s v="No"/>
    <s v="Standardize Adjustment Procedures: Develop and train staff on a formal process to investigate and correct inventory variances—using positive‐quantity adjustment transactions tied to documented count sheets._x000a_Goods receipt of missing items shall be created to correct negative stock in SAP._x000a_SAP configuration to prohibit negative stock shall be enabled._x000a_Inventory levels shall be monitored and reviewed regularly, and necessary adjustments shall be performed to avoid future negative stock."/>
    <s v="We will work with the materials team to develop a final report that only shows real variances, not just location variances, as positive values for material found and negative values for missing material; this modified report should be available for the next API process this year."/>
    <x v="2"/>
    <x v="1"/>
    <s v=""/>
    <s v="Emilio Mata Arturo, Plant Finance Manager_x000a_Michael Prashaw, Global IT Manager"/>
    <s v="Open"/>
    <s v=""/>
    <x v="1"/>
    <s v=""/>
    <s v=""/>
    <s v="Not Completed"/>
    <s v="Chawla"/>
    <s v="A, C, E/O"/>
    <s v=""/>
    <s v=""/>
    <s v=""/>
    <s v=""/>
    <s v=""/>
    <s v=""/>
    <s v=""/>
    <s v=""/>
    <s v=""/>
    <s v=""/>
    <s v=""/>
    <s v=""/>
    <s v=""/>
    <s v=""/>
    <s v=""/>
    <s v=""/>
    <d v="2025-04-19T00:00:00"/>
    <d v="2025-08-01T00:00:00"/>
    <s v="08/29/2025"/>
    <n v="-40"/>
    <x v="1"/>
    <x v="1"/>
  </r>
  <r>
    <s v="TEN-1709"/>
    <s v="2025"/>
    <x v="0"/>
    <s v="Genpact - ERC"/>
    <x v="0"/>
    <x v="24"/>
    <x v="0"/>
    <x v="15"/>
    <s v="Production and Inventory"/>
    <s v="Inventory Valuation"/>
    <x v="28"/>
    <s v="Major"/>
    <s v="PINV-02"/>
    <s v=""/>
    <s v="Celaya, PS (MRS) - Full Scope 2025"/>
    <s v="Long-aged inventory noted in Annual Physical Inventory (API) Verification Report"/>
    <s v="Annual Physical Inventory (API) verification was performed at Celaya North Plant on 19th December 2024 basis which ageing of inventory was updated in SAP.  For differences found in SAP vs physical inventory, adjustments were made post approval from Plant Controller._x000a__x000a_During review of Annual Physical Inventory (API) verification report, we noted that total inventory of MXN 303 Mn (USD 15.2 Mn) was recorded in SAP at North Plant (Celaya). Out of this, Inventory of MXN 83 Mn (USD 4.2 Mn) was aged between 2015 and 2023, yet no items had been classified as obsolete, slow‑moving or fast‑moving—and there was no segregation of stock by these categories."/>
    <s v="No"/>
    <s v="Establish Classification Criteria: Define clear thresholds (e.g., &gt; 2 years = obsolete; 6–24 months = slow‑moving; &lt; 6 months = fast‑moving) and embed them in SOPs_x000a_Warehouse Segregation: Physically demarcate and label storage zones for obsolete, slow‑moving and fast‑moving stock_x000a_Evaluate the feasibility of disposal of obsolete inventory."/>
    <s v="The plant management will evaluate the design and work on implementation of a local policy to segregate the material based on its use for production requirements._x000a_This document will be used to support the request for additional inclusion of material in the excess and obsolete reserve in addition to the material contemplated by the existing corporate policy._x000a_Furthermore, we will evaluate the possibility of disposal of obsolete inventory."/>
    <x v="0"/>
    <x v="4"/>
    <s v=""/>
    <s v="Emilio Mata Arturo, Plant Finance Manager"/>
    <s v="Open"/>
    <s v=""/>
    <x v="0"/>
    <s v=""/>
    <s v=""/>
    <s v="Not Completed"/>
    <s v="Chawla"/>
    <s v="A, C, CO, E/O, P&amp;D, R&amp;O, V"/>
    <s v=""/>
    <s v=""/>
    <s v=""/>
    <s v=""/>
    <s v=""/>
    <s v=""/>
    <s v=""/>
    <s v=""/>
    <s v=""/>
    <s v=""/>
    <s v=""/>
    <s v=""/>
    <s v=""/>
    <s v=""/>
    <s v=""/>
    <s v=""/>
    <d v="2025-04-19T00:00:00"/>
    <d v="2025-08-01T00:00:00"/>
    <s v="08/29/2025"/>
    <n v="52"/>
    <x v="2"/>
    <x v="0"/>
  </r>
  <r>
    <s v="TEN-1710"/>
    <s v="2025"/>
    <x v="0"/>
    <s v="Genpact - ERC"/>
    <x v="0"/>
    <x v="24"/>
    <x v="0"/>
    <x v="15"/>
    <s v="Production and Inventory"/>
    <s v="Inventory Disposal"/>
    <x v="20"/>
    <s v="Major"/>
    <s v="PINV-01"/>
    <s v=""/>
    <s v="Celaya, PS (MRS) - Full Scope 2025"/>
    <s v="Lack of disposal plan to scrap obsolete inventory"/>
    <s v="Post completion of Annual Physical Inventory (API) verification, Inventory team identifies obsolete stock and develops a plan to dispose the same. Inventory team shares the plan of disposal for approval of Plant Controller prior to initiating the physical movement._x000a__x000a_During our review of inventory ageing and valuation reports for all Celaya plants as on 31st December 2024, we noted that out of total inventory worth MXN 489 Mn (USD 25 Mn), approximately MXN 14 Mn (USD 700K) of inventory older than 2021 was classified as active stock and included in the Inventory Valuation report. No disposal or write‑off plan exists for this obsolete inventory."/>
    <s v="No"/>
    <s v="Define Obsolescence Criteria: Establish a policy (e.g., &gt; 3 years without movement)._x000a_Disposal Plan &amp; Write‑Down: Develop and document a disposal or write‑off process (e.g., quarterly), with dual‑approval for any adjustments to inventory valuation."/>
    <s v="The plant management will evaluate the design and work on implementation of a local policy to segregate the material based on its use for production requirements._x000a_This document will be used to support the request for additional inclusion of material in the excess and obsolete reserve in addition to the material contemplated by the existing corporate policy._x000a_Furthermore, we will evaluate the possibility of disposal of obsolete inventory."/>
    <x v="0"/>
    <x v="4"/>
    <s v=""/>
    <s v="Cesar Arturo Olvera, Plant Warehouse Manager_x000a_Emilio Mata Arturo, Plant Finance Manager"/>
    <s v="Open"/>
    <s v=""/>
    <x v="0"/>
    <s v=""/>
    <s v=""/>
    <s v="Not Completed"/>
    <s v="Chawla"/>
    <s v="A, C, E/O"/>
    <s v=""/>
    <s v=""/>
    <s v=""/>
    <s v=""/>
    <s v=""/>
    <s v=""/>
    <s v=""/>
    <s v=""/>
    <s v=""/>
    <s v=""/>
    <s v=""/>
    <s v=""/>
    <s v=""/>
    <s v=""/>
    <s v=""/>
    <s v=""/>
    <d v="2025-04-19T00:00:00"/>
    <d v="2025-08-01T00:00:00"/>
    <s v="08/29/2025"/>
    <n v="52"/>
    <x v="2"/>
    <x v="0"/>
  </r>
  <r>
    <s v="TEN-1711"/>
    <s v="2025"/>
    <x v="0"/>
    <s v="Genpact - ERC"/>
    <x v="0"/>
    <x v="24"/>
    <x v="0"/>
    <x v="15"/>
    <s v="Purchasing and Payables"/>
    <s v="Vendor Invoices"/>
    <x v="17"/>
    <s v="Major"/>
    <s v="PAPA-12"/>
    <s v=""/>
    <s v="Celaya, PS (MRS) - Full Scope 2025"/>
    <s v="Inconsistencies in processing of Vendor Invoices w.r.t Purchase Orders"/>
    <s v="There are 3 types of procurements – Direct Material, Maintenance Repairs &amp; Operations (MRO) and Indirect Services. All 3 types of procurements are handled by the Plant Procurement Team._x000a_In case of changes in prices, vendors inform Procurement Team via email. Accordingly, PO is modified by the Procurement Team in SAP._x000a__x000a_a) Direct Material Price Variance_x000a_On sample verification of 25 GRNs &amp; invoices processed for Direct Materials, we identified 20 (80%) invoices (total GRN value: MXN 924,640 (USD 46,232)) across 15 purchase orders, where the invoiced unit price differed from the PO/GRN price. _x000a_The total variance amounted to MXN 321,220 (USD 16,061 ~34% of samples) (invoice &gt; PO: MXN 85,240 (USD 4,262); invoice &lt; PO: MXN 235,980 (USD 11,799)). _x000a_Of this variance, MXN 34,840 (USD 1,742) has already been paid, MXN 239,940 (USD 11,997) is pending payment by the due date, and MXN 46,440 (USD 2,322) is pending intercompany settlement_x000a_b) MRO Price Variance_x000a_On sample verification of 10 GRNs &amp; invoices processed for MRO, we identified one MRO material code where three POs were issued at MXN 7,800/unit despite an email quotation of MXN 7,510/unit, resulting in an over‑commitment of MXN 2,030. _x000a_Invoice Quantities Exceed Purchase Order Quantities_x000a_On review of Invoice listing for the period March 2024 to February 2025, we identified 61 instances (out of 9307 instances) where the quantity billed in the vendor invoices exceeded the quantity authorized on the corresponding purchase orders. The total excess quantity amounted to 2.07 Mn units_x000a_d) Invoices Processed Without Three‑Way Match_x000a_During our review of Open Scheduling Agreements (SAs) report as on 04‑April‑2025, we noted that out of 262 open SAs, 87 SAs had the “ERS” (Evaluated Receipt Settlement) option enabled. This configuration bypasses the standard three‑way match (PO–GRN–invoice) in SAP. A total procurement of MXN 1056 Mn (USD 52.8 Mn) was done against these 87 SAs without any three‑way match_x000a_e) Invoice amount exceeding Purchase Order Amount_x000a_On review of Invoice dump for the period March 2024 to February 2025, we noted 12/ 2935 POs where the invoiced amount exceeded the PO amount by a total of  MXN 1,240,000 (USD 62,000)"/>
    <s v="No"/>
    <s v="Configure the ERP to block invoice postings unless the invoiced price matches the PO/GRN price within an approved tolerance _x000a_Update SOPs to require procurement to re‑confirm or re‑issue quotations when they have expired before raising a PO._x000a_Implement system‑generated notifications for any price variance beyond the defined threshold, routing exceptions for approval._x000a__x000a_Configure ERP to block invoices where qty in invoice &gt; PO, routing exceptions for documented approval_x000a_Perform monthly PO‑vs‑invoice quantity reviews to detect and resolve discrepancies promptly_x000a_Disable ERS for all non‑catalog or high‑value SAs, forcing invoices through the three‑way match"/>
    <s v="Purchase Team will review the status of current quotations on hand and follow the standard practice to have at least 3 quotes in place wherever feasible._x000a_Additionally, AP team to review weekly Basware report (Highlighting exceptions from Invoice Processing Tool) and highlight the discrepancies to the purchase team for initiating corrective actions as required._x000a__x000a_Confirm with Basware the correct fill of information_x000a_For direct Material all the buyers have access to Basware to receive notification regarding Invoices with some mistake"/>
    <x v="2"/>
    <x v="1"/>
    <s v=""/>
    <s v="Luis Felipe Mijangos, Plant Sr. SCM_x000a_Arturo Vera, Plant SCM,_x000a_Arup Mukherjee, PS Controller_x000a_Michael Prashaw, Global IT Manager"/>
    <s v="Open"/>
    <s v=""/>
    <x v="1"/>
    <s v=""/>
    <s v=""/>
    <s v="Not Completed"/>
    <s v="Chawla"/>
    <s v="A, E/O, R&amp;O"/>
    <s v=""/>
    <s v=""/>
    <s v=""/>
    <s v=""/>
    <s v=""/>
    <s v=""/>
    <s v=""/>
    <s v=""/>
    <s v=""/>
    <s v=""/>
    <s v=""/>
    <s v=""/>
    <s v=""/>
    <s v=""/>
    <s v=""/>
    <s v=""/>
    <d v="2025-04-19T00:00:00"/>
    <d v="2025-08-01T00:00:00"/>
    <s v="08/29/2025"/>
    <n v="-40"/>
    <x v="1"/>
    <x v="1"/>
  </r>
  <r>
    <s v="TEN-1712"/>
    <s v="2025"/>
    <x v="0"/>
    <s v="Genpact - ERC"/>
    <x v="1"/>
    <x v="24"/>
    <x v="0"/>
    <x v="15"/>
    <s v="Purchasing and Payables"/>
    <s v="Open Purchase Orders"/>
    <x v="29"/>
    <s v="Major"/>
    <s v=""/>
    <s v=""/>
    <s v="Celaya, PS (MRS) - Full Scope 2025"/>
    <s v="Delays in Issuance of PO/ Lack of review of Open Pos"/>
    <s v="Invoice Date precedes Purchase Order Dates - On review of the PO report and invoice dump for the period March 2024 to February 2025, we identified 2,620 invoices (15%) (across 146 POs) where the invoice date was prior to the PO date (delays ranged from 1 to 616 days, with a total invoice value of USD 1.17 Mn _x000a__x000a_Lack of Review and Monitoring of Open Purchase Orders - On review of Open PO report as on 04-April-2025, we identified 39 open POs (all raised before April 2024) with a total unexpended balance of MXN 128 Mn /USD 6.49 Mn. The last invoice against these POs was received prior to July 2024, indicating no subsequent activity or closure. Out of above 39 POs, 16 POs pertain to MRO (USD 1.14M) and 23 POs pertain to Indirect services (USD 5.35 Mn)"/>
    <s v="Yes"/>
    <s v="Configure the ERP to block or hold any invoice where the invoice date precedes the PO date, requiring exception approval._x000a_Implement automated edit checks in AP to flag date variances for review before posting._x000a_Implement a monthly PO‑aging report, reviewed by procurement and finance leadership, to identify and act on open POs"/>
    <s v="Confirm with Basware the correct fill of information_x000a_For direct Material all the buyers have access to Basware to receive notification regarding Invoices with some mistake"/>
    <x v="2"/>
    <x v="1"/>
    <s v=""/>
    <s v="Luis Felipe Mijangos, Plant Sr. SCM_x000a_Arturo Vera, Plant SCM,_x000a_Arup Mukherjee, PS Controller_x000a_Michael Prashaw, Global IT Manager"/>
    <s v="Open"/>
    <s v=""/>
    <x v="1"/>
    <s v=""/>
    <s v=""/>
    <s v="Not Completed"/>
    <s v="Chawla"/>
    <s v=""/>
    <s v=""/>
    <s v=""/>
    <s v=""/>
    <s v=""/>
    <s v=""/>
    <s v=""/>
    <s v=""/>
    <s v=""/>
    <s v=""/>
    <s v=""/>
    <s v=""/>
    <s v=""/>
    <s v=""/>
    <s v=""/>
    <s v=""/>
    <s v=""/>
    <d v="2025-04-19T00:00:00"/>
    <d v="2025-08-01T00:00:00"/>
    <s v="08/29/2025"/>
    <n v="-40"/>
    <x v="1"/>
    <x v="1"/>
  </r>
  <r>
    <s v="TEN-1713"/>
    <s v="2025"/>
    <x v="0"/>
    <s v="Genpact - ERC"/>
    <x v="1"/>
    <x v="24"/>
    <x v="0"/>
    <x v="15"/>
    <s v="Purchasing and Payables"/>
    <s v="Goods Receipt"/>
    <x v="13"/>
    <s v="Major"/>
    <s v=""/>
    <s v=""/>
    <s v="Celaya, PS (MRS) - Full Scope 2025"/>
    <s v="Anomalies noted in Receipt/Recording of Goods Receipt"/>
    <s v="On receipt of material at the plant gate, warehousing team inwards the material, basis the vendor invoice and delivery note. Discrepancies between actual quantity and invoice quantity, if any, are informed to the material planning team for corrective action._x000a__x000a_Inadequate Verification of Received Quantities_x000a_Our review of the goods‑receipt process revealed that warehouse staff only count cartons—not the actual units inside—yet post full Goods Receipt Notes (GRNs) for the invoiced quantity even when shortages occur. Invoices are stamped for 100% delivery and no formal notification of short‑receipts is sent to Accounts Payable. _x000a_On sample review of 25 inwards for the period March 2024 to February 2025, we noted 17 shipments exhibiting a shortfall of 105,571 units (MXN 0.1 Mn /USD 5.4K)_x000a__x000a_GRN Reuse &amp; Inaccurate Inventory Movement in SAP_x000a_During our walkthrough of the SAP inventory‑movement process, we noted that when an initial goods receipt (GRN) is posted for a partial delivery, any subsequent receipt against the same PO line is not recorded as a new GRN. Instead, the system simply converts the “blocked” quantity from the original GRN into “unrestricted” stock. This approach masks the actual receipt date, overwrites a distinct audit log for the follow‑on delivery, and bypasses SAP’s standard inbound controls."/>
    <s v="No"/>
    <s v="For all POs above a defined materiality threshold (e.g. USD 1,000 per line), mandate 100% unit‑count verification at the dock before GRN posting._x000a_For lower‑value shipments, implement a statistical sample check (e.g. 10% of cartons) to confirm accuracy._x000a_Modify the system so that each receipt—initial or follow‑on is posted as a distinct GRN against the PO line, with its own date and quantity."/>
    <s v="With the people we currently have on staff, it is not possible to carry out this type of activity for verifying the material that arrives at the plant._x000a_Henceforth, the item content in the cartons will be verified on statistcal sample basis for high value items. Furthermore, in case of discrepancies identified, 100% check will be performed for the respective shipment."/>
    <x v="2"/>
    <x v="4"/>
    <s v=""/>
    <s v="Cesar Arturo Olvera, Plant Warehouse Manager_x000a_Michael Prashaw, Global IT Manager"/>
    <s v="Open"/>
    <s v=""/>
    <x v="0"/>
    <s v=""/>
    <s v=""/>
    <s v="Not Completed"/>
    <s v="Chawla"/>
    <s v=""/>
    <s v=""/>
    <s v=""/>
    <s v=""/>
    <s v=""/>
    <s v=""/>
    <s v=""/>
    <s v=""/>
    <s v=""/>
    <s v=""/>
    <s v=""/>
    <s v=""/>
    <s v=""/>
    <s v=""/>
    <s v=""/>
    <s v=""/>
    <s v=""/>
    <d v="2025-04-19T00:00:00"/>
    <d v="2025-08-01T00:00:00"/>
    <s v="08/29/2025"/>
    <n v="52"/>
    <x v="2"/>
    <x v="0"/>
  </r>
  <r>
    <s v="TEN-1714"/>
    <s v="2025"/>
    <x v="0"/>
    <s v="Genpact - ERC"/>
    <x v="1"/>
    <x v="24"/>
    <x v="0"/>
    <x v="15"/>
    <s v="Purchasing and Payables"/>
    <s v="Order Purchasing"/>
    <x v="21"/>
    <s v="Major"/>
    <s v=""/>
    <s v=""/>
    <s v="Celaya, PS (MRS) - Full Scope 2025"/>
    <s v="Inadequacies in vendor selection &amp; Onboarding process and Absence of review around Creation/Modification of PO_x000a__x000a_Absence of review around Creation/Modification of PO"/>
    <s v="Per process, competitive bids are obtained by the Procurement Team via email before finalizing a vendor. Once quotes are received, approvals are obtained via physical meeting, before issuing Purchase Orders (PO) to vendors via email._x000a_Furthermore, Purchase Orders (PO) are created/ modified in SAP by the Procurement Team. In case if price fluctuations, Procurement Team makes changes in SAP in the existing PO, rather than creating a new PO._x000a__x000a_Inadequate Vendor Selection process_x000a_During our review of vendor onboarding &amp; selection process, we noted that there is no formal process to obtain and document comparative quotations from multiple vendors, nor any Delegation of Authority (DOA) defined for approving vendor selection based on those quotations. Procurement teams proceed to issue POs without evaluating alternative quotes or securing the appropriate approval levels_x000a_On sample verification of supporting documents (including quotes, negotiation documents and PO copies) of 25 POs (across Indirect Services, Direct Materials and MRO purchases) for the period March 2024 to February 2025, we noted that no POs were supported by quotations from multiple vendors. Additionally, in all cases, only the awarded supplier’s quote was on file—despite the existence of a broader vendor list in SharePoint_x000a_Furthermore, for legacy Direct Material POs (w.r.t 8 items/ material codes) dating back to 2015, no fresh quotations have ever been obtained._x000a__x000a_During our process walkthrough of PO creation/ modification, we noted that SAP (PTAx) does not enforce a maker‑checker (dual‑approval) mechanism for purchase order creation or modification. Users in the Procurement team have unrestricted rights to change critical PO fields—such as _x000a_quantity, _x000a_price, _x000a_vendor_x000a_payment terms_x000a_without any independent review/ approval. _x000a__x000a_On sample verification of 30 POs for the period March 2024 to February 2025, we noted the following discrepancies:_x000a_Direct Materials: 21 POs were modified without approvals (6 with price increases; 15 with price decreases)_x000a_MRO: We noted 1 PO (No. 4502078995) was repriced from USD 2.68/kg to USD 2.78/kg without any documented approval."/>
    <s v="No"/>
    <s v="Update procurement SOPs to require at least two competitive supplier quotes for all non‑catalog purchases (three for high‑value or high‑risk categories)_x000a_Configure the PO‐creation process to block release unless the required number of quotations are uploaded and linked in the system_x000a__x000a_Configure SAP to require a secondary, independent approver for all new POs and any modifications to price, quantity, vendor or payment terms._x000a_Conduct a one-time SOD assessment and restrict modification rights to designated approvers only."/>
    <s v="Purchase Team will follow the standard practice to have at least 3 quotes in place wherever feasible._x000a__x000a_Option to modify PO will be restricted and shall be limited to designated personnels only. Approvals (email/SAP) shall be documented in case of PO modification."/>
    <x v="2"/>
    <x v="1"/>
    <s v=""/>
    <s v="Luis Felipe Mijangos, Plant Sr. SCM_x000a_Arturo Vera, Plant SCM,_x000a_Arup Mukherjee, PS Controller_x000a_Michael Prashaw, Global IT Manager"/>
    <s v="Open"/>
    <s v=""/>
    <x v="1"/>
    <s v=""/>
    <s v=""/>
    <s v="Not Completed"/>
    <s v="Chawla"/>
    <s v=""/>
    <s v=""/>
    <s v=""/>
    <s v=""/>
    <s v=""/>
    <s v=""/>
    <s v=""/>
    <s v=""/>
    <s v=""/>
    <s v=""/>
    <s v=""/>
    <s v=""/>
    <s v=""/>
    <s v=""/>
    <s v=""/>
    <s v=""/>
    <s v=""/>
    <d v="2025-04-19T00:00:00"/>
    <d v="2025-08-01T00:00:00"/>
    <s v="08/29/2025"/>
    <n v="-40"/>
    <x v="1"/>
    <x v="1"/>
  </r>
  <r>
    <s v="TEN-1715"/>
    <s v="2025"/>
    <x v="0"/>
    <s v="Genpact - ERC"/>
    <x v="0"/>
    <x v="24"/>
    <x v="0"/>
    <x v="15"/>
    <s v="Property, Plant, and Equipment"/>
    <s v="Fixed Assets Register"/>
    <x v="6"/>
    <s v="Major"/>
    <s v="PPAE-35"/>
    <s v=""/>
    <s v="Celaya, PS (MRS) - Full Scope 2025"/>
    <s v="Inaccurate Revaluation of Fixed Assets/ Fixed Assets recorded in deactivated Company Code"/>
    <s v="Accounting for Fixed Assets (addition, deletion, depreciation and revaluation) are performed by the Corporate team, basis the data provided by the Plant Finance Team, via email. _x000a_Once posted in SAP, Plant Finance team verifies its correctness/ accuracy and notifies the Corporate team in case of discrepancies, if any._x000a__x000a_Inaccurate revaluation of Fixed Assets_x000a_On review of Fixed Assets register and depreciation schedules for the sample month of February 2025, we identified 11 assets with negative net‑book values (USD 0.43 Mn) but still attracting depreciation charges (USD 3K) on account of incorrect revaluation computation at the Corporate level. _x000a_Further inquiry revealed that these assets were re‑valued below their written‑down value by the Corporate Team, yet the depreciation run was not adjusted to cease on the re‑valuation date_x000a__x000a_Fixed Assets recorded in deactivated Company Code_x000a_On review of the Fixed Assets register for the sample month of February 2025, we noted 3 fixed asset line items (current book value - zero) which remain recorded under Company Code 3542—the Luxembourg entity that was dissolved in October 2023—and have not been reassigned to any active company code in SAP"/>
    <s v="Yes"/>
    <s v="Configure SAP to automatically exclude any asset from the depreciation run once its net‑book value is zero_x000a_Introduce a periodic reconciliation between revaluation postings and depreciation runs_x000a_Execute a bulk transfer of all stranded assets from Company Code 3542 to their appropriate active company codes in SAP."/>
    <s v="A request will be sent to corporate fixed assets team to fix assets with negative amount. _x000a_A ticket will be created addressing SAP IT to reconfigure depreciation settings prohibiting calculation of depreciation for negative or zero value assets._x000a_Month end close check list will be updated to validate presence of fixed assets, if any, with negative WDV._x000a_A ticket will be created addressing SAP IT to clean up assets in company code 3542. Simultaneously, a plan for disposal/movement of assets will be initiated, as required."/>
    <x v="2"/>
    <x v="1"/>
    <s v=""/>
    <s v="Gloria Carolina Belman, Jr. Controller_x000a_Arup Mukherjee, PS Controller_x000a_Michael Prashaw, Global IT Manager"/>
    <s v="Open"/>
    <s v=""/>
    <x v="1"/>
    <s v=""/>
    <s v=""/>
    <s v="Not Completed"/>
    <s v="Chawla"/>
    <s v="A, C, CO, E/O, P&amp;D, R&amp;O, V"/>
    <s v=""/>
    <s v=""/>
    <s v=""/>
    <s v=""/>
    <s v=""/>
    <s v=""/>
    <s v=""/>
    <s v=""/>
    <s v=""/>
    <s v=""/>
    <s v=""/>
    <s v=""/>
    <s v=""/>
    <s v=""/>
    <s v=""/>
    <s v=""/>
    <d v="2025-04-19T00:00:00"/>
    <d v="2025-08-01T00:00:00"/>
    <s v="08/29/2025"/>
    <n v="-40"/>
    <x v="1"/>
    <x v="1"/>
  </r>
  <r>
    <s v="TEN-1716"/>
    <s v="2025"/>
    <x v="0"/>
    <s v="Genpact - ERC"/>
    <x v="0"/>
    <x v="24"/>
    <x v="0"/>
    <x v="15"/>
    <s v="Production and Inventory"/>
    <s v="Scrap Sale"/>
    <x v="21"/>
    <s v="Major"/>
    <s v="REVE-05"/>
    <s v=""/>
    <s v="Celaya, PS (MRS) - Full Scope 2025"/>
    <s v="Absence of agreement and lack of vendor selection process of Scrap Vendor"/>
    <s v="Scrap generated at North Plant Celaya is sold to a single scrap vendor (Desperdicios industrial). The existing scrap vendor is in business with Celaya Plant since year 2017. Daily, scrap vendor reviews market prices and shares the rate proposal to Plant Finance team over email. Scrap vendor picks up the scrap from scrap containers, weighs the scrap and updates the gate pass accordingly._x000a_Tenneco’s plant cannot produce a fully executed contract with its scrap‑recycling customer for either of the last two periods examined."/>
    <s v="No"/>
    <s v="Suspend further scrap shipments until the 2025 contract is fully countersigned; ensure invoices reference the executed agreement number_x000a_Implement a scrap auctioning initiative to select the most competitive scrap dealer_x000a_The procurement team to vet the monthly rates offered by the scrap dealer"/>
    <s v="The Scrap Agreement for period Jan to Jun 2025 is already signed by both parties covering the Scrap Sales. Additionally, a new practice of bidding process with 3 new suppliers will be started from May 2025 and shall be finished at the end of June 2025."/>
    <x v="2"/>
    <x v="4"/>
    <s v=""/>
    <s v="Angel Roberto Altamirano, Plant SCM"/>
    <s v="Open"/>
    <s v=""/>
    <x v="0"/>
    <s v=""/>
    <s v=""/>
    <s v="Not Completed"/>
    <s v="Chawla"/>
    <s v="A"/>
    <s v=""/>
    <s v=""/>
    <s v=""/>
    <s v=""/>
    <s v=""/>
    <s v=""/>
    <s v=""/>
    <s v=""/>
    <s v=""/>
    <s v=""/>
    <s v=""/>
    <s v=""/>
    <s v=""/>
    <s v=""/>
    <s v=""/>
    <s v=""/>
    <d v="2025-04-19T00:00:00"/>
    <d v="2025-08-01T00:00:00"/>
    <s v="08/29/2025"/>
    <n v="52"/>
    <x v="2"/>
    <x v="0"/>
  </r>
  <r>
    <s v="TEN-1717"/>
    <s v="2025"/>
    <x v="0"/>
    <s v="Genpact - ERC"/>
    <x v="0"/>
    <x v="24"/>
    <x v="0"/>
    <x v="15"/>
    <s v="Reconciliations"/>
    <s v="Reconciliations Supporting"/>
    <x v="0"/>
    <s v="Major"/>
    <s v="PEFR-68"/>
    <s v=""/>
    <s v="Celaya, PS (MRS) - Full Scope 2025"/>
    <s v="Incomplete Supporting documents maintained for Balance Sheet Reconciliations_x000a__x000a_Key elements missing in balance sheet reconciliation policy "/>
    <s v="As per balance sheet reconciliation SOP, adequate supporting documents shall be utilized while preparing balance sheet reconciliations._x000a__x000a_Independent supporting documents were not used while preparing reconciliations _x000a_During our review of balance sheet reconciliation process, we noted that in 8 out of 18 samples, FBL3N / FS10N (GL display) dump was attached to substantiate GL balance instead of using independent supporting documents. _x000a_GL to GL reconciliation was done instead of matching GL balance with independent supporting’s._x000a_Further in 3 samples, we noted that incomplete independent supporting documents were used while preparing reconciliations. _x000a__x000a_Action plans not available for aged open items_x000a_As per balance sheet reconciliation policy, reconciling items should have an ageing of less than 60 days. Further all unreconciled items greater than MXN 4.9 Mn (USD 250K) should be reported to Office of the Chief Accountant_x000a_During our review,, we noted 7 out of 18 samples were aged items (&gt; 60 days) amounting to MXN 73 Mn (USD 3.69 Mn) for which action plan, action owner and timeline for closure was not available. _x000a_No evidences were available to substantiate that follow-up, and investigations were conducted for aged items"/>
    <s v="No"/>
    <s v="Policy should also prescribe which independent supporting documents required for each category of accounts_x000a_Investigation should be conducted for all aged items ageing &gt; 60 days . Actions plans , action owners and timelines should be documented for all aged items. In case action plans are not available or reconciling items could not be ascertained then the same should be classified as unreconciled items_x000a__x000a_Policy should prescribe independent supporting’s that should be used for each category of GL._x000a_Policy should define each category of GL balance such as what is meant by unreconciled items._x000a_Policy should prescribe methodology to classify GL balance intro reconciled , open items and unreconciled items. _x000a_Standard reconciliation templates should be created for each category of reconciliation (such as bank, sub-ledger, accruals, prepaid) and the same should be annexed in policy."/>
    <s v="A local policy will be created prescribing – “Separate supporting documents to be used for each general ledger category”. “defining each general ledger balance category, including what constitutes unreconciled items”. Further,  a methodology will be formulated to classify the general ledger balance into reconciled, open, and unreconciled items. And the reconciliation template for each category (such as bank, subledger, accruals, prepayment) will be standardized. _x000a_Investigation will be conducted for all aged items ageing  &gt;60 days. Post requisite review, detailed action plan will be formulated to clean up the aged old items._x000a__x000a_A local policy will be created prescribing – “Separate supporting documents to be used for each general ledger category”. “defining each general ledger balance category, including what constitutes unreconciled items”. Further,  a methodology will be formulated to classify the general ledger balance into reconciled, open, and unreconciled items. And the reconciliation template for each category (such as bank, subledger, accruals, prepayment) will be standardized. "/>
    <x v="0"/>
    <x v="3"/>
    <s v=""/>
    <s v="Carolina Espinoza. Sr. Finance Manager_x000a_Arup Mukherjee, PS Controller"/>
    <s v="Open"/>
    <s v=""/>
    <x v="2"/>
    <s v=""/>
    <s v=""/>
    <s v="Not Completed"/>
    <s v="Chawla"/>
    <s v="A, C, CO, E/O, P&amp;D, R&amp;O, V"/>
    <s v=""/>
    <s v=""/>
    <s v=""/>
    <s v=""/>
    <s v=""/>
    <s v=""/>
    <s v=""/>
    <s v=""/>
    <s v=""/>
    <s v=""/>
    <s v=""/>
    <s v=""/>
    <s v=""/>
    <s v=""/>
    <s v=""/>
    <s v=""/>
    <d v="2025-04-19T00:00:00"/>
    <d v="2025-08-01T00:00:00"/>
    <s v="08/29/2025"/>
    <n v="-9"/>
    <x v="1"/>
    <x v="1"/>
  </r>
  <r>
    <s v="TEN-1718"/>
    <s v="2025"/>
    <x v="0"/>
    <s v="Genpact - ERC"/>
    <x v="0"/>
    <x v="24"/>
    <x v="0"/>
    <x v="15"/>
    <s v="Production and Inventory"/>
    <s v="Inventory Physical Verification"/>
    <x v="20"/>
    <s v="Moderate"/>
    <s v="PINV-01"/>
    <s v=""/>
    <s v="Celaya, PS (MRS) - Full Scope 2025"/>
    <s v="Discrepancies noted in Inventory as per Physical Stock Vs SAP "/>
    <s v="As per Physical Count Policy,_x000a_A complete full physical inventory verification must be performed at least once each calendar year._x000a_To perform cycle counts, a location must meet the requirements of one of the following tow alternatives – ABC Cycle Counting and Row Audit Cycle Counting._x000a__x000a_Inventory team at Celaya plant performed Annual Physical Inventory (API) verification on 19th December 2024. Additionally, we independently selected 30 samples during plant visit and performed a physical count of inventory at Celaya North Plant warehouse on 15th April 2025._x000a__x000a_During physical count of 30 sample inventory items (raw materials, finished goods and CWIP) at the North Plant (Celaya), with a total book value of MXN 5.3 Mn (USD 273K), we noted:_x000a_7 items (MXN 1.7 Mn (USD 87K)) recorded in SAP but not found in the warehouse._x000a_1 item (MXN 69K (USD 3.5K)) located in a different warehouse zone than SAP records._x000a_1 item (MXN 95K (USD 4.8K)) under‑recorded in SAP (SAP: 4,000 units; physical: 5,500 units)._x000a_1 item MXN 690K (USD 35K) over‑recorded in SAP (SAP: 1,948 units; physical: 1,026 units)"/>
    <s v="No"/>
    <s v="Enhance Location Controls: Update warehouse bin‑location mapping in SAP, require staff to scan bin and item barcodes at receipt, put‑away and picking_x000a_Educate/Train staff to record movement of inventory accurately in SAP on a real time basis._x000a_Inventory team shall investigate the differences and shall perform necessary adjustments."/>
    <s v="As a practice, physical verification of critical inventory items will be conducted on a monthly basis. Items with major discrepancies will be investigated and requisite corrective action will be taken to sort out the differences."/>
    <x v="0"/>
    <x v="4"/>
    <s v=""/>
    <s v="Cesar Arturo Olvera, Plant Warehouse Manager"/>
    <s v="Open"/>
    <s v=""/>
    <x v="0"/>
    <s v=""/>
    <s v=""/>
    <s v="Not Completed"/>
    <s v="Chawla"/>
    <s v="A, C, E/O"/>
    <s v=""/>
    <s v=""/>
    <s v=""/>
    <s v=""/>
    <s v=""/>
    <s v=""/>
    <s v=""/>
    <s v=""/>
    <s v=""/>
    <s v=""/>
    <s v=""/>
    <s v=""/>
    <s v=""/>
    <s v=""/>
    <s v=""/>
    <s v=""/>
    <d v="2025-04-19T00:00:00"/>
    <d v="2025-08-01T00:00:00"/>
    <s v="08/29/2025"/>
    <n v="52"/>
    <x v="2"/>
    <x v="0"/>
  </r>
  <r>
    <s v="TEN-1719"/>
    <s v="2025"/>
    <x v="0"/>
    <s v="Genpact - ERC"/>
    <x v="0"/>
    <x v="24"/>
    <x v="0"/>
    <x v="15"/>
    <s v="Production and Inventory"/>
    <s v="Inventory Reserve"/>
    <x v="30"/>
    <s v="Moderate"/>
    <s v="PINV-46"/>
    <s v=""/>
    <s v="Celaya, PS (MRS) - Full Scope 2025"/>
    <s v="Non-compliance to Excess and Obsolete (E&amp;O) Reserve Policy"/>
    <s v="As per Excess and Obsolete (E&amp;O) reserve policy, Inventory shall be reserved based on the following criteria:_x000a_Automotive OE parts must be reserved at 100% if the amount on-hand exceeds one (1) year historical usage (100% of the portion more than the historical usage)._x000a_Non-automotive OE parts and OES parts must be reserved at 100% if the amount on-hand exceeds two (2) years historical usage (100% of the portion more than the historical usage)._x000a_New parts cannot be entirely excluded from the analysis. However, if a part has been introduced or reintroduced within the last one or two years (for automotive OE parts or non-automotive OE parts/OES parts, respectively), future demand may be considered. The total usage/demand calculation cannot exceed one or two years, respectively._x000a__x000a_During review of E&amp;O Inventory Reserves calculation prepared for Q1 2025 (Total Reserve - MXN 54 Mn (USD 2.7 Mn), Material Count - 9797) by inventory team at North Plant Celaya, we noted:_x000a_Short reserve of approximately MXN 1 Mn (USD 52K) is created for 49 Materials._x000a_Excess reserve of approximately MXN 77K (USD 3,882) is created for 1 Material."/>
    <s v="Yes"/>
    <s v="Standard methodology must be defined and adopted to determine thresholds and ageing buckets for identifying excess/obsolete items._x000a_Institute a two-tier review - Require a secondary sign-off (e.g., Inventory Manager and Finance Controller) on the E&amp;O schedule, with a reconciliation of total reserve movements."/>
    <s v="A corporate excess and obsolete reserve policy exists and is documented as part of the Inventory accounting policy._x000a_In order to prevent errors the quarterly analysis will be reviewed in conjunction with the materials management area to prevent errors and or omissions."/>
    <x v="0"/>
    <x v="4"/>
    <s v=""/>
    <s v="Emilio Mata Arturo, Plant Finance Manager"/>
    <s v="Open"/>
    <s v=""/>
    <x v="0"/>
    <s v=""/>
    <s v=""/>
    <s v="Not Completed"/>
    <s v="Chawla"/>
    <s v="R&amp;O, V"/>
    <s v=""/>
    <s v=""/>
    <s v=""/>
    <s v=""/>
    <s v=""/>
    <s v=""/>
    <s v=""/>
    <s v=""/>
    <s v=""/>
    <s v=""/>
    <s v=""/>
    <s v=""/>
    <s v=""/>
    <s v=""/>
    <s v=""/>
    <s v=""/>
    <d v="2025-04-19T00:00:00"/>
    <d v="2025-08-01T00:00:00"/>
    <s v="08/29/2025"/>
    <n v="52"/>
    <x v="2"/>
    <x v="0"/>
  </r>
  <r>
    <s v="TEN-1720"/>
    <s v="2025"/>
    <x v="0"/>
    <s v="Genpact - ERC"/>
    <x v="0"/>
    <x v="24"/>
    <x v="0"/>
    <x v="15"/>
    <s v="Master Data"/>
    <s v="Employee Master Data"/>
    <x v="10"/>
    <s v="Moderate"/>
    <s v="PAYR-23"/>
    <s v=""/>
    <s v="Celaya, PS (MRS) - Full Scope 2025"/>
    <s v="Payroll processed for 2 employees with duplicate bank accounts"/>
    <s v="During onboarding, HR updates creates a profile of a new hire in SuccessFactors (HRIS) and updates new-hire data in the employee profile in SuccessFactors, which automatically synchronizes with SAP for payroll processing._x000a_During review of employee master (for inactive employees) as on 26th March 2025 and its reconciliation with payout data in SAP (for sample outliers identified basis analytics), we noted:_x000a_The same bank-account number was appearing in employee master for 2 terminated hourly employees. Further, we obtained bank transfer screenshots from SAP for both employees and noted that payroll of MXN 3,460 was processed to both employees in January 2021 payroll._x000a_On further enquiry with HR team, we noted 1 out of the 2 employees no longer had an active profile in SuccessFactors (but had an active profile in SAP payroll register), indicating that their master-data was not properly updated upon termination. _x000a_On further review of employee master as on 26th March 2025, we noted incomplete details of employees entered in SAP such as:_x000a_Blank Social Security Number (SSN) - 21 employees_x000a_Blank Bank Account Number - 273 employees_x000a_Lack of formal review or validation for new‑hire data updated in SuccessFactors."/>
    <s v="No"/>
    <s v="Configure SuccessFactors to trigger an automatic termination lock in the payroll system, preventing pay runs for departed staff._x000a_Institute a monthly reconciliation of Employee Master, HRIS profiles and payroll rosters to identify and resolve discrepancies."/>
    <s v="1. System Implementation and Historical Data: Success Factors (SF) was implemented in September 2022. Employees who were terminated before that date were not migrated into SF, which explains the presence of inactive profiles in SAP but not in SF. This context will be documented and communicated to clarify the scope of the issue._x000a_2. Quarterly Payroll Master Data Review: A quarterly review of Payroll Master Data is already in place and has proven effective in identifying and correcting inconsistencies. As evidence of its effectiveness, only one duplicate record has been detected since 2021. This control will continue to be executed and documented as part of the internal control framework._x000a_3.Feasibility Review for Duplicate Bank Account Validation in SF: A feasibility review will be initiated to explore the implementation of a control in SuccessFactors that prevents saving duplicate bank account numbers across employee profiles."/>
    <x v="0"/>
    <x v="4"/>
    <s v=""/>
    <s v="Cuauhtemoc Morales, HR Generalist"/>
    <s v="Open"/>
    <s v=""/>
    <x v="0"/>
    <s v=""/>
    <s v=""/>
    <s v="Not Completed"/>
    <s v="Chawla"/>
    <s v="A"/>
    <s v=""/>
    <s v=""/>
    <s v=""/>
    <s v=""/>
    <s v=""/>
    <s v=""/>
    <s v=""/>
    <s v=""/>
    <s v=""/>
    <s v=""/>
    <s v=""/>
    <s v=""/>
    <s v=""/>
    <s v=""/>
    <s v=""/>
    <s v=""/>
    <d v="2025-04-19T00:00:00"/>
    <d v="2025-08-01T00:00:00"/>
    <s v="08/29/2025"/>
    <n v="52"/>
    <x v="2"/>
    <x v="0"/>
  </r>
  <r>
    <s v="TEN-1721"/>
    <s v="2025"/>
    <x v="0"/>
    <s v="Genpact - ERC"/>
    <x v="1"/>
    <x v="24"/>
    <x v="0"/>
    <x v="15"/>
    <s v="Purchasing and Payables"/>
    <s v="Scheduling Agreements"/>
    <x v="5"/>
    <s v="Moderate"/>
    <s v=""/>
    <s v=""/>
    <s v="Celaya, PS (MRS) - Full Scope 2025"/>
    <s v="SOD conflict in approval of Scheduling Agreements"/>
    <s v="Creation request for Scheduling Agreements (created for Direct Materials only) are raised in SharePoint by the Procurement Team. All requests are approved in SharePoint prior to creation of a Scheduling Agreement in SAP._x000a__x000a_During our review of the SharePoint‑based Scheduling Agreement (SA) approval process for Direct Materials, we noted that the Procurement Team manually selects approvers for new requests and modifications—no automated, role‑based approval workflow is defined._x000a_Furthermore, end‑users (rather than the Procurement Team) are responsible for identifying new vendors and obtaining quotations, resulting in a lack of segregation of duties and oversight"/>
    <s v="No"/>
    <s v="Configure SharePoint to enforce a predefined, role‑based approval flow for all new SA requests and modifications_x000a_Define and document clear roles—assign vendor identification and quotation collection exclusively to the Procurement team and restrict users from sourcing vendors."/>
    <s v="SharePoint will be reconfigured to include only the users with approval rights &amp; restrict the balance users from approval rights if any._x000a_The above restriction will ensure only the users with authorized rights to approve modification in SharePoint."/>
    <x v="2"/>
    <x v="1"/>
    <s v=""/>
    <s v="Luis Felipe Mijangos, Plant Sr. SCM,_x000a_Arup Mukherjee, PS Controller_x000a_Michael Prashaw, Global IT Manager"/>
    <s v="Open"/>
    <s v=""/>
    <x v="1"/>
    <s v=""/>
    <s v=""/>
    <s v="Not Completed"/>
    <s v="Chawla"/>
    <s v=""/>
    <s v=""/>
    <s v=""/>
    <s v=""/>
    <s v=""/>
    <s v=""/>
    <s v=""/>
    <s v=""/>
    <s v=""/>
    <s v=""/>
    <s v=""/>
    <s v=""/>
    <s v=""/>
    <s v=""/>
    <s v=""/>
    <s v=""/>
    <s v=""/>
    <d v="2025-04-19T00:00:00"/>
    <d v="2025-08-01T00:00:00"/>
    <s v="08/29/2025"/>
    <n v="-40"/>
    <x v="1"/>
    <x v="1"/>
  </r>
  <r>
    <s v="TEN-1722"/>
    <s v="2025"/>
    <x v="0"/>
    <s v="Genpact - ERC"/>
    <x v="0"/>
    <x v="24"/>
    <x v="0"/>
    <x v="15"/>
    <s v="Master Data"/>
    <s v="Vendor Master"/>
    <x v="10"/>
    <s v="Moderate"/>
    <s v="PAPA-09"/>
    <s v=""/>
    <s v="Celaya, PS (MRS) - Full Scope 2025"/>
    <s v="Absence of Periodic Review/Approval of Vendor Master Modifications"/>
    <s v="Request for vendor code creation/ modification is raised by the Procurement Team via SharePoint. Once approved, the vendors are created in SAP instance PTAx by the Vendor Master Team (based out of United States). _x000a__x000a_During our walkthrough of vendor code creation/ modification process, we noted that for Direct Materials the commodity buyer/ procurement team can directly update vendor master data fields (address, contact number, email) without any system‑enforced approval. _x000a_Likewise, no approval workflow exists for vendor code creation, modification (Bank Change Request (BCR)/Term Change Request (TCR)), blocking or deletion—even changes to bank and payment‑term details are affected by the vendor‑master team and merely communicated via email, with no documented authorization._x000a__x000a_Moreover, there is no modification log maintained/ monitored for all changes made to vendor master, BCR and TCR. "/>
    <s v="No"/>
    <s v="Enforce Dual‑Control Workflows: Configure SAP to require at least one independent approver for all vendor‑master changes (including new codes, modifications, blocking/deletion)_x000a_Periodic Vendor‑Master Review: Conduct quarterly audits of all vendor‑master changes and reconciliations against a baseline report, escalating any unauthorized updates."/>
    <s v="Rights to edit/update vendor master data fields shall be restricted and limited to only designated personnels. Furthermore, approvals shall be documented in case of any change in vendor master data fields._x000a_Periodic quality checks/review will be performed on all vendor master changes"/>
    <x v="2"/>
    <x v="1"/>
    <s v=""/>
    <s v="Luis Felipe Mijangos, Plant Sr. SCM,_x000a_Arup Mukherjee, PS Controller_x000a_Michael Prashaw, Global IT Manager"/>
    <s v="Open"/>
    <s v=""/>
    <x v="1"/>
    <s v=""/>
    <s v=""/>
    <s v="Not Completed"/>
    <s v="Chawla"/>
    <s v="A"/>
    <s v=""/>
    <s v=""/>
    <s v=""/>
    <s v=""/>
    <s v=""/>
    <s v=""/>
    <s v=""/>
    <s v=""/>
    <s v=""/>
    <s v=""/>
    <s v=""/>
    <s v=""/>
    <s v=""/>
    <s v=""/>
    <s v=""/>
    <s v=""/>
    <d v="2025-04-19T00:00:00"/>
    <d v="2025-08-01T00:00:00"/>
    <s v="08/29/2025"/>
    <n v="-40"/>
    <x v="1"/>
    <x v="1"/>
  </r>
  <r>
    <s v="TEN-1723"/>
    <s v="2025"/>
    <x v="0"/>
    <s v="Genpact - ERC"/>
    <x v="1"/>
    <x v="24"/>
    <x v="0"/>
    <x v="15"/>
    <s v="Payroll"/>
    <s v="Payroll Disbursement"/>
    <x v="3"/>
    <s v="Moderate"/>
    <s v=""/>
    <s v=""/>
    <s v="Celaya, PS (MRS) - Full Scope 2025"/>
    <s v="Lack of encryption on bank file and lack of maker checker process for bank file review on bank portal"/>
    <s v="Currently payroll team processes payroll (weekly for hourly and bi-weekly for salaried employees) in SAP PTAx which generates a bank file (txt file) at the end of payroll run. There are currently 2 joint bank accounts (Bank account numbers - 1000162447 &amp; 1000198823) of Citi which are used for employee payroll processing and supplier payments._x000a__x000a_During our January 2025 payroll-to-bank review, we found that the payroll team both generates and uploads the SAP-PTAx bank file on the Citi portal—and self-reviews it prior to disbursement. Moreover, the file is transmitted in clear text, without encryption or password protection."/>
    <s v="No"/>
    <s v="Document and enforce a “maker–checker” policy that separates file preparation (Payroll) from approval and execution (Treasury)._x000a_Delegate bank-file upload and payment authorization exclusively to the Treasury team._x000a_Mandate encryption or secure delivery of payroll files; prohibit clear-text transfers"/>
    <s v="Starting June 2025, Treasury will be responsible for uploading payout file directly on the bank portal. Furthermore, payout file will be password protected to ensure additional security."/>
    <x v="0"/>
    <x v="4"/>
    <s v=""/>
    <s v="Mario Gudino, Payroll Manager"/>
    <s v="Open"/>
    <s v=""/>
    <x v="0"/>
    <s v=""/>
    <s v=""/>
    <s v="Not Completed"/>
    <s v="Chawla"/>
    <s v=""/>
    <s v=""/>
    <s v=""/>
    <s v=""/>
    <s v=""/>
    <s v=""/>
    <s v=""/>
    <s v=""/>
    <s v=""/>
    <s v=""/>
    <s v=""/>
    <s v=""/>
    <s v=""/>
    <s v=""/>
    <s v=""/>
    <s v=""/>
    <s v=""/>
    <d v="2025-04-19T00:00:00"/>
    <d v="2025-08-01T00:00:00"/>
    <s v="08/29/2025"/>
    <n v="52"/>
    <x v="2"/>
    <x v="0"/>
  </r>
  <r>
    <s v="TEN-1724"/>
    <s v="2025"/>
    <x v="0"/>
    <s v="Genpact - ERC"/>
    <x v="0"/>
    <x v="24"/>
    <x v="0"/>
    <x v="15"/>
    <s v="Property, Plant, and Equipment"/>
    <s v="Fixed Assets Verification"/>
    <x v="7"/>
    <s v="Moderate"/>
    <s v="PPAE-32"/>
    <s v=""/>
    <s v="Celaya, PS (MRS) - Full Scope 2025"/>
    <s v="Discrepancies noted in Fixed Assets as per Physical Count Vs SAP"/>
    <s v="As per Fixed Assets policy, 100% verification of Fixed Assets must be completed once in every 5 years. _x000a_Physical verification of Fixed Assets was last conducted at Celaya plant in 2021. The next physical count of Fixed Assets is due in 2026._x000a_During our Physical Verification of 30 Fixed Assets samples conducted on 16-Apr-25, we noted the following anomalies:_x000a_Assets not found physically – 2 assets having current book value (USD -3K) were available in the Fixed Assets Register, but not traceable physically in the plant._x000a_Assets found physically, but not in books – Noted 9 RFD Scanners which were found physically, however, the same were not traceable in the Fixed Assets Register._x000a_Noted 1 asset where the asset tag was missing and hence could not be reconciled with the Fixed Assets Register."/>
    <s v="No"/>
    <s v="Enhance Location Mapping Controls: Update real time location for inter/intra plant movements in SAP._x000a_Perform a periodic review to ensure asset tags are pasted on each fixed asset and initiate corrective actions for discrepancies, as required."/>
    <s v="We will investigate further for the short/ excess Fixed Assets found, and take corrective action_x000a_Fixed assets physical inventory will be executed in Q1 2026 basis the policy guidelines and requisite corrective actions for updating physical locations in SAP will be initiated._x000a_Furthermore, necessary instructions and guidelines will be provided to Plant staff for compliances around asset movement._x000a_Additionally, a periodic review for sample asset movements will be conducted to prevent tagging of incorrect locations in Fixed Asset Register (FAR)."/>
    <x v="0"/>
    <x v="11"/>
    <s v=""/>
    <s v="Gloria Carolina Belman, Jr. Controller"/>
    <s v="Open"/>
    <s v=""/>
    <x v="3"/>
    <s v=""/>
    <s v=""/>
    <s v="Not Completed"/>
    <s v="Chawla"/>
    <s v="A, C, E/O, V"/>
    <s v=""/>
    <s v=""/>
    <s v=""/>
    <s v=""/>
    <s v=""/>
    <s v=""/>
    <s v=""/>
    <s v=""/>
    <s v=""/>
    <s v=""/>
    <s v=""/>
    <s v=""/>
    <s v=""/>
    <s v=""/>
    <s v=""/>
    <s v=""/>
    <d v="2025-04-19T00:00:00"/>
    <d v="2025-08-01T00:00:00"/>
    <s v="08/29/2025"/>
    <n v="-130"/>
    <x v="1"/>
    <x v="1"/>
  </r>
  <r>
    <s v="TEN-1725"/>
    <s v="2025"/>
    <x v="0"/>
    <s v="Genpact - ERC"/>
    <x v="1"/>
    <x v="24"/>
    <x v="0"/>
    <x v="15"/>
    <s v="Physical Security"/>
    <s v="Physical Security Controls"/>
    <x v="2"/>
    <s v="Moderate"/>
    <s v=""/>
    <s v=""/>
    <s v="Celaya, PS (MRS) - Full Scope 2025"/>
    <s v="Weaknesses noted in the plant’s physical security controls"/>
    <s v="During our physical visit at Celaya North Plant, we visited security checkpoints (dated 28th March 2025) and reviewed the gate entry and exit process. _x000a__x000a_Vehicle entry bypasses screening – Salaried employees driving in through the main gate were not subject to bag or body checks; only vehicles were visually inspected_x000a_Partial metal‑detector coverage - Walk‑through detectors were installed solely at the hourly‑employee pedestrian gate; salaried employees and all visitors enter un‑screened_x000a_Insufficient CCTV at entry points - Only 2 cameras cover the salaried‑employee entrance; no cameras monitor hourly‑employee entry/exit lanes._x000a__x000a_Non‑functional cameras in high‑risk zones - 6 of 64 cameras (9 %) were inoperative—located in the Finished‑Goods inventory and shipping yard, areas with high theft/pilferage risk."/>
    <s v="Yes"/>
    <s v="Install vehicle‑gate guard booths with handheld metal detectors and configure walk‑through detectors at all pedestrian entrances, including salaried and visitor lanes_x000a_Restore &amp; Expand CCTV Coverage: Repair/replace the six inoperative cameras and add cameras to cover hourly‑employee entry/exit lanes; integrate feeds into the central monitoring room"/>
    <s v="A new practice for entry and exit to plant premises will be implemented, by ensuring visitors and employees’ entry/exit will be done through the metal detectors._x000a_Additionally, all cars/vehicles entering/exiting the premises will be screened while reviewing the current security assessment with external service provider."/>
    <x v="0"/>
    <x v="4"/>
    <s v=""/>
    <s v="Sergio Jair Guzman, EHS Manager"/>
    <s v="Open"/>
    <s v=""/>
    <x v="0"/>
    <s v=""/>
    <s v=""/>
    <s v="Not Completed"/>
    <s v="Chawla"/>
    <s v=""/>
    <s v=""/>
    <s v=""/>
    <s v=""/>
    <s v=""/>
    <s v=""/>
    <s v=""/>
    <s v=""/>
    <s v=""/>
    <s v=""/>
    <s v=""/>
    <s v=""/>
    <s v=""/>
    <s v=""/>
    <s v=""/>
    <s v=""/>
    <s v=""/>
    <d v="2025-04-19T00:00:00"/>
    <d v="2025-08-01T00:00:00"/>
    <s v="08/29/2025"/>
    <n v="52"/>
    <x v="2"/>
    <x v="0"/>
  </r>
  <r>
    <s v="TEN-1726"/>
    <s v="2025"/>
    <x v="0"/>
    <s v="Genpact - ERC"/>
    <x v="1"/>
    <x v="24"/>
    <x v="0"/>
    <x v="15"/>
    <s v="Documentation"/>
    <s v="Standard Operating Procedures"/>
    <x v="31"/>
    <s v="Moderate"/>
    <s v=""/>
    <s v=""/>
    <s v="Celaya, PS (MRS) - Full Scope 2025"/>
    <s v="Absence of Standard Operating procedures (SOPs)"/>
    <s v="SOPs were available for Cash and Bank, Payroll and Inventory. SOPs for the following areas were not available:_x000a_Production_x000a_Maintenance_x000a_EHS_x000a_Physical security_x000a_Sales order creation_x000a_Scrap_x000a__x000a_Further we noted, key elements were missing in existing SOPs such as DOA Matrix, RACI Matrix, Key controls, KPI/SLAs, Key MIS &amp; reporting framework"/>
    <s v="No"/>
    <s v="Benchmark SOPs against industry best in class standards: Standard Operating procedures (SOPs) should be modified to include all the key elements _x000a_Create SOPs for key areas , train employees and implement usage"/>
    <s v="Will work with other Tenneco plants and leverage the format to draft SOP’s for each process. "/>
    <x v="0"/>
    <x v="4"/>
    <s v=""/>
    <s v="Hector Casas, Plant Controller"/>
    <s v="Open"/>
    <s v=""/>
    <x v="0"/>
    <s v=""/>
    <s v=""/>
    <s v="Not Completed"/>
    <s v="Chawla"/>
    <s v=""/>
    <s v=""/>
    <s v=""/>
    <s v=""/>
    <s v=""/>
    <s v=""/>
    <s v=""/>
    <s v=""/>
    <s v=""/>
    <s v=""/>
    <s v=""/>
    <s v=""/>
    <s v=""/>
    <s v=""/>
    <s v=""/>
    <s v=""/>
    <s v=""/>
    <d v="2025-04-19T00:00:00"/>
    <d v="2025-08-01T00:00:00"/>
    <s v="08/29/2025"/>
    <n v="52"/>
    <x v="2"/>
    <x v="0"/>
  </r>
  <r>
    <s v="TEN-1730"/>
    <s v="2025"/>
    <x v="0"/>
    <s v="PwC"/>
    <x v="1"/>
    <x v="25"/>
    <x v="2"/>
    <x v="9"/>
    <s v="Payroll"/>
    <s v="Personal Data Archives"/>
    <x v="32"/>
    <s v="Moderate"/>
    <s v=""/>
    <s v=""/>
    <s v="Wiesbaden - Full Scope 2025"/>
    <s v="Failure to take into account the timely deletion of personal data in the human resources department"/>
    <s v="HR department archives personal data in paper form in a file that is not regularly checked to determine which documents must be deleted/destroyed due to legal requirements. In Detail: documents stored in the file must be deleted within the specified time limits (even if the employee is still active). Examples:_x000a_• 4 years: performance reviews, warnings, police clearance certificates,_x000a_• 6 years: social security statements, parental leave certificates, personal data of temporary employees_x000a_• 10 years: approvals for secondary employment, termination agreements, notices of termination_x000a_• 30 years: pension obligations, employee contracts in the event of legal disputes (legal background: Article 17, GDPR). The data must then be deleted or destroyed in accordance with data protection regulations. It does not matter whether the data is in analog or digital form or how it is destroyed. The decisive factor is that it is removed completely, traceably, and securely. The maximum penalty for violations of the GDPR, such as failure to delete personal data within the prescribed period, can be up to $20 million or 4% of the company's global annual turnover, whichever is higher._x000a_Additional notes: Retention periods may vary due to collective agreements or company agreements. The retention obligation also applies to electronic personnel files."/>
    <s v="No"/>
    <s v="1. Efficient, long-term, and flexible deletion of personal data requires the implementation of an electronic personnel file with clearly defined deletion periods_x000a_2. Ensuring that data is permanently deleted in accordance with GDPR_x000a_3. When scanning existing personnel files, destroy any documents that are no longer relevant"/>
    <s v="1. There is no budget available for the introduction of an electronic personnel file actually. Neither on a company level or on plant._x000a_2. A new process will be defined. The personnel files (paper) have to be checked until end of Q1 every year for the last year. A responding check list will be maintained._x000a_3. This should ensure that individual subfolders will be check timely and then lead to correct deletion."/>
    <x v="0"/>
    <x v="1"/>
    <s v=""/>
    <s v="Andreas Bär, Human Resources Manager_x000a_Matthias Millers, Exec Director, EMEA"/>
    <s v="Open"/>
    <s v=""/>
    <x v="1"/>
    <s v=""/>
    <s v=""/>
    <s v="Not Completed"/>
    <s v="Chawla"/>
    <s v=""/>
    <s v=""/>
    <s v=""/>
    <s v=""/>
    <s v=""/>
    <s v=""/>
    <s v=""/>
    <s v=""/>
    <s v=""/>
    <s v=""/>
    <s v=""/>
    <s v=""/>
    <s v=""/>
    <s v=""/>
    <s v=""/>
    <s v=""/>
    <s v=""/>
    <d v="2025-05-12T00:00:00"/>
    <d v="2025-08-13T00:00:00"/>
    <s v="09/04/2025"/>
    <n v="-40"/>
    <x v="1"/>
    <x v="1"/>
  </r>
  <r>
    <s v="TEN-1731"/>
    <s v="2025"/>
    <x v="0"/>
    <s v="PwC"/>
    <x v="1"/>
    <x v="26"/>
    <x v="2"/>
    <x v="10"/>
    <s v="Purchasing and Payables"/>
    <s v="Vendor Management"/>
    <x v="5"/>
    <s v="Major"/>
    <s v=""/>
    <s v=""/>
    <s v="Tres Coracoes - Full Scope 2025"/>
    <s v="Non-compliance with the purchasing policy and procedures"/>
    <s v="From the listing of the top ten locally sourced vendors, we selected one purchase order for each vendor and requested the supporting documentation such as: Request for Quotation (RFQ), Competitive quotations (bids), Purchase Order and Invoice._x000a_IA analyzed the sample (10 items with total R$ 1.5m around US$ 253k), and found the following gaps:_x000a_• A supplier (WELINGTON THIAGO MARQUES) lacked any evidence of bids or contract, with plant manager at the time (Emerson Filipin) bypassed established internal controls. Over seven months (February 24 to August 24), the supplier received R$34k per month totaling R$279k(~US$56k) for consultancy services purportedly aimed at improving productivity._x000a_• For nine other items in the sample, we received proper evidence for only one supplier (TRIGO BRASIL). For five items (R$1.2m around US$ 212k), we did not receive competitive bids, only the approved quotation. For the remaining three items, bids were not applicable as the purchase orders pertained to electricity payments._x000a_• Analytics from July to December 2024 revealed that Bona, Sodexho, Alcar, and Minas Verde issued purchase orders retroactively due to a team oversight in not creating the POs in advance. The total invoice amounts received prior to PO approval was approximately US$88k."/>
    <s v="No"/>
    <s v="1. Oversee and implement supplier contractual formalization to ensure compliance and operational alignment. _x000a_2. Establish a centralized document management system and clearly assign responsibility for maintaining procurement records at each stage of the process. _x000a_3. Standardize procurement workflows with clear roles, responsibilities, and escalation paths."/>
    <s v="1) New goods receiving/PO cross check process – Block of goods/PO during receiving action._x000a_2) Escalation process to evaluate (approval: Yes or No) root cause by case and provide actions._x000a_3) Disclosure of Purchasing Policy and reinforce this topic._x000a_4) Review and implement contractual formalization for suppliers in TC."/>
    <x v="0"/>
    <x v="3"/>
    <s v=""/>
    <s v="Camila Lido, Sr. Manager Purchasing"/>
    <s v="Open"/>
    <s v=""/>
    <x v="2"/>
    <s v=""/>
    <s v=""/>
    <s v="Not Completed"/>
    <s v="Chawla"/>
    <s v=""/>
    <s v=""/>
    <s v=""/>
    <s v=""/>
    <s v=""/>
    <s v=""/>
    <s v=""/>
    <s v=""/>
    <s v=""/>
    <s v=""/>
    <s v=""/>
    <s v=""/>
    <s v=""/>
    <s v=""/>
    <s v=""/>
    <s v=""/>
    <s v=""/>
    <d v="2025-04-14T00:00:00"/>
    <d v="2025-08-22T00:00:00"/>
    <s v="09/04/2025"/>
    <n v="-9"/>
    <x v="1"/>
    <x v="1"/>
  </r>
  <r>
    <s v="TEN-1734"/>
    <s v="2025"/>
    <x v="0"/>
    <s v="PwC"/>
    <x v="1"/>
    <x v="26"/>
    <x v="2"/>
    <x v="10"/>
    <s v="Production and Inventory"/>
    <s v="Scrap Sales"/>
    <x v="33"/>
    <s v="Major"/>
    <s v=""/>
    <s v=""/>
    <s v="Tres Coracoes - Full Scope 2025"/>
    <s v="Absence of scrap sales contracts in Tres Coracoes"/>
    <s v="Overproduction in 2024 (shown in table below) led to scrap in excess of ~US$ 400k between Nov and Dec 2024. In 2024, 18,838 kg of noble scrap (sucata nobre) were sold, and 67,081 kg of non noble scrap (sucata não nobre) were sold. &quot;Noble&quot; refers to higher-value or higher-quality materials and &quot;Non-noble&quot; refers to lower-value or contaminated materials. This corresponds to an average of 6,279 kg/month for 'noble' scrap and 13,416 kg/month for 'non noble' scrap. In terms of revenue, this amounted to R$174k (~US$ 29k) and R$134k (~US$ 22k) respectively, with monthly averages of R$58k (~US$ 9,6k) and R$27k (~US$ 4,5k)._x000a_• Scrap levels at the Três Corações plant are approximately 50% higher than the average across other powertrain facilities, primarily due to weak controls and deficiencies in the demand planning process in 2024. The valve V77637M0-4030 (WIP), originally produced for Volkswagen, represented the highest scrap cost of the year due to excess inventory, following the loss of the business to a competitor._x000a_Subsequently, a commercial agreement was reached to sell the remaining stock to Apex at a 50% discount._x000a_• Due to the existence of only one available supplier (Villares), a competitive bidding process is not feasible. Nevertheless, a quotation process was carried out and the approval was documented via email._x000a_• As discussed with the Purchasing Team and the Purchasing Director, there is no formal contract in place for scrap sales in Brazil."/>
    <s v="No"/>
    <s v="1.Define a standardized, cross-functional demand planning process involving Sales, Operations, and Finance._x000a_2. Formalize contractual agreements with the sole supplier that clearly define terms, pricing, service levels, and responsibilities._x000a_These contracts should be duly signed and approved by the appropriate authorization levels and securely stored to ensure accessibility for future reference."/>
    <s v="1) Formalize scrap sales process and nominated responsibilities_x000a_2) Formalize contractual agreement."/>
    <x v="0"/>
    <x v="3"/>
    <s v=""/>
    <s v="Camila Lido, Sr. Manager Purchasing"/>
    <s v="Open"/>
    <s v=""/>
    <x v="2"/>
    <s v=""/>
    <s v=""/>
    <s v="Not Completed"/>
    <s v="Chawla"/>
    <s v=""/>
    <s v=""/>
    <s v=""/>
    <s v=""/>
    <s v=""/>
    <s v=""/>
    <s v=""/>
    <s v=""/>
    <s v=""/>
    <s v=""/>
    <s v=""/>
    <s v=""/>
    <s v=""/>
    <s v=""/>
    <s v=""/>
    <s v=""/>
    <s v=""/>
    <d v="2025-04-14T00:00:00"/>
    <d v="2025-08-22T00:00:00"/>
    <s v="09/04/2025"/>
    <n v="-9"/>
    <x v="1"/>
    <x v="1"/>
  </r>
  <r>
    <s v="TEN-1741"/>
    <s v="2025"/>
    <x v="0"/>
    <s v="PwC"/>
    <x v="1"/>
    <x v="26"/>
    <x v="2"/>
    <x v="10"/>
    <s v="Documentation"/>
    <s v="Policy &amp; Procedures"/>
    <x v="31"/>
    <s v="Moderate"/>
    <s v=""/>
    <s v=""/>
    <s v="Tres Coracoes - Full Scope 2025"/>
    <s v="Gap in SOPs"/>
    <s v="• There is a document containing process narratives for processes such as Purchasing, Receiving, New Vendors, Payments, Reconciliation, HR, Financial Closing, Inventory, Shipments, Sales, and Treasury. However, it only includes control references and basic process descriptions, lacking critical elements such as KPIs, SLAs, policy references, RACI matrices, defined process owners, and process flowcharts._x000a_• Each business unit is accountable for maintaining and updating its own Standard Operating Procedures (SOPs). However, due to current resource constraints and limited team capacity, this activity has not been prioritized."/>
    <s v="No"/>
    <s v="1. Update process narratives for all critical operations to include KPIs, RACI, SLAs, policy references and flowcharts._x000a_2. Define clear ownership and accountability for SOP lifecycle management._x000a_3. Establish a review cycle (e.g., annually or after major process changes) to keep SOPs current and relevant."/>
    <s v="Update process narratives to include KPIs, RACI, SLAs, and policy references where practical."/>
    <x v="0"/>
    <x v="1"/>
    <s v=""/>
    <s v="Fernando Bizerra, Financial Controller/ Adriana Ramos, Financial Controller"/>
    <s v="Open"/>
    <s v=""/>
    <x v="1"/>
    <s v=""/>
    <s v=""/>
    <s v="Not Completed"/>
    <s v="Chawla"/>
    <s v=""/>
    <s v=""/>
    <s v=""/>
    <s v=""/>
    <s v=""/>
    <s v=""/>
    <s v=""/>
    <s v=""/>
    <s v=""/>
    <s v=""/>
    <s v=""/>
    <s v=""/>
    <s v=""/>
    <s v=""/>
    <s v=""/>
    <s v=""/>
    <s v=""/>
    <d v="2025-04-14T00:00:00"/>
    <d v="2025-08-22T00:00:00"/>
    <s v="09/04/2025"/>
    <n v="-40"/>
    <x v="1"/>
    <x v="1"/>
  </r>
  <r>
    <s v="TEN-1742"/>
    <s v="2025"/>
    <x v="3"/>
    <s v="PwC"/>
    <x v="0"/>
    <x v="6"/>
    <x v="1"/>
    <x v="3"/>
    <s v="Self-Testing"/>
    <s v=""/>
    <x v="34"/>
    <s v="Major"/>
    <s v=""/>
    <s v=""/>
    <s v="Cardiff (DRiV) -Management Self-Testing Report 2025"/>
    <s v="Self-Testing was not completed by location."/>
    <s v="Background: All locations were required to complete self-testing by July 31, 2025. However, the self-testing was not completed for the year 2025 and neither an extension was requested. _x000a__x000a_Risk: Absence of self-evaluation of controls increases risk of non-compliance of applicable controls.  "/>
    <s v="No"/>
    <s v="Self-testing should be completed within due date adhering to the guidelines and instructions communicated to all locations."/>
    <s v="Self-testing for 2026 will be completed as per corporate directed timelines. "/>
    <x v="0"/>
    <x v="1"/>
    <s v=""/>
    <s v="Munish Kashyap (Executive Finance Director)"/>
    <s v="Open"/>
    <s v=""/>
    <x v="1"/>
    <s v=""/>
    <s v=""/>
    <s v="Not Completed"/>
    <s v="Gupta"/>
    <s v=""/>
    <s v=""/>
    <s v=""/>
    <s v=""/>
    <s v=""/>
    <s v=""/>
    <s v=""/>
    <s v=""/>
    <s v=""/>
    <s v=""/>
    <s v=""/>
    <s v=""/>
    <s v=""/>
    <s v=""/>
    <s v=""/>
    <s v=""/>
    <s v=""/>
    <d v="2025-07-31T00:00:00"/>
    <d v="2025-08-31T00:00:00"/>
    <s v="09/05/2025"/>
    <n v="-40"/>
    <x v="1"/>
    <x v="1"/>
  </r>
  <r>
    <s v="TEN-1743"/>
    <s v="2025"/>
    <x v="3"/>
    <s v="PwC"/>
    <x v="0"/>
    <x v="27"/>
    <x v="3"/>
    <x v="7"/>
    <s v="Self-Testing"/>
    <s v=""/>
    <x v="34"/>
    <s v="Major"/>
    <s v=""/>
    <s v=""/>
    <s v="Argentina Aftermarket (DRiV) - Management Self-Testing Report 2025"/>
    <s v="Self-Testing was not completed by location."/>
    <s v="Background: All locations were required to complete self-testing by July 31, 2025. However, the self-testing was not completed for the year 2025 and neither an extension was requested. _x000a__x000a_Risk: Absence of self-evaluation of controls increases risk of non-compliance of applicable controls."/>
    <s v="No"/>
    <s v="Self-testing should be completed within due date adhering to the guidelines and instructions communicated to all locations."/>
    <s v="Self-testing for 2026 will be completed as per corporate directed timelines."/>
    <x v="0"/>
    <x v="1"/>
    <s v=""/>
    <s v="Jorge Coccozzella (Plant Controller)"/>
    <s v="Open"/>
    <s v=""/>
    <x v="1"/>
    <s v=""/>
    <s v=""/>
    <s v="Not Completed"/>
    <s v="Gupta"/>
    <s v=""/>
    <s v=""/>
    <s v=""/>
    <s v=""/>
    <s v=""/>
    <s v=""/>
    <s v=""/>
    <s v=""/>
    <s v=""/>
    <s v=""/>
    <s v=""/>
    <s v=""/>
    <s v=""/>
    <s v=""/>
    <s v=""/>
    <s v=""/>
    <s v=""/>
    <d v="2025-07-31T00:00:00"/>
    <d v="2025-08-31T00:00:00"/>
    <s v="09/05/2025"/>
    <n v="-40"/>
    <x v="1"/>
    <x v="1"/>
  </r>
  <r>
    <s v="TEN-1744"/>
    <s v="2025"/>
    <x v="3"/>
    <s v="PwC"/>
    <x v="0"/>
    <x v="28"/>
    <x v="3"/>
    <x v="7"/>
    <s v="Self-Testing"/>
    <s v=""/>
    <x v="34"/>
    <s v="Major"/>
    <s v=""/>
    <s v=""/>
    <s v="Argentina Bearings &amp; Pistons (DRiV) - Management Self-Testing Report 2025"/>
    <s v="Self-Testing was not completed by location."/>
    <s v="Background: All locations were required to complete self-testing by July 31, 2025. However, the self-testing was not completed for the year 2025 and neither an extension was requested. _x000a__x000a_Risk: Absence of self-evaluation of controls increases risk of non-compliance of applicable controls."/>
    <s v="No"/>
    <s v="Self-testing should be completed within due date adhering to the guidelines and instructions communicated to all locations."/>
    <s v="Self-testing for 2026 will be completed as per corporate directed timelines."/>
    <x v="0"/>
    <x v="1"/>
    <s v=""/>
    <s v="Jorge Coccozzella (Plant Controller)"/>
    <s v="Open"/>
    <s v=""/>
    <x v="1"/>
    <s v=""/>
    <s v=""/>
    <s v="Not Completed"/>
    <s v="Gupta"/>
    <s v=""/>
    <s v=""/>
    <s v=""/>
    <s v=""/>
    <s v=""/>
    <s v=""/>
    <s v=""/>
    <s v=""/>
    <s v=""/>
    <s v=""/>
    <s v=""/>
    <s v=""/>
    <s v=""/>
    <s v=""/>
    <s v=""/>
    <s v=""/>
    <s v=""/>
    <d v="2025-07-31T00:00:00"/>
    <d v="2025-08-31T00:00:00"/>
    <s v="09/05/2025"/>
    <n v="-40"/>
    <x v="1"/>
    <x v="1"/>
  </r>
  <r>
    <s v="TEN-1745"/>
    <s v="2025"/>
    <x v="3"/>
    <s v="PwC"/>
    <x v="0"/>
    <x v="29"/>
    <x v="0"/>
    <x v="8"/>
    <s v="Self-Testing"/>
    <s v=""/>
    <x v="34"/>
    <s v="Major"/>
    <s v=""/>
    <s v=""/>
    <s v="Angola (PS) -Management Self-Testing Report 2025"/>
    <s v="Self-Testing was not completed by location."/>
    <s v="Background: All locations were required to complete self-testing by July 31, 2025. However, the self-testing was not completed for the year 2025 and neither an extension was requested. _x000a__x000a_Risk: Absence of self-evaluation of controls increases risk of non-compliance of applicable controls."/>
    <s v="No"/>
    <s v="Self-testing should be completed within due date adhering to the guidelines and instructions communicated to all locations."/>
    <s v="Self-testing for 2026 will be completed as per corporate directed timelines."/>
    <x v="0"/>
    <x v="1"/>
    <s v=""/>
    <s v="Greg Goudeseune (Plant Controller)"/>
    <s v="Open"/>
    <s v=""/>
    <x v="1"/>
    <s v=""/>
    <s v=""/>
    <s v="Not Completed"/>
    <s v="Gupta"/>
    <s v=""/>
    <s v=""/>
    <s v=""/>
    <s v=""/>
    <s v=""/>
    <s v=""/>
    <s v=""/>
    <s v=""/>
    <s v=""/>
    <s v=""/>
    <s v=""/>
    <s v=""/>
    <s v=""/>
    <s v=""/>
    <s v=""/>
    <s v=""/>
    <s v=""/>
    <d v="2025-07-31T00:00:00"/>
    <d v="2025-08-31T00:00:00"/>
    <s v="09/05/2025"/>
    <n v="-40"/>
    <x v="1"/>
    <x v="1"/>
  </r>
  <r>
    <s v="TEN-1746"/>
    <s v="2025"/>
    <x v="2"/>
    <s v="PwC"/>
    <x v="0"/>
    <x v="30"/>
    <x v="1"/>
    <x v="3"/>
    <s v="Leases"/>
    <s v="Lease Impairment"/>
    <x v="35"/>
    <s v=""/>
    <s v="LEAS-10"/>
    <s v=""/>
    <s v="(Leasing) (Corporate) - Management Self-Testing 2025"/>
    <s v="Leased assets are not reviewed for possible impairment"/>
    <s v="This control requires active communication from executive management to the lease team regarding plant closures.  With the plant closure in Australia there was a gap in communication.  PwC Australia instructed the plant to impair the lease in their statutory books however they did not impair at the US GAAP level."/>
    <s v=""/>
    <s v=""/>
    <s v="Lease accounting proposes that this control is redesigned to be included in the controls matrix at the regional level.  Plant closures are typically confidential and lease accounting is not privy to this information until closer to the public announcement.  Lease accounting will implement an additional checklist to send to regional controllers each quarter in order to verify that impairments have been provided to us."/>
    <x v="0"/>
    <x v="10"/>
    <s v=""/>
    <s v="Michael Pangrazzi, Global Techinal Accounting Director &amp;_x000a_ Kevin Diegel, SNR Accounting Manager"/>
    <s v="Open"/>
    <s v=""/>
    <x v="0"/>
    <s v=""/>
    <s v=""/>
    <s v="N/A"/>
    <s v="Gupta"/>
    <s v="V"/>
    <s v=""/>
    <s v=""/>
    <s v=""/>
    <s v=""/>
    <s v=""/>
    <s v=""/>
    <s v=""/>
    <s v=""/>
    <s v=""/>
    <s v=""/>
    <s v=""/>
    <s v=""/>
    <s v=""/>
    <s v=""/>
    <s v=""/>
    <s v=""/>
    <s v=""/>
    <s v=""/>
    <s v="09/18/2025"/>
    <n v="21"/>
    <x v="2"/>
    <x v="0"/>
  </r>
  <r>
    <s v="TEN-1755"/>
    <s v="2025"/>
    <x v="2"/>
    <s v="PwC"/>
    <x v="0"/>
    <x v="31"/>
    <x v="6"/>
    <x v="16"/>
    <s v="Period End Financial Reporting"/>
    <s v="Financial Statement Presentation and Disclosures"/>
    <x v="35"/>
    <s v=""/>
    <s v="PEFR-45"/>
    <s v=""/>
    <s v="(MOGI MIRIM) (Clean Air)  - Management Self-Testing 2025"/>
    <s v="Financial statements (2024) are not yet reviewed by External Auditor"/>
    <s v="The 2024 Annual Financial Statements are still under analyses by the External Audit."/>
    <s v=""/>
    <s v=""/>
    <s v="The External Audit of the Annual Financial Statements is expected to be completed by September 30th. The matter will be referred to Internal Audit after September 30th."/>
    <x v="0"/>
    <x v="10"/>
    <s v=""/>
    <s v="Marcos Castro, Controller"/>
    <s v="Open"/>
    <s v=""/>
    <x v="0"/>
    <s v=""/>
    <s v=""/>
    <s v="N/A"/>
    <s v="Gupta"/>
    <s v="P&amp;D"/>
    <s v=""/>
    <s v=""/>
    <s v=""/>
    <s v=""/>
    <s v=""/>
    <s v=""/>
    <s v=""/>
    <s v=""/>
    <s v=""/>
    <s v=""/>
    <s v=""/>
    <s v=""/>
    <s v=""/>
    <s v=""/>
    <s v=""/>
    <s v=""/>
    <s v=""/>
    <s v=""/>
    <s v="09/18/2025"/>
    <n v="21"/>
    <x v="2"/>
    <x v="0"/>
  </r>
  <r>
    <s v="TEN-1756"/>
    <s v="2025"/>
    <x v="2"/>
    <s v="PwC"/>
    <x v="0"/>
    <x v="25"/>
    <x v="2"/>
    <x v="9"/>
    <s v="Property, Plant, and Equipment"/>
    <s v="Adjustments &amp; Period-end Close for Property, plant &amp; equipment"/>
    <x v="7"/>
    <s v=""/>
    <s v="PPAE-32"/>
    <s v=""/>
    <s v="(Wiesbaden) (Powertrain)  - Management Self-Testing 2025"/>
    <s v="Physical verification of PPE was not performed as per policy"/>
    <s v="A complete physical inventory of the fixed assets has not been performed in the last years. "/>
    <s v=""/>
    <s v=""/>
    <s v="Instructions for a physical inventory has been sent out to cost center managers on June 18, 2025"/>
    <x v="0"/>
    <x v="1"/>
    <s v=""/>
    <s v="Axel Korn, Plant Finance Leader"/>
    <s v="Open"/>
    <s v=""/>
    <x v="1"/>
    <s v=""/>
    <s v=""/>
    <s v="N/A"/>
    <s v="Gupta"/>
    <s v="A, C, E/O, V"/>
    <s v=""/>
    <s v=""/>
    <s v=""/>
    <s v=""/>
    <s v=""/>
    <s v=""/>
    <s v=""/>
    <s v=""/>
    <s v=""/>
    <s v=""/>
    <s v=""/>
    <s v=""/>
    <s v=""/>
    <s v=""/>
    <s v=""/>
    <s v=""/>
    <s v=""/>
    <s v=""/>
    <s v="09/18/2025"/>
    <n v="-40"/>
    <x v="1"/>
    <x v="1"/>
  </r>
  <r>
    <s v="TEN-1758"/>
    <s v="2025"/>
    <x v="2"/>
    <s v="PwC"/>
    <x v="0"/>
    <x v="32"/>
    <x v="2"/>
    <x v="10"/>
    <s v="Property, Plant, and Equipment"/>
    <s v="Adjustments &amp; Period-end Close for Property, plant &amp; equipment"/>
    <x v="7"/>
    <s v=""/>
    <s v="PPAE-32"/>
    <s v=""/>
    <s v="(Blacksburg) (Powertrain)  - Management Self-Testing 2025"/>
    <s v="Physical verification of PPE was not performed as per policy"/>
    <s v="An asset physical inventory should be performed every five years. This is the corporate policy for asset inventory The asset inventory was last performed in 2018. We have not completed an asset physical inventory since this date, putting us out of compliance with this policy so the plant is going to close this finding ASAP before Q4 2025 close."/>
    <s v=""/>
    <s v=""/>
    <s v="The facilities Engineer and Cost accountant are currently performing a Complete physical inventory of all the Land &amp; Buildings, improvements and Fixtures, Machinery and Equipment, Computer hardware and automobiles considered as Tenneco Owned PP&amp;E to verify the Existence, Physical location, use and condition of all Asset Items.  "/>
    <x v="0"/>
    <x v="10"/>
    <s v=""/>
    <s v="Clayton Brown, Plant Manager_x000a_Eric Bill, Facilities Engineer_x000a_Rudy Reyes, Plant Finance Leader_x000a_Marissa Barbieri, Accountant"/>
    <s v="Open"/>
    <d v="2025-12-31T00:00:00"/>
    <x v="0"/>
    <s v="Fixed Asset validation is complete, still pending to finalize the reconciliation VS Plex System so the remediation date is targeted to be completed at the end of Q4 2025."/>
    <s v=""/>
    <s v="N/A"/>
    <s v="Gupta"/>
    <s v="A, C, E/O, V"/>
    <s v=""/>
    <s v=""/>
    <s v=""/>
    <s v=""/>
    <s v=""/>
    <s v=""/>
    <s v=""/>
    <s v=""/>
    <s v=""/>
    <s v=""/>
    <s v=""/>
    <s v=""/>
    <s v=""/>
    <s v=""/>
    <s v=""/>
    <s v=""/>
    <s v=""/>
    <s v=""/>
    <s v="09/18/2025"/>
    <n v="21"/>
    <x v="2"/>
    <x v="0"/>
  </r>
  <r>
    <s v="TEN-1761"/>
    <s v="2025"/>
    <x v="2"/>
    <s v="PwC"/>
    <x v="0"/>
    <x v="33"/>
    <x v="3"/>
    <x v="7"/>
    <s v="Leases"/>
    <s v="Lease Identification"/>
    <x v="35"/>
    <s v=""/>
    <s v="LEAS-02"/>
    <s v=""/>
    <s v="(Regional Aftermarket - NAM (Excludes Mexico)) (Regional Aftermarket - SAM) (AFFINIA (Excluding NAPD) / Southfield APS) (DRiV)   - Management Self-Testing 2025"/>
    <s v="Review evidence not retained"/>
    <s v="We could not verify the confirmation took place"/>
    <s v=""/>
    <s v=""/>
    <s v="To remediate this we will work with the leasing team to identify the proper contacts and re-establish the former cadence of confirming the leases."/>
    <x v="0"/>
    <x v="10"/>
    <s v=""/>
    <s v="Michael Kurinsky, Senior Accounting Manager_x000a_Erion Kola, FP&amp;A Manager"/>
    <s v="Open"/>
    <s v=""/>
    <x v="0"/>
    <s v=""/>
    <s v=""/>
    <s v="N/A"/>
    <s v="Gupta"/>
    <s v="C, CO"/>
    <s v=""/>
    <s v=""/>
    <s v=""/>
    <s v=""/>
    <s v=""/>
    <s v=""/>
    <s v=""/>
    <s v=""/>
    <s v=""/>
    <s v=""/>
    <s v=""/>
    <s v=""/>
    <s v=""/>
    <s v=""/>
    <s v=""/>
    <s v=""/>
    <s v=""/>
    <s v=""/>
    <s v="09/18/2025"/>
    <n v="21"/>
    <x v="2"/>
    <x v="0"/>
  </r>
  <r>
    <s v="TEN-1762"/>
    <s v="2025"/>
    <x v="2"/>
    <s v="PwC"/>
    <x v="0"/>
    <x v="33"/>
    <x v="3"/>
    <x v="7"/>
    <s v="Production and Inventory"/>
    <s v="Adjustments &amp; Period-end Close for Production and inventory"/>
    <x v="35"/>
    <s v=""/>
    <s v="PINV-44"/>
    <s v=""/>
    <s v="(Regional Aftermarket - NAM (Excludes Mexico)) (Regional Aftermarket - SAM) (AFFINIA (Excluding NAPD) / Southfield APS) (DRiV)   - Management Self-Testing 2025"/>
    <s v="Process to review inventory adjustments over $500 USD not in place"/>
    <s v="Process not in place to approved inventory adjustments over $500 USD"/>
    <s v=""/>
    <s v=""/>
    <s v="Same approval process from Felpro will be implemented"/>
    <x v="0"/>
    <x v="10"/>
    <s v=""/>
    <s v="Varsha Manghnani, Distribution Center Senior Analyst"/>
    <s v="Open"/>
    <s v=""/>
    <x v="0"/>
    <s v=""/>
    <s v=""/>
    <s v="N/A"/>
    <s v="Gupta"/>
    <s v="V"/>
    <s v=""/>
    <s v=""/>
    <s v=""/>
    <s v=""/>
    <s v=""/>
    <s v=""/>
    <s v=""/>
    <s v=""/>
    <s v=""/>
    <s v=""/>
    <s v=""/>
    <s v=""/>
    <s v=""/>
    <s v=""/>
    <s v=""/>
    <s v=""/>
    <s v=""/>
    <s v=""/>
    <s v="09/18/2025"/>
    <n v="21"/>
    <x v="2"/>
    <x v="0"/>
  </r>
  <r>
    <s v="TEN-1770"/>
    <s v="2025"/>
    <x v="0"/>
    <s v="PwC"/>
    <x v="1"/>
    <x v="34"/>
    <x v="2"/>
    <x v="10"/>
    <s v="Purchasing and Payables"/>
    <s v="Order/ Purchasing"/>
    <x v="5"/>
    <s v="Major"/>
    <s v=""/>
    <s v=""/>
    <s v="Santo Andre - Powertrain - Full Scope 2025"/>
    <s v="Several prices for same material"/>
    <s v="Between January and March 2025, a review of purchase order (PO) data analytics noted that the same material was being purchased at varying prices across different POs. This raised concerns about pricing consistency, potential control gaps, and data integrity within the procurement process. To better understand the underlying causes, 16 cases were analyzed, where 9 revealed the following findings:_x000a_• 5 items are related to supplier ALCAR, which has interface issues between Mercado Eletrônico (ME) and SAP. It was verified that the amounts in ME and the invoices match, but SAP does not reflect this accurately._x000a_• 2 material codes had purchase orders initially raised with incorrect information. A second PO was created with the correct details, but the original PO was neither deleted nor canceled._x000a_• 2 material codes were used as generic material codes in SAP (ME0000638 and ME0003147), while the corresponding invoices list distinct products. For example:_x000a_o ME0000638 is used to identify both &quot;QUADRO MAGNÉTICO A4&quot; and &quot;EXPOSITOR FORMATO A4 - MAGNÉTICO&quot; (A4 Magnetic Board and A4 Format Magnetic Display Holder)_x000a_o ME0000638 is used to identify both &quot;CONTROLADOR POTENCIA P501 3F 150A+RETRANS 0A10V&quot; and &quot;CONTROLADOR POTENCIA P501 2F 200A&quot; (Power Controller P501 3-Phase 150A with 0–10V Retransmission and Power  Controller P501 2-Phase 200A)"/>
    <s v="No"/>
    <s v="1. Reconfigure interface to fix the integration problem between SAP and ME _x000a_2. Create SOPs for all critical operational tasks, especially those involving cross-functional processes and store all SOPs in a centralized, easily accessible digital repository._x000a_3. Structured enhancement of the Material Master data to incorporate detailed classification and invoice mapping, ensuring that each invoice line item can be uniquely and accurately linked to its corresponding material code in SAP"/>
    <s v="1. Fix interface between ME and SAP – Complete as of June 2025._x000a_2. Improve SOPs to include instructions about approvals._x000a_3. Reinforce training for the team to avoid approving requisitions and purchase orders using generic codes._x000a_4. Assess the capabilities of Mercado Eletrônico to determine whether it can generate alerts for mismatches."/>
    <x v="2"/>
    <x v="3"/>
    <s v=""/>
    <s v="Flavio Cadan (Purchasing Supervisor) / Fernando_x000a_Bizerra (Plant Finance Lead)"/>
    <s v="Open"/>
    <s v=""/>
    <x v="2"/>
    <s v=""/>
    <s v=""/>
    <s v="Not Completed"/>
    <s v="Chawla"/>
    <s v=""/>
    <s v=""/>
    <s v=""/>
    <s v=""/>
    <s v=""/>
    <s v=""/>
    <s v=""/>
    <s v=""/>
    <s v=""/>
    <s v=""/>
    <s v=""/>
    <s v=""/>
    <s v=""/>
    <s v=""/>
    <s v=""/>
    <s v=""/>
    <s v=""/>
    <d v="2025-05-12T00:00:00"/>
    <d v="2025-09-03T00:00:00"/>
    <s v="09/23/2025"/>
    <n v="-9"/>
    <x v="1"/>
    <x v="1"/>
  </r>
  <r>
    <s v="TEN-1771"/>
    <s v="2025"/>
    <x v="0"/>
    <s v="PwC"/>
    <x v="1"/>
    <x v="34"/>
    <x v="2"/>
    <x v="10"/>
    <s v="Purchasing and Payables"/>
    <s v="Order/ Purchasing"/>
    <x v="5"/>
    <s v="Major"/>
    <s v=""/>
    <s v="N/A"/>
    <s v="Santo Andre - Powertrain - Full Scope 2025"/>
    <s v="Non-compliance with the purchasing policy and procedures"/>
    <s v="From the list of the top ten locally sourced vendors, one purchase order was selected for each vendor. For each, supporting documentation was requested, including: Request for Quotation (RFQ), competitive bids, purchase order, and invoice. A sample of 10 items, totaling approximately R$1.6m (~US$ 273k), was tested based on the defined procedure, which involved selecting one purchase order from each of the top 10 vendors. The total population consisted of 127 purchase orders, amounting to $5,9m. The following gaps were identified during the review:_x000a_• 5 samples were contracts processed through Mercado Eletronico (an electronic bidding and contracting platform), but no historical quotation data was available for the time the contracts were signed. POs total amount was  $ 424k (~US$ 74k)._x000a_• 1 item without a bid because it is a &quot;Programa Remessa&quot;, which is a form of purchase, the prices are agreed every month by email with the supplier (Villares)."/>
    <s v="No"/>
    <s v="1. Create standardized SOP templates to ensure consistency across departments and store SOPs in a centralized, accessible location._x000a_2. Conduct quarterly audits of high-value POs to verify the presence of RFQs, bids, and approvals._x000a_3. Establish a log of all procurement exceptions with justifications and approvals"/>
    <s v="1. New goods receiving/PO cross check process – Block of goods/PO during receiving action._x000a_2. Escalation process to evaluate (approval: Yes or No) root cause by case and provide actions._x000a_3. Disclosure of Purchasing Policy and reinforce this topic._x000a_4. Review and implement contractual formalization for suppliers in SA."/>
    <x v="2"/>
    <x v="3"/>
    <s v=""/>
    <s v="Camila Lido (Purchasing Senior Manager)"/>
    <s v="Open"/>
    <s v=""/>
    <x v="2"/>
    <s v=""/>
    <s v=""/>
    <s v="Not Completed"/>
    <s v="Chawla"/>
    <s v=""/>
    <s v=""/>
    <s v=""/>
    <s v=""/>
    <s v=""/>
    <s v=""/>
    <s v=""/>
    <s v=""/>
    <s v=""/>
    <s v=""/>
    <s v=""/>
    <s v=""/>
    <s v=""/>
    <s v=""/>
    <s v=""/>
    <s v=""/>
    <s v=""/>
    <d v="2025-05-12T00:00:00"/>
    <d v="2025-09-03T00:00:00"/>
    <s v="09/23/2025"/>
    <n v="-9"/>
    <x v="1"/>
    <x v="1"/>
  </r>
  <r>
    <s v="TEN-1773"/>
    <s v="2025"/>
    <x v="0"/>
    <s v="PwC"/>
    <x v="1"/>
    <x v="34"/>
    <x v="2"/>
    <x v="10"/>
    <s v="Production and Inventory"/>
    <s v="Scrap Sales"/>
    <x v="33"/>
    <s v="Moderate"/>
    <s v=""/>
    <s v=""/>
    <s v="Santo Andre - Powertrain - Full Scope 2025"/>
    <s v="Absence of scrap sales contracts in Santo Andre"/>
    <s v="There is no formal contract in place for all three scrap vendors (Villares, Orinox, and Cronimet)._x000a_The plant measures scrap in kilograms (kg). Once the minimum quantity is reached — based on criteria related to freight cost — the buyer is responsible for collecting the material directly from the plant and covering the transportation costs. The materials are initially weighed at the plant and later confirmed by the buyer. The price per kilogram is agreed via email, although ideally, this agreement should be formalized through a contract. In 2024, 105,121 kg of scrap were sold which corresponds to an average of 8,760 kg/month. In terms of revenue, this amounted to R$1.3m (~US$ 223k), with monthly average of R$111k (~US$ 18k)._x000a_In 2025, from January to April, 27.837 kg of scrap were sold, which corresponds to an average of 6.959 kg/month. In terms of revenue, this amounted to R$295k (~ US$50k), with monthly average of R$80k (~US$ 13k). There are 10 types of metal scrap in Santo André due to differences in material purity. The prices range from R$1.90/kg (~US$0.32/kg) to R$41 (~ US$6.83/kg)."/>
    <s v="No"/>
    <s v="1. Develop and formalize SOPs for managing scrap contracts, including responsible roles, documentation requirements and policy reference._x000a_2. Formalize contractual agreements between Powertrain plants in Brazil with suppliers that clearly define terms, pricing, service levels, and responsibilities. These contracts should be duly signed and approved by the authorized levels._x000a_3. Develop and implement a structured training and awareness program for all relevant staff."/>
    <s v="1. Formalize scrap sales process and nominate responsibilities._x000a_2. Formalize contractual agreement._x000a_3. Perform trainings."/>
    <x v="0"/>
    <x v="3"/>
    <s v=""/>
    <s v="Camila Lido (Purchasing Senior Manager)"/>
    <s v="Open"/>
    <s v=""/>
    <x v="2"/>
    <s v=""/>
    <s v=""/>
    <s v="Not Completed"/>
    <s v="Chawla"/>
    <s v=""/>
    <s v=""/>
    <s v=""/>
    <s v=""/>
    <s v=""/>
    <s v=""/>
    <s v=""/>
    <s v=""/>
    <s v=""/>
    <s v=""/>
    <s v=""/>
    <s v=""/>
    <s v=""/>
    <s v=""/>
    <s v=""/>
    <s v=""/>
    <s v=""/>
    <d v="2025-05-12T00:00:00"/>
    <d v="2025-09-03T00:00:00"/>
    <s v="09/23/2025"/>
    <n v="-9"/>
    <x v="1"/>
    <x v="1"/>
  </r>
  <r>
    <s v="TEN-1774"/>
    <s v="2025"/>
    <x v="0"/>
    <s v="PwC"/>
    <x v="1"/>
    <x v="34"/>
    <x v="2"/>
    <x v="10"/>
    <s v="Master Data"/>
    <s v="Master Data Management"/>
    <x v="10"/>
    <s v="Moderate"/>
    <s v=""/>
    <s v=""/>
    <s v="Santo Andre - Powertrain - Full Scope 2025"/>
    <s v="Inaccuracy of material master records"/>
    <s v="An analysis was performed on the material master data, covering both direct and indirect materials, to identify potential duplications based on identical descriptions or codes. The review revealed that approximately 40% of the material codes are being used inaccurately, indicating a high volume of identical material descriptions for different codes. The key findings from this analysis are summarized below:_x000a_1) 20,367 materials are registered in SAP._x000a_2) 11,925 unique combinations of codes and descriptions were identified._x000a_3) 8,445 materials were found where a single description is associated with multiple codes._x000a_*For example, the description &quot;ACO SILCROME 1&quot; appears under 34 different material codes, and 22 of those have stock or associated costs._x000a_**For example, the description &quot;FORMA DE CUNHAGEM&quot; appears under 555 different material codes, of which 156 have stock or associated costs._x000a_This inconsistency leads to inaccurate inventory tracking, inflated stock valuation, inefficient procurement and planning, increased risk of stockouts or overstocking."/>
    <s v="No"/>
    <s v="1. Configure SAP to prevent duplicate entries by checking for existing descriptions or codes during material creation._x000a_2. Conduct a Master Data cleansing initiative to identify and consolidate duplicate material codes and delete obsolete or redundant records."/>
    <s v="1. Perform trainings and update SOPs._x000a_2. Improve material description and remove inactive or duplicate items from the system."/>
    <x v="2"/>
    <x v="3"/>
    <s v=""/>
    <s v=" Rafael Magalhaes (Materials Mgr - Raw_x000a_Materials) / Fernando Bizerra (Plant Finance Lead - Indirect_x000a_Materials)"/>
    <s v="Open"/>
    <s v=""/>
    <x v="2"/>
    <s v=""/>
    <s v=""/>
    <s v="Not Completed"/>
    <s v="Chawla"/>
    <s v=""/>
    <s v=""/>
    <s v=""/>
    <s v=""/>
    <s v=""/>
    <s v=""/>
    <s v=""/>
    <s v=""/>
    <s v=""/>
    <s v=""/>
    <s v=""/>
    <s v=""/>
    <s v=""/>
    <s v=""/>
    <s v=""/>
    <s v=""/>
    <s v=""/>
    <d v="2025-05-12T00:00:00"/>
    <d v="2025-09-03T00:00:00"/>
    <s v="09/23/2025"/>
    <n v="-9"/>
    <x v="1"/>
    <x v="1"/>
  </r>
  <r>
    <s v="TEN-1777"/>
    <s v="2025"/>
    <x v="0"/>
    <s v="PwC"/>
    <x v="1"/>
    <x v="35"/>
    <x v="0"/>
    <x v="17"/>
    <s v="Documentation"/>
    <s v="Policies and SOPs require enhancement"/>
    <x v="21"/>
    <s v="Moderate"/>
    <s v=""/>
    <s v=""/>
    <s v="Chongqing - Performance Solutions - Full Scope 2025"/>
    <s v="Policies and SOPs require enhancement"/>
    <s v="Local SOPs were reviewed, covering areas in purchase, inventory management, production, quality, payroll, finance and EHS, noted that local policies/SOPs were not updated in a timely manner which require revision：​_x000a__x000a_Purchase: The local &lt;Indirect Purchasing Process&gt; was last updated in June 2018. Although processes of quotation and bidding, placing PO, and reviewing the status of PO were included, the deficiencies were found in open PO review. (Refer to Obsn 3.) ​_x000a__x000a_     The local &lt;Indirect Procurement Approval Procedure&gt; defined the process of applying PR and approval but was last updated in October 2015. Through no deviation was found for PR approval.​_x000a__x000a_​_x000a__x000a_Master data: The local plant lacks detailed guidelines in master data management such as the definition of roles and responsibilities, scope, creation, deletion, modification processes, and periodic review for full list (currently only covered change logs). This has caused deficiencies in redundant master data. (Refer to Obsn 4 &amp; 5.)​_x000a__x000a_​_x000a__x000a_Payroll: The local &lt;New-hire and Termination Policy&gt; was last updated in 2018, defines employee onboarding and off-boarding procedures. However, it does not address periodic badge access reviews, and the deficiencies were found in delays in deactivating resigned employees' access rights. (Refer to Obsn 8.)​_x000a__x000a_​_x000a__x000a_T&amp;E: The local &lt;T&amp;E Policy&gt; was last revised in 2018, but in 2021, the Braking APAC team updated guidance on pre-trip approvals, long-term accommodation standards and reimbursement cap for business meals. The local team has not integrated these updates into the local policy. No control gap was noted though."/>
    <s v="No"/>
    <s v="1) Review the policies and SOPs periodically to assess the need to update documents.​_x000a__x000a_2) Deliver prompt training to ensuring employees compliance with the latest standards."/>
    <s v="Review procedure and to facilitate the process to better serve the plant operation and in line with the corporate guidelines."/>
    <x v="0"/>
    <x v="3"/>
    <s v=""/>
    <s v="CK (Zhenqiang Yu) (Plant Finance Lead)"/>
    <s v="Open"/>
    <s v=""/>
    <x v="2"/>
    <s v=""/>
    <s v=""/>
    <s v="Not Completed"/>
    <s v="Chawla"/>
    <s v=""/>
    <s v=""/>
    <s v=""/>
    <s v=""/>
    <s v=""/>
    <s v=""/>
    <s v=""/>
    <s v=""/>
    <s v=""/>
    <s v=""/>
    <s v=""/>
    <s v=""/>
    <s v=""/>
    <s v=""/>
    <s v=""/>
    <s v=""/>
    <s v=""/>
    <d v="2025-06-27T00:00:00"/>
    <d v="2025-09-12T00:00:00"/>
    <s v="09/23/2025"/>
    <n v="-9"/>
    <x v="1"/>
    <x v="1"/>
  </r>
  <r>
    <s v="TEN-1778"/>
    <s v="2025"/>
    <x v="0"/>
    <s v="PwC"/>
    <x v="1"/>
    <x v="35"/>
    <x v="0"/>
    <x v="17"/>
    <s v="Purchasing and Payables"/>
    <s v="Insufficient review of Open POs ​"/>
    <x v="29"/>
    <s v="Moderate"/>
    <s v=""/>
    <s v="PAPA-19"/>
    <s v="Chongqing - Performance Solutions - Full Scope 2025"/>
    <s v="Insufficient review of Open POs ​"/>
    <s v="The current open PO review only focused on production related purchase_x000a_orders. Services and MRO orders were not reviewed regularly. Noted that_x000a_in April 2025 open PO review record, 410 orders (28.6%) from 2017-2024 were_x000a_not deleted, which represents RMB 2.1m out of total RMB 7.5m (around_x000a_US$0.3m and US$ 1m). These items were found purchased in newer_x000a_orders in 2024 and 2025, with value of RMB 1m (about US$ 140k)."/>
    <s v="No"/>
    <s v="Review open PO in all categories including MRO and services orders on monthly basis."/>
    <s v="Cleared all the historical open PO and review the open PO quarterly basis in future."/>
    <x v="0"/>
    <x v="10"/>
    <s v=""/>
    <s v="Jacky Xiang (Dijia Xiang, Purchasing Manager)"/>
    <s v="Open"/>
    <s v=""/>
    <x v="0"/>
    <s v=""/>
    <s v=""/>
    <s v="Not Completed"/>
    <s v="Chawla"/>
    <s v=""/>
    <s v=""/>
    <s v=""/>
    <s v=""/>
    <s v=""/>
    <s v=""/>
    <s v=""/>
    <s v=""/>
    <s v=""/>
    <s v=""/>
    <s v=""/>
    <s v=""/>
    <s v=""/>
    <s v=""/>
    <s v=""/>
    <s v=""/>
    <s v=""/>
    <d v="2025-06-27T00:00:00"/>
    <d v="2025-09-12T00:00:00"/>
    <s v="09/23/2025"/>
    <n v="21"/>
    <x v="2"/>
    <x v="0"/>
  </r>
  <r>
    <s v="TEN-1779"/>
    <s v="2025"/>
    <x v="0"/>
    <s v="PwC"/>
    <x v="0"/>
    <x v="35"/>
    <x v="0"/>
    <x v="17"/>
    <s v="Master Data"/>
    <s v="Master Data Review"/>
    <x v="10"/>
    <s v="Moderate"/>
    <s v="PAPA-09"/>
    <s v=""/>
    <s v="Chongqing - Performance Solutions - Full Scope 2025"/>
    <s v="Ineffective periodic review of master data and duplicate vendor code​ and Vendor code for Terminated Employee was not closed timely​"/>
    <s v="The master data is reviewed monthly by the business team and approved by the_x000a_functional manager and plant controller. However, this review focuses only on_x000a_information changes and overlooks the completeness and accuracy of the master_x000a_data list, resulting in undetected duplicate vendor codes. Moreover, the review_x000a_process has never been conducted on a full-scale basis, meaning not all master data_x000a_entries have been thoroughly examined.​​_x000a__x000a_Upon onsite review of the vendor master data, it was noted that 1 vendor code has_x000a_duplicate vendor names in SAP. Per inquiry with the local team, the duplicate_x000a_accounts were not identified and removed promptly due to different contact persons.​_x000a__x000a_Upon onsite review of the vendor master data, it was noted that 14 out of 275 vendor_x000a_codes for the terminated were not blocked or deleted in SAP. Among these, 7_x000a_accounts had a delay ranging from 180 to 360 days, while 4 were delayed for 50 to 150_x000a_days.​"/>
    <s v="No"/>
    <s v="Implement a comprehensive and full-scale review of all master data to ensure the removal of duplicate vendor codes and maintain the integrity of financial records, including enhancing the review process to cover completeness and accuracy."/>
    <s v="Per corporate practise, vendor information in SAP was maintained by Vendormaster team. Local Purchasing team would have a overall review of the all the vendors annually. "/>
    <x v="0"/>
    <x v="3"/>
    <s v=""/>
    <s v="Jacky Xiang (Dijia Xiang, Purchasing Manager)"/>
    <s v="Open"/>
    <s v=""/>
    <x v="2"/>
    <s v=""/>
    <s v=""/>
    <s v="Not Completed"/>
    <s v="Chawla"/>
    <s v="A"/>
    <s v=""/>
    <s v=""/>
    <s v=""/>
    <s v=""/>
    <s v=""/>
    <s v=""/>
    <s v=""/>
    <s v=""/>
    <s v=""/>
    <s v=""/>
    <s v=""/>
    <s v=""/>
    <s v=""/>
    <s v=""/>
    <s v=""/>
    <s v=""/>
    <d v="2025-06-27T00:00:00"/>
    <d v="2025-09-12T00:00:00"/>
    <s v="09/23/2025"/>
    <n v="-9"/>
    <x v="1"/>
    <x v="1"/>
  </r>
  <r>
    <s v="TEN-1782"/>
    <s v="2025"/>
    <x v="0"/>
    <s v="PwC"/>
    <x v="0"/>
    <x v="35"/>
    <x v="0"/>
    <x v="17"/>
    <s v="Property, Plant, and Equipment"/>
    <s v="Idle asset review"/>
    <x v="6"/>
    <s v="Moderate"/>
    <s v="PPAE-33"/>
    <s v="PPAE-33"/>
    <s v="Chongqing - Performance Solutions - Full Scope 2025"/>
    <s v=" Lack of effective review and proper management oversight of idle assets"/>
    <s v="The plant performs quarterly reviews of idle fixed assets. However, per inspection of the idle asset review report on April 2025, noted that:​_x000a__x000a_Idle asset review lacks key information such as the idle start date and asset amount, which makes the reviewer hard to assess the condition and action plan for the idle assets.​_x000a__x000a_The review records were confirmed only by the local plant user department managers, without review or approval from the finance controller or plant manager.​_x000a__x000a_1 out of 31 idle assets was found remained in idle status for at least three years. Per 2022 physical fixed asset count report, such asset was reported as idle. Furthermore, per on-site inspection, the maintenance staff confirmed that the asset has not been put in use for three years. The asset was fully depreciated, resulting in no remaining residual value.​"/>
    <s v="No"/>
    <s v="1) Develop a mandatory review template that includes all critical fields (e.g., idle start date, asset amount, asset condition, recommended action, and timeline for resolution).​_x000a__x000a_2) Require sign-off by all relevant stakeholders (as per the instrument of delegation, Finance Controller and Plant Manager should be included as reviewers) to ensure accountability and completeness of the record. "/>
    <s v="Idle asset review perform quarterly​_x000a__x000a_Idle asset report state with sufficient information, including idle start date, asset amount, and etc.​_x000a__x000a_Idle asset review approve by financial controller and plant manager"/>
    <x v="0"/>
    <x v="3"/>
    <s v=""/>
    <s v="Zhenqiang Yu (Plant Finance Lead)"/>
    <s v="Open"/>
    <s v=""/>
    <x v="2"/>
    <s v=""/>
    <s v=""/>
    <s v="Not Completed"/>
    <s v="Chawla"/>
    <s v="V"/>
    <s v=""/>
    <s v=""/>
    <s v=""/>
    <s v=""/>
    <s v=""/>
    <s v=""/>
    <s v=""/>
    <s v=""/>
    <s v=""/>
    <s v=""/>
    <s v=""/>
    <s v=""/>
    <s v=""/>
    <s v=""/>
    <s v=""/>
    <s v=""/>
    <d v="2025-06-27T00:00:00"/>
    <d v="2025-09-12T00:00:00"/>
    <s v="09/23/2025"/>
    <n v="-9"/>
    <x v="1"/>
    <x v="1"/>
  </r>
  <r>
    <s v="TEN-1785"/>
    <s v="2025"/>
    <x v="0"/>
    <s v="PwC"/>
    <x v="1"/>
    <x v="36"/>
    <x v="3"/>
    <x v="6"/>
    <s v="Information Technology General Controls (ITGC)"/>
    <s v="Password Management"/>
    <x v="12"/>
    <s v="Critical"/>
    <s v=""/>
    <s v=""/>
    <s v="Madrid DC - DRiV - Full Scope 2025"/>
    <s v="Shared accounts on logistics platforms and warehouse computers prevent user-level tracking, reducing accountability and increasing security and audit risks"/>
    <s v="Vendor System: The vendors Dimaral Express, TXT and Flax employ digital platforms where warehouse personnel log shipment details, utilizing a shared username and password unique to each platform. As Tenneco collaborates with four vendors in Spain, namely Dimaral Express, TXT, Flax, and Arcese. In contrast, communication with Arcese involves sending an email, which includes an attached document that comprehensively lists all processed shipments.​_x000a__x000a_Regarding the registration of the person responsible for the shipment in the systems, by sharing credentials among different operators, no record is kept in each system of which operator manages each shipment on the platforms and prints the label.​_x000a__x000a_​Windows System: Currently, there are eight computers in the warehouse capable of printing labels. All of these computers are shared among the staff who manage shipments, and Windows usernames and passwords are also shared.​"/>
    <s v="No"/>
    <s v="Each operator responsible for making shipments must have a username and password on each supplier's platform. ​_x000a__x000a_Logistics service provider platforms should record which user makes each shipment for tracking purposes.​_x000a__x000a_Each employee must have their own username and password to access a computer. Training should be conducted to understand the importance of individual user accounts."/>
    <s v="1&amp;2. Request to carrier to have individual users and not generic. Pending confirmation from carrier's IT departments to see if possible. ​_x000a__x000a_3. Already requested to Tenneco's IT department. Moreover, training will be delivered to operators to ensure proper duties segregation and highlight importance of individual user accounts"/>
    <x v="2"/>
    <x v="1"/>
    <s v=""/>
    <s v="Agustín Cabello (Warehouse Manager) &amp; Fernando Campo (DC Operations Manager)"/>
    <s v="Open"/>
    <s v=""/>
    <x v="1"/>
    <s v=""/>
    <s v=""/>
    <s v="Not Completed"/>
    <s v="Chawla"/>
    <s v=""/>
    <s v=""/>
    <s v=""/>
    <s v=""/>
    <s v=""/>
    <s v=""/>
    <s v=""/>
    <s v=""/>
    <s v=""/>
    <s v=""/>
    <s v=""/>
    <s v=""/>
    <s v=""/>
    <s v=""/>
    <s v=""/>
    <s v=""/>
    <s v=""/>
    <d v="2025-05-30T00:00:00"/>
    <d v="2025-09-22T00:00:00"/>
    <s v="09/23/2025"/>
    <n v="-40"/>
    <x v="1"/>
    <x v="1"/>
  </r>
  <r>
    <s v="TEN-1786"/>
    <s v="2025"/>
    <x v="0"/>
    <s v="PwC"/>
    <x v="1"/>
    <x v="36"/>
    <x v="3"/>
    <x v="6"/>
    <s v="Master Data"/>
    <s v="Address and shipping details"/>
    <x v="10"/>
    <s v="Critical"/>
    <s v=""/>
    <s v=""/>
    <s v="Madrid DC - DRiV - Full Scope 2025"/>
    <s v="Periodic shipment reconciliations between the Customer Order and Shipment_x000a_Counts are not performed and there is no existing SOP delineating the process_x000a_and procedures around invoice approval and shipment reconciliations"/>
    <s v="Periodic reconciliations between systems: DRiV Spain does not perform periodic_x000a_reconciliations between shipments made by logistics service providers and SAP information to verify that the information entered the providers' platforms matches SAP records. Therefore, a reconciliation was performed between the delivery notes recorded in the suppliers' systems and SAP, and 187 (out of 67,650) shipments were detected that did not match the information in SAP because the recipients were not Tenneco’s clients. Of the 187 cases identified as non-customer recipients, 164 (88%) belong to Dimaral Express and 23 (12%) to TXT. ​_x000a__x000a_No SOP: No SOP (Standard Operating Procedure) exists that details the procedures around the invoice approvals and reconciliations between the Customer Order and Shipments.​"/>
    <s v="No"/>
    <s v="Logistics providers' systems should interface with SAP to automatically fill in details and avoid manual entry. ​_x000a__x000a_SOP delineating invoice approvals and reconciliations between Customer Order and Shipments should be implemented."/>
    <s v="1. IT will upgrade the current SW (AEB/ Assist4) to the latest version. The new version will integrate into SAP. ​_x000a__x000a_2. Quarterly, starting mid October 2025 (once received invoices from Arcese) we will reconcile all shipments."/>
    <x v="2"/>
    <x v="12"/>
    <s v=""/>
    <s v="IT - Scott Ready (Executive Director, IT - Applications)​_x000a_Fernando Campo (DC Operations Manager)"/>
    <s v="Open"/>
    <s v=""/>
    <x v="3"/>
    <s v=""/>
    <s v=""/>
    <s v="Not Completed"/>
    <s v="Chawla"/>
    <s v=""/>
    <s v=""/>
    <s v=""/>
    <s v=""/>
    <s v=""/>
    <s v=""/>
    <s v=""/>
    <s v=""/>
    <s v=""/>
    <s v=""/>
    <s v=""/>
    <s v=""/>
    <s v=""/>
    <s v=""/>
    <s v=""/>
    <s v=""/>
    <s v=""/>
    <d v="2025-05-30T00:00:00"/>
    <d v="2025-09-22T00:00:00"/>
    <s v="09/23/2025"/>
    <n v="-405"/>
    <x v="1"/>
    <x v="1"/>
  </r>
  <r>
    <s v="TEN-1787"/>
    <s v="2025"/>
    <x v="0"/>
    <s v="PwC"/>
    <x v="1"/>
    <x v="36"/>
    <x v="3"/>
    <x v="6"/>
    <s v="Physical Security"/>
    <s v="Surveillance Camera Management ​"/>
    <x v="2"/>
    <s v="Major"/>
    <s v=""/>
    <s v=""/>
    <s v="Madrid DC - DRiV - Full Scope 2025"/>
    <s v="On-site camera system is nonfunctional and lacks access to nearby property-owned surveillance, limiting security monitoring and visibility"/>
    <s v="CCTV System: Currently, the camera system is not functioning in both Tenneco's_x000a_offices and the warehouse. Specifically, out of the total 13 cameras that are in place (5_x000a_in the office and 8 in the warehouse), all 13 cameras are not functioning correctly._x000a_Below are some example images from three office cameras that are not in operation:​_x000a_The office has five cameras, three on the ground floor and two in the basement. The warehouse has eight cameras. ​_x000a__x000a_The distribution center reports that in February 2023, they noticed the cameras were not working, and the service they had paid for as maintenance of the camera system was canceled.​_x000a__x000a_The Plant Controller confirmed via email that the service was cancelled, with the final payment of EUR 302.50 in February 2023.​"/>
    <s v="No"/>
    <s v="There should be a closed-circuit camera system that records both inside the offices and the warehouse, especially in key areas such as where shipments are loaded and received."/>
    <s v="1. Assessment of current installation and define plan to update to the Standard CCTV System.​_x000a__x000a_2. Execute plan to install and configure the standard CCTV system"/>
    <x v="2"/>
    <x v="13"/>
    <s v=""/>
    <s v="Peter Bammens (IT Director)"/>
    <s v="Open"/>
    <s v=""/>
    <x v="3"/>
    <s v=""/>
    <s v=""/>
    <s v="Not Completed"/>
    <s v="Chawla"/>
    <s v=""/>
    <s v=""/>
    <s v=""/>
    <s v=""/>
    <s v=""/>
    <s v=""/>
    <s v=""/>
    <s v=""/>
    <s v=""/>
    <s v=""/>
    <s v=""/>
    <s v=""/>
    <s v=""/>
    <s v=""/>
    <s v=""/>
    <s v=""/>
    <s v=""/>
    <d v="2025-05-30T00:00:00"/>
    <d v="2025-09-22T00:00:00"/>
    <s v="09/23/2025"/>
    <n v="-221"/>
    <x v="1"/>
    <x v="1"/>
  </r>
  <r>
    <s v="TEN-1788"/>
    <s v="2025"/>
    <x v="0"/>
    <s v="PwC"/>
    <x v="1"/>
    <x v="36"/>
    <x v="3"/>
    <x v="6"/>
    <s v="Physical Security"/>
    <s v="Door/ Badge Access"/>
    <x v="2"/>
    <s v="Major"/>
    <s v=""/>
    <s v=""/>
    <s v="Madrid DC - DRiV - Full Scope 2025"/>
    <s v="Physical access controls lack segregation of duties and comprehensive logging"/>
    <s v="Access management: The warehouse manager manages access cards and passwords, which represents a conflict of segregation of duties, so another area should take on that responsibility.​_x000a__x000a_Physical Access to the Facility: Currently, out of a total of 3 entrances to the facility, noted that for two side entrances, the keycard device system that is installed does not automatically record the entry and exit of user access.  For these two entrances, physical access is only possible via card entry, but the key card system is not configured to store entry and exit information.​_x000a__x000a_​"/>
    <s v="No"/>
    <s v="For proper segregation of duties, access card management should be handled by HR, not the Warehouse Manager.​_x000a__x000a_All entrances should be accompanied with a keypad device system that automatically records user access (entry and exit)."/>
    <s v="1. This will be managed by Enrique Nadal (Finance) and/or Gema Navas (Sales) for proper segregation of duties. ​_x000a__x000a_2 .a. Assessment of current implemented system and define plan to cover current building with Standard Access Control System​_x000a__x000a_2.b.Execute plan to install and configure the standard Access &amp; Control System."/>
    <x v="2"/>
    <x v="13"/>
    <s v=""/>
    <s v="Jose María Martinez​ (DC Finance Lead)_x000a__x000a_Peter Bammens (IT Director)"/>
    <s v="Open"/>
    <s v=""/>
    <x v="3"/>
    <s v=""/>
    <s v=""/>
    <s v="Not Completed"/>
    <s v="Chawla"/>
    <s v=""/>
    <s v=""/>
    <s v=""/>
    <s v=""/>
    <s v=""/>
    <s v=""/>
    <s v=""/>
    <s v=""/>
    <s v=""/>
    <s v=""/>
    <s v=""/>
    <s v=""/>
    <s v=""/>
    <s v=""/>
    <s v=""/>
    <s v=""/>
    <s v=""/>
    <d v="2025-05-30T00:00:00"/>
    <d v="2025-09-22T00:00:00"/>
    <s v="09/23/2025"/>
    <n v="-221"/>
    <x v="1"/>
    <x v="1"/>
  </r>
  <r>
    <s v="TEN-1795"/>
    <s v="2025"/>
    <x v="3"/>
    <s v="PwC"/>
    <x v="0"/>
    <x v="37"/>
    <x v="2"/>
    <x v="10"/>
    <s v="Production and Inventory"/>
    <s v="Adjustments &amp; Period-end Close"/>
    <x v="20"/>
    <s v="Moderate"/>
    <s v="PINV-01"/>
    <s v=""/>
    <s v="Greenville (Powertrain) - ICFR) 2025"/>
    <s v="Cycle count not performed based on the corporate cycle count policy. "/>
    <s v="A. RCO observed that only a portion of the procedures from the Corporate Policy were executed by the cycle count team during the annual physical inventory process. Please see below for the issues identified:_x000a_1. RCO identified that approvals of inventory adjustments and communication of results were obtained verbally between the logistics manager and the plant controller, with no documented evidence or formal sign-off retained. _x000a_2. The results of counts and significant variances identified were not consistently communicated to the Group Operating Controller or Corporate. _x000a_3. As per the corporate policy the Inventory manager must perform random test counts. However, RCO noted that for 2 of the counts (“Bearings” and “Plating”) the inventory manager did not perform the random test counts._x000a_Based on an inquiry with Sarah Kellum, Senior Finance Accountant, RCO noted that these inconsistencies stemmed from high turnover of key personnel, including the former plant controller during the count, coupled with the absence of a defined process for formally documenting results or issuing communications (e.g., via email or reporting package).  _x000a__x000a_B. Per inspection of the report parameters used for extracting the list of items in the plant, RCO noted that the parameters did not correspond to the current period. Hence, RCO was unable to validate the completeness and accuracy of the report. "/>
    <s v=""/>
    <s v="1._x0009_Management should ensure inventory cycle counts are performed based on the corporate cycle count policy._x000a__x000a_2._x0009_RCO recommends that management retain screenshots of the appropriate parameters at the time of extraction to support validation of report completeness and accuracy."/>
    <s v="Going forward Logistics Manager will do a print screen of the inventory not found and Plant Controller will sign off. The sign off will be saved. Once the final numbers are calculated Plant Controller will e-mail corporate to get their approval. All approvals will be saved. _x000a__x000a_Plant accountants closing and managing the cycle counts will be more diligent in getting all paperwork and ensuring they are saved. "/>
    <x v="0"/>
    <x v="1"/>
    <s v=""/>
    <s v="Robyn Krupiczewicz, Plant Controller"/>
    <s v="Open"/>
    <s v=""/>
    <x v="1"/>
    <s v=""/>
    <s v=""/>
    <s v="Not Completed"/>
    <s v="Gupta"/>
    <s v="A, C, E/O"/>
    <s v=""/>
    <s v=""/>
    <s v=""/>
    <s v=""/>
    <s v=""/>
    <s v=""/>
    <s v=""/>
    <s v=""/>
    <s v=""/>
    <s v=""/>
    <s v=""/>
    <s v=""/>
    <s v=""/>
    <s v=""/>
    <s v=""/>
    <s v=""/>
    <d v="2025-09-22T00:00:00"/>
    <d v="2025-09-22T00:00:00"/>
    <s v="09/23/2025"/>
    <n v="-40"/>
    <x v="1"/>
    <x v="1"/>
  </r>
  <r>
    <s v="TEN-1800"/>
    <s v="2025"/>
    <x v="2"/>
    <s v="PwC"/>
    <x v="0"/>
    <x v="38"/>
    <x v="3"/>
    <x v="7"/>
    <s v="Payroll"/>
    <s v="Adjustments &amp; Period-end Close for Payroll"/>
    <x v="3"/>
    <s v=""/>
    <s v="COTI-PAYR-23"/>
    <s v=""/>
    <s v="(Cotia) (Performance Solutions) - Management Self-Testing 2025"/>
    <s v="Management approval was not secured for the month of February 2025"/>
    <s v="Management approval was not secured for the month of February 2025"/>
    <s v=""/>
    <s v=""/>
    <s v="Approvals will be documented and kept in cloud and not only email for cases where employees are out on a license. Priscila Miwa is the owner for these approvals from now on."/>
    <x v="0"/>
    <x v="10"/>
    <s v=""/>
    <s v="Priscila Miwa (HR Manager)"/>
    <s v="Open"/>
    <s v=""/>
    <x v="0"/>
    <s v=""/>
    <s v=""/>
    <s v="N/A"/>
    <s v="Gupta"/>
    <s v=""/>
    <s v=""/>
    <s v=""/>
    <s v=""/>
    <s v=""/>
    <s v=""/>
    <s v=""/>
    <s v=""/>
    <s v=""/>
    <s v=""/>
    <s v=""/>
    <s v=""/>
    <s v=""/>
    <s v=""/>
    <s v=""/>
    <s v=""/>
    <s v=""/>
    <s v=""/>
    <s v=""/>
    <s v="09/23/2025"/>
    <n v="21"/>
    <x v="2"/>
    <x v="0"/>
  </r>
  <r>
    <s v="TEN-1801"/>
    <s v="2025"/>
    <x v="2"/>
    <s v="PwC"/>
    <x v="0"/>
    <x v="38"/>
    <x v="3"/>
    <x v="7"/>
    <s v="Production and Inventory"/>
    <s v="Adjustments &amp; Period-end Close for Production and inventory"/>
    <x v="28"/>
    <s v=""/>
    <s v="COTI-PINV-41"/>
    <s v=""/>
    <s v="(Cotia) (Performance Solutions) - Management Self-Testing 2025"/>
    <s v="Approval from Plant Manager was not secured for 2nd Quarter 2025 for LCM- lower of cost or market."/>
    <s v="Approval from Plant Manager was not secured for 2nd Quarter 2025 for LCM- lower of cost or market."/>
    <s v=""/>
    <s v=""/>
    <s v="Reinforced with the team that this provision need plant manager´s approval, cost supervisor added a meeting to his calendar as a reminder. "/>
    <x v="0"/>
    <x v="10"/>
    <s v=""/>
    <s v="Fabiano Dagmar Simonetti (Cost Supervisor)/ Lidia Murakami (Quality Manager)"/>
    <s v="Open"/>
    <s v=""/>
    <x v="0"/>
    <s v=""/>
    <s v=""/>
    <s v="N/A"/>
    <s v="Gupta"/>
    <s v=""/>
    <s v=""/>
    <s v=""/>
    <s v=""/>
    <s v=""/>
    <s v=""/>
    <s v=""/>
    <s v=""/>
    <s v=""/>
    <s v=""/>
    <s v=""/>
    <s v=""/>
    <s v=""/>
    <s v=""/>
    <s v=""/>
    <s v=""/>
    <s v=""/>
    <s v=""/>
    <s v=""/>
    <s v="09/23/2025"/>
    <n v="21"/>
    <x v="2"/>
    <x v="0"/>
  </r>
  <r>
    <s v="TEN-1802"/>
    <s v="2025"/>
    <x v="2"/>
    <s v="PwC"/>
    <x v="0"/>
    <x v="38"/>
    <x v="3"/>
    <x v="7"/>
    <s v="Revenue and Receivables"/>
    <s v="Invoicing"/>
    <x v="14"/>
    <s v=""/>
    <s v="COTI-REVE-17"/>
    <s v=""/>
    <s v="(Cotia) (Performance Solutions) - Management Self-Testing 2025"/>
    <s v="Approval from management was not secured"/>
    <s v="Approval from management was not secured"/>
    <s v=""/>
    <s v=""/>
    <s v="Cost supervisor put a reminder in his calendar to make sure this gets approved on time and documents will be kept in cloud after all approvals secured and not only in email."/>
    <x v="0"/>
    <x v="10"/>
    <s v=""/>
    <s v="Fabiano Dagmar Simonetti (Cost Supervisor)"/>
    <s v="Open"/>
    <s v=""/>
    <x v="0"/>
    <s v=""/>
    <s v=""/>
    <s v="N/A"/>
    <s v="Gupta"/>
    <s v=""/>
    <s v=""/>
    <s v=""/>
    <s v=""/>
    <s v=""/>
    <s v=""/>
    <s v=""/>
    <s v=""/>
    <s v=""/>
    <s v=""/>
    <s v=""/>
    <s v=""/>
    <s v=""/>
    <s v=""/>
    <s v=""/>
    <s v=""/>
    <s v=""/>
    <s v=""/>
    <s v=""/>
    <s v="09/23/2025"/>
    <n v="21"/>
    <x v="2"/>
    <x v="0"/>
  </r>
  <r>
    <s v="TEN-1803"/>
    <s v="2025"/>
    <x v="2"/>
    <s v="PwC"/>
    <x v="0"/>
    <x v="38"/>
    <x v="3"/>
    <x v="7"/>
    <s v="Revenue and Receivables"/>
    <s v="Customer Returns, Discounts, and Allowances"/>
    <x v="14"/>
    <s v=""/>
    <s v="COTI-REVE-43"/>
    <s v=""/>
    <s v="(Cotia) (Performance Solutions) - Management Self-Testing 2025"/>
    <s v="Warranty accrual was not reviewed and  not approved by management for the Month of February 2025."/>
    <s v="Warranty accrual was not reviewed and  not approved by management for the Month of February 2025."/>
    <s v=""/>
    <s v=""/>
    <s v="Supervisor put a reminder on calendar to make sure this approval is secured in time, and provisions approved monthly."/>
    <x v="0"/>
    <x v="10"/>
    <s v=""/>
    <s v="Lidia Murakami (Quality Manager)"/>
    <s v="Open"/>
    <s v=""/>
    <x v="0"/>
    <s v=""/>
    <s v=""/>
    <s v="N/A"/>
    <s v="Gupta"/>
    <s v=""/>
    <s v=""/>
    <s v=""/>
    <s v=""/>
    <s v=""/>
    <s v=""/>
    <s v=""/>
    <s v=""/>
    <s v=""/>
    <s v=""/>
    <s v=""/>
    <s v=""/>
    <s v=""/>
    <s v=""/>
    <s v=""/>
    <s v=""/>
    <s v=""/>
    <s v=""/>
    <s v=""/>
    <s v="09/23/2025"/>
    <n v="21"/>
    <x v="2"/>
    <x v="0"/>
  </r>
  <r>
    <s v="TEN-1806"/>
    <s v="2025"/>
    <x v="2"/>
    <s v="PwC"/>
    <x v="0"/>
    <x v="39"/>
    <x v="3"/>
    <x v="7"/>
    <s v="Period End Financial Reporting"/>
    <s v="Consolidation"/>
    <x v="0"/>
    <s v=""/>
    <s v="PEFR-32"/>
    <s v=""/>
    <s v="(Smyrna) (DRiV) - Management Self-Testing 2025"/>
    <s v="Timely Approval of reconciliation"/>
    <s v="The approval of the reconciliation was not completed within the first 10 days of close."/>
    <s v=""/>
    <s v=""/>
    <s v="The approval will need to be completed within 10 business days of close.  Management has created an additional checklist with approval dates to help manage the reconciliation process and has setup a monthly meeting to occur on the 11th of each month with the finance team to go over the reconciliations."/>
    <x v="0"/>
    <x v="14"/>
    <s v=""/>
    <s v="Aaron Southworth, Controller"/>
    <s v="Open"/>
    <s v=""/>
    <x v="0"/>
    <s v=""/>
    <s v=""/>
    <s v="N/A"/>
    <s v="Gupta"/>
    <s v="A"/>
    <s v=""/>
    <s v=""/>
    <s v=""/>
    <s v=""/>
    <s v=""/>
    <s v=""/>
    <s v=""/>
    <s v=""/>
    <s v=""/>
    <s v=""/>
    <s v=""/>
    <s v=""/>
    <s v=""/>
    <s v=""/>
    <s v=""/>
    <s v=""/>
    <s v=""/>
    <s v=""/>
    <s v="09/23/2025"/>
    <n v="22"/>
    <x v="2"/>
    <x v="0"/>
  </r>
  <r>
    <s v="TEN-1807"/>
    <s v="2025"/>
    <x v="2"/>
    <s v="PwC"/>
    <x v="0"/>
    <x v="39"/>
    <x v="3"/>
    <x v="7"/>
    <s v="Period End Financial Reporting"/>
    <s v="Adjustments &amp; Period-end Close for Period-end Financial Reporting"/>
    <x v="0"/>
    <s v=""/>
    <s v="PEFR-78"/>
    <s v=""/>
    <s v="(Smyrna) (DRiV) - Management Self-Testing 2025"/>
    <s v="Timely Approval of reconciliation"/>
    <s v="The additional control on the Manual Journal Trackers for May was sent for approval and confirmation beyond the month end deadline."/>
    <s v=""/>
    <s v=""/>
    <s v="The controller will follow up with the &quot;Corporate Finance&quot; team in regard to the monthly tracker."/>
    <x v="0"/>
    <x v="14"/>
    <s v=""/>
    <s v="Aaron Southworth, Controller"/>
    <s v="Open"/>
    <s v=""/>
    <x v="0"/>
    <s v=""/>
    <s v=""/>
    <s v="N/A"/>
    <s v="Gupta"/>
    <s v="C, E/O"/>
    <s v=""/>
    <s v=""/>
    <s v=""/>
    <s v=""/>
    <s v=""/>
    <s v=""/>
    <s v=""/>
    <s v=""/>
    <s v=""/>
    <s v=""/>
    <s v=""/>
    <s v=""/>
    <s v=""/>
    <s v=""/>
    <s v=""/>
    <s v=""/>
    <s v=""/>
    <s v=""/>
    <s v="09/23/2025"/>
    <n v="22"/>
    <x v="2"/>
    <x v="0"/>
  </r>
  <r>
    <s v="TEN-1809"/>
    <s v="2025"/>
    <x v="2"/>
    <s v="PwC"/>
    <x v="0"/>
    <x v="40"/>
    <x v="6"/>
    <x v="18"/>
    <s v="Production and Inventory"/>
    <s v="Production and Costing"/>
    <x v="28"/>
    <s v=""/>
    <s v="PINV-47"/>
    <s v=""/>
    <s v="(Lansing MI) (Clean Air)  - Management Self-Testing 2025"/>
    <s v="Issue in Inventory scrap amounts delivered to scrap vendors."/>
    <s v="No weights are taken by the plant or by a 3rd party. The only weights received are from PADNOS, the scrap vendor. "/>
    <s v=""/>
    <s v=""/>
    <s v="PADNOS will begin taking a weight at a 3rd party CAT Scale once a year"/>
    <x v="0"/>
    <x v="10"/>
    <s v=""/>
    <s v="Amy Burgess, Logistic Analyst"/>
    <s v="Open"/>
    <s v=""/>
    <x v="0"/>
    <s v=""/>
    <s v=""/>
    <s v="N/A"/>
    <s v="Gupta"/>
    <s v="A, E/O, R&amp;O, V"/>
    <s v=""/>
    <s v=""/>
    <s v=""/>
    <s v=""/>
    <s v=""/>
    <s v=""/>
    <s v=""/>
    <s v=""/>
    <s v=""/>
    <s v=""/>
    <s v=""/>
    <s v=""/>
    <s v=""/>
    <s v=""/>
    <s v=""/>
    <s v=""/>
    <s v=""/>
    <s v=""/>
    <s v="09/23/2025"/>
    <n v="21"/>
    <x v="2"/>
    <x v="0"/>
  </r>
  <r>
    <s v="TEN-1810"/>
    <s v="2025"/>
    <x v="2"/>
    <s v="PwC"/>
    <x v="0"/>
    <x v="40"/>
    <x v="6"/>
    <x v="18"/>
    <s v="Payroll"/>
    <s v="Time Recording"/>
    <x v="35"/>
    <s v=""/>
    <s v="PAYR-06"/>
    <s v=""/>
    <s v="(Lansing MI) (Clean Air)  - Management Self-Testing 2025"/>
    <s v="Exception report of unusual time recording is not reviewed"/>
    <s v="Not all attendance trackers are being signed each week. "/>
    <s v=""/>
    <s v=""/>
    <s v="HR has had a meeting with all of management that approves attendance trackers to remind them of the importance of signing each one every week. All attendance trackers will be reviewed before payroll is submitted for completion. If the supervisor has not completed the sign-off the plant manager will review and sign in their place. "/>
    <x v="0"/>
    <x v="10"/>
    <s v=""/>
    <s v="Shelby Bear, HR Manager"/>
    <s v="Open"/>
    <s v=""/>
    <x v="0"/>
    <s v=""/>
    <s v=""/>
    <s v="N/A"/>
    <s v="Gupta"/>
    <s v="A, E/O"/>
    <s v=""/>
    <s v=""/>
    <s v=""/>
    <s v=""/>
    <s v=""/>
    <s v=""/>
    <s v=""/>
    <s v=""/>
    <s v=""/>
    <s v=""/>
    <s v=""/>
    <s v=""/>
    <s v=""/>
    <s v=""/>
    <s v=""/>
    <s v=""/>
    <s v=""/>
    <s v=""/>
    <s v="09/23/2025"/>
    <n v="21"/>
    <x v="2"/>
    <x v="0"/>
  </r>
  <r>
    <s v="TEN-1811"/>
    <s v="2025"/>
    <x v="2"/>
    <s v="PwC"/>
    <x v="0"/>
    <x v="40"/>
    <x v="6"/>
    <x v="18"/>
    <s v="Production and Inventory"/>
    <s v="Production and Costing"/>
    <x v="14"/>
    <s v=""/>
    <s v="PINV-49"/>
    <s v=""/>
    <s v="(Lansing MI) (Clean Air)  - Management Self-Testing 2025"/>
    <s v="Scrap tickets are reviewed and approved (by an individual other than the requester) prior to posting"/>
    <s v="Scrap ticket either did not match the SAP qty entered or did not have a scrap ticket at all. "/>
    <s v=""/>
    <s v=""/>
    <s v="A meeting with all TMs reiterating the need for all scrap to have ticket and the process for scrap. "/>
    <x v="0"/>
    <x v="10"/>
    <s v=""/>
    <s v="Vignesh Janardhanan, Quality Manager"/>
    <s v="Open"/>
    <s v=""/>
    <x v="0"/>
    <s v=""/>
    <s v=""/>
    <s v="N/A"/>
    <s v="Gupta"/>
    <s v="A, E/O"/>
    <s v=""/>
    <s v=""/>
    <s v=""/>
    <s v=""/>
    <s v=""/>
    <s v=""/>
    <s v=""/>
    <s v=""/>
    <s v=""/>
    <s v=""/>
    <s v=""/>
    <s v=""/>
    <s v=""/>
    <s v=""/>
    <s v=""/>
    <s v=""/>
    <s v=""/>
    <s v=""/>
    <s v="09/23/2025"/>
    <n v="21"/>
    <x v="2"/>
    <x v="0"/>
  </r>
  <r>
    <s v="TEN-1813"/>
    <s v="2025"/>
    <x v="2"/>
    <s v="PwC"/>
    <x v="0"/>
    <x v="41"/>
    <x v="3"/>
    <x v="7"/>
    <s v="Leases"/>
    <s v="Lease Accounting Completeness"/>
    <x v="0"/>
    <s v=""/>
    <s v="LEAS-09"/>
    <s v=""/>
    <s v="(Skokie) (DRiV)  - Management Self-Testing 2025"/>
    <s v="The reconciliation general ledger and subledger amounts does not agree to the supporting documentation."/>
    <s v="Lease invoices did not tie out to what Visual Lease has loaded."/>
    <s v=""/>
    <s v=""/>
    <s v="Work with TFS and corporate lease accounting to ensure leasing documents are up-to-date in Visual Lease."/>
    <x v="0"/>
    <x v="11"/>
    <s v=""/>
    <s v="John Kamph and Max Eurich, Senior Controller/ Finance Manager"/>
    <s v="Open"/>
    <s v=""/>
    <x v="3"/>
    <s v=""/>
    <s v=""/>
    <s v="N/A"/>
    <s v="Gupta"/>
    <s v="A, C, CO, E/O, P&amp;D, R&amp;O, V"/>
    <s v=""/>
    <s v=""/>
    <s v=""/>
    <s v=""/>
    <s v=""/>
    <s v=""/>
    <s v=""/>
    <s v=""/>
    <s v=""/>
    <s v=""/>
    <s v=""/>
    <s v=""/>
    <s v=""/>
    <s v=""/>
    <s v=""/>
    <s v=""/>
    <s v=""/>
    <s v=""/>
    <s v="09/23/2025"/>
    <n v="-130"/>
    <x v="1"/>
    <x v="1"/>
  </r>
  <r>
    <s v="TEN-1825"/>
    <s v="2025"/>
    <x v="2"/>
    <s v="PwC"/>
    <x v="0"/>
    <x v="42"/>
    <x v="4"/>
    <x v="11"/>
    <s v="Purchasing and Payables"/>
    <s v="Adjustments &amp; Period-end Close for Purchasing &amp; payables"/>
    <x v="0"/>
    <s v=""/>
    <s v="PAPA-44"/>
    <s v=""/>
    <s v="SSC Certification  - GL (IceCo) - Management Self-Testing 2025"/>
    <s v="Timely Approval of reconciliation"/>
    <s v="Mexico SSC:  Reconciliations are being done, but they are not being completed before WD10, in addition to the fact that there are pending reconciliations from other months. Gdansk SSC AP: split of responsibilities for the AP Reconciliation not clear for certain plants (AP SSC vs. Plant) and delays might be occurred "/>
    <s v=""/>
    <s v=""/>
    <s v="Mexico SSC:  Mexico SSC: Assess the workload and assign additional resources to help to cover the tasks for current month and the backlog from prior months.                    Gdansk SSC AP: split of responsibility on AP Reconciliation to be clarified with each plant and start preparing on a monthly basis those identified as in scope"/>
    <x v="0"/>
    <x v="3"/>
    <s v=""/>
    <s v="Cristhian Rascon/Natalia Engler/Dragalina Marandici/Petru Baciu, SSC Team AP/GL"/>
    <s v="Open"/>
    <s v=""/>
    <x v="2"/>
    <s v=""/>
    <s v=""/>
    <s v="N/A"/>
    <s v="Gupta"/>
    <s v="A, C, CO, E/O, P&amp;D, R&amp;O, V"/>
    <s v=""/>
    <s v=""/>
    <s v=""/>
    <s v=""/>
    <s v=""/>
    <s v=""/>
    <s v=""/>
    <s v=""/>
    <s v=""/>
    <s v=""/>
    <s v=""/>
    <s v=""/>
    <s v=""/>
    <s v=""/>
    <s v=""/>
    <s v=""/>
    <s v=""/>
    <s v=""/>
    <s v="09/23/2025"/>
    <n v="-9"/>
    <x v="1"/>
    <x v="1"/>
  </r>
  <r>
    <s v="TEN-1826"/>
    <s v="2025"/>
    <x v="2"/>
    <s v="PwC"/>
    <x v="0"/>
    <x v="42"/>
    <x v="4"/>
    <x v="11"/>
    <s v="Period End Financial Reporting"/>
    <s v="Adjustments &amp; Period-end Close for Period-end Financial Reporting"/>
    <x v="0"/>
    <s v=""/>
    <s v="PEFR-19"/>
    <s v=""/>
    <s v="SSC Certification  - GL (IceCo) - Management Self-Testing 2025"/>
    <s v="Timely Approval of reconciliation"/>
    <s v="Gdansk SSC: SSC Closing Checklist not implemented for all plants in scope. The plants that have a Closing Checklist in place are not submitted for approval/approved.                 Mexico SSC:  Closing checklist in place but not approved "/>
    <s v=""/>
    <s v=""/>
    <s v="Gdansk SSC: Implement SSC Closing Checklist for all plants in SSC Scope and get those approved on a monthly basis.                                                                                    Mexico SSC: Implement approval process for the Closing Checklists "/>
    <x v="0"/>
    <x v="3"/>
    <s v=""/>
    <s v="Pater-Laskowska, Aleksandra/Cristhian Rascon/Dragalina Marandici, SSC Team AP/GL"/>
    <s v="Open"/>
    <s v=""/>
    <x v="2"/>
    <s v=""/>
    <s v=""/>
    <s v="N/A"/>
    <s v="Gupta"/>
    <s v="C, CO"/>
    <s v=""/>
    <s v=""/>
    <s v=""/>
    <s v=""/>
    <s v=""/>
    <s v=""/>
    <s v=""/>
    <s v=""/>
    <s v=""/>
    <s v=""/>
    <s v=""/>
    <s v=""/>
    <s v=""/>
    <s v=""/>
    <s v=""/>
    <s v=""/>
    <s v=""/>
    <s v=""/>
    <s v="09/23/2025"/>
    <n v="-9"/>
    <x v="1"/>
    <x v="1"/>
  </r>
  <r>
    <s v="TEN-1827"/>
    <s v="2025"/>
    <x v="2"/>
    <s v="PwC"/>
    <x v="0"/>
    <x v="42"/>
    <x v="4"/>
    <x v="11"/>
    <s v="Period End Financial Reporting"/>
    <s v="Consolidation"/>
    <x v="0"/>
    <s v=""/>
    <s v="PEFR-32"/>
    <s v=""/>
    <s v="SSC Certification  - GL (IceCo) - Management Self-Testing 2025"/>
    <s v="Timely Approval of reconciliation"/>
    <s v="Mexico SSC:  Reconciliations are being done, but they are not being completed before WD10, in addition to the fact that there are pending reconciliations from other months."/>
    <s v=""/>
    <s v=""/>
    <s v="Mexico SSC: Assess the workload and assign additional resources to help to cover the tasks for current month and the backlog from prior months. "/>
    <x v="0"/>
    <x v="3"/>
    <s v=""/>
    <s v="Cristhian Rascon/Dragalina Marandici, SSC Team GL"/>
    <s v="Open"/>
    <s v=""/>
    <x v="2"/>
    <s v=""/>
    <s v=""/>
    <s v="N/A"/>
    <s v="Gupta"/>
    <s v="A"/>
    <s v=""/>
    <s v=""/>
    <s v=""/>
    <s v=""/>
    <s v=""/>
    <s v=""/>
    <s v=""/>
    <s v=""/>
    <s v=""/>
    <s v=""/>
    <s v=""/>
    <s v=""/>
    <s v=""/>
    <s v=""/>
    <s v=""/>
    <s v=""/>
    <s v=""/>
    <s v=""/>
    <s v="09/23/2025"/>
    <n v="-9"/>
    <x v="1"/>
    <x v="1"/>
  </r>
  <r>
    <s v="TEN-1828"/>
    <s v="2025"/>
    <x v="2"/>
    <s v="PwC"/>
    <x v="0"/>
    <x v="42"/>
    <x v="4"/>
    <x v="11"/>
    <s v="Period End Financial Reporting"/>
    <s v="Adjustments &amp; Period-end Close for Period-end Financial Reporting"/>
    <x v="0"/>
    <s v=""/>
    <s v="PEFR-68"/>
    <s v=""/>
    <s v="SSC Certification  - GL (IceCo) - Management Self-Testing 2025"/>
    <s v="Timely Approval of reconciliation"/>
    <s v="Mexico SSC:  Reconciliations are being done, but they are not being completed before WD10, in addition to the fact that there are pending reconciliations from other months."/>
    <s v=""/>
    <s v=""/>
    <s v="Mexico SSC: Assess the workload and assign additional resources to help to cover the tasks for current month and the backlog from prior months. "/>
    <x v="0"/>
    <x v="3"/>
    <s v=""/>
    <s v="Cristhian Rascon/Dragalina Marandici, SSC Team GL"/>
    <s v="Open"/>
    <s v=""/>
    <x v="2"/>
    <s v=""/>
    <s v=""/>
    <s v="N/A"/>
    <s v="Gupta"/>
    <s v="A, C, CO, E/O, P&amp;D, R&amp;O, V"/>
    <s v=""/>
    <s v=""/>
    <s v=""/>
    <s v=""/>
    <s v=""/>
    <s v=""/>
    <s v=""/>
    <s v=""/>
    <s v=""/>
    <s v=""/>
    <s v=""/>
    <s v=""/>
    <s v=""/>
    <s v=""/>
    <s v=""/>
    <s v=""/>
    <s v=""/>
    <s v=""/>
    <s v="09/23/2025"/>
    <n v="-9"/>
    <x v="1"/>
    <x v="1"/>
  </r>
  <r>
    <s v="TEN-1829"/>
    <s v="2025"/>
    <x v="2"/>
    <s v="PwC"/>
    <x v="0"/>
    <x v="42"/>
    <x v="4"/>
    <x v="11"/>
    <s v="Revenue and Receivables"/>
    <s v="Adjustments &amp; Period-end Close for Revenue &amp; receivables"/>
    <x v="0"/>
    <s v=""/>
    <s v="REVE-61"/>
    <s v=""/>
    <s v="SSC Certification  - GL (IceCo) - Management Self-Testing 2025"/>
    <s v="Timely Approval of reconciliation"/>
    <s v="Mexico SSC:  Reconciliations are being done, but they are not being completed before WD10, in addition to the fact that there are pending reconciliations from other months."/>
    <s v=""/>
    <s v=""/>
    <s v="Mexico SSC: Assess the workload and assign additional resources to help to cover the tasks for current month and the backlog from prior months. "/>
    <x v="0"/>
    <x v="3"/>
    <s v=""/>
    <s v="Cristhian Rascon/Dragalina Marandici, SSC Team GL"/>
    <s v="Open"/>
    <s v=""/>
    <x v="2"/>
    <s v=""/>
    <s v=""/>
    <s v="N/A"/>
    <s v="Gupta"/>
    <s v="A, C, CO, E/O, P&amp;D, R&amp;O, V"/>
    <s v=""/>
    <s v=""/>
    <s v=""/>
    <s v=""/>
    <s v=""/>
    <s v=""/>
    <s v=""/>
    <s v=""/>
    <s v=""/>
    <s v=""/>
    <s v=""/>
    <s v=""/>
    <s v=""/>
    <s v=""/>
    <s v=""/>
    <s v=""/>
    <s v=""/>
    <s v=""/>
    <s v="09/23/2025"/>
    <n v="-9"/>
    <x v="1"/>
    <x v="1"/>
  </r>
  <r>
    <s v="TEN-1830"/>
    <s v="2025"/>
    <x v="2"/>
    <s v="PwC"/>
    <x v="0"/>
    <x v="43"/>
    <x v="3"/>
    <x v="12"/>
    <s v="Revenue and Receivables"/>
    <s v="Order Processing"/>
    <x v="14"/>
    <s v=""/>
    <s v="REVE-09"/>
    <s v=""/>
    <s v="SSC Certification  - AR (DRiV) - Management Self-Testing 2025"/>
    <s v="Timely Approval of Orders compared to established credit limits"/>
    <s v="DRiV EMEA: Effective                                                                                                  DRiV US/CAN: Ineffective - Review has not been conducted monthly in line with the process for this region"/>
    <s v=""/>
    <s v=""/>
    <s v="DRiV US/CAN: Reinstate monthly review process. IT development may be required for PTAx"/>
    <x v="2"/>
    <x v="3"/>
    <s v=""/>
    <s v="Daniel Calin, AR Manager"/>
    <s v="Open"/>
    <s v=""/>
    <x v="2"/>
    <s v=""/>
    <s v=""/>
    <s v="N/A"/>
    <s v="Gupta"/>
    <s v="E/O, V"/>
    <s v=""/>
    <s v=""/>
    <s v=""/>
    <s v=""/>
    <s v=""/>
    <s v=""/>
    <s v=""/>
    <s v=""/>
    <s v=""/>
    <s v=""/>
    <s v=""/>
    <s v=""/>
    <s v=""/>
    <s v=""/>
    <s v=""/>
    <s v=""/>
    <s v=""/>
    <s v=""/>
    <s v="09/23/2025"/>
    <n v="-9"/>
    <x v="1"/>
    <x v="1"/>
  </r>
  <r>
    <s v="TEN-1831"/>
    <s v="2025"/>
    <x v="2"/>
    <s v="PwC"/>
    <x v="0"/>
    <x v="43"/>
    <x v="3"/>
    <x v="12"/>
    <s v="Revenue and Receivables"/>
    <s v="Adjustments &amp; Period-end Close for Revenue &amp; receivables"/>
    <x v="35"/>
    <s v=""/>
    <s v="REVE-62"/>
    <s v=""/>
    <s v="SSC Certification  - AR (DRiV) - Management Self-Testing 2025"/>
    <s v="Timely Approval of Customer master file "/>
    <s v="EMEA: Review Owner confirms the monthly review has not been performed within the usual timeline.                                 US/CAN: Review not conducted as per standard process - reason is related to organizational changes/restructuring                "/>
    <s v=""/>
    <s v=""/>
    <s v="EMEA: retroactive review will be completed by End of Sept.         US/CAN: Re instatement of monthly review effective End of Nov [IT development may be required for PTAx]"/>
    <x v="2"/>
    <x v="3"/>
    <s v=""/>
    <s v="Roxana Popescu, Daniel Calin, Customer Master Data/AR Manager"/>
    <s v="Open"/>
    <s v=""/>
    <x v="2"/>
    <s v=""/>
    <s v=""/>
    <s v="N/A"/>
    <s v="Gupta"/>
    <s v="A"/>
    <s v=""/>
    <s v=""/>
    <s v=""/>
    <s v=""/>
    <s v=""/>
    <s v=""/>
    <s v=""/>
    <s v=""/>
    <s v=""/>
    <s v=""/>
    <s v=""/>
    <s v=""/>
    <s v=""/>
    <s v=""/>
    <s v=""/>
    <s v=""/>
    <s v=""/>
    <s v=""/>
    <s v="09/23/2025"/>
    <n v="-9"/>
    <x v="1"/>
    <x v="1"/>
  </r>
  <r>
    <s v="TEN-1832"/>
    <s v="2025"/>
    <x v="2"/>
    <s v="PwC"/>
    <x v="0"/>
    <x v="43"/>
    <x v="3"/>
    <x v="12"/>
    <s v="Revenue and Receivables"/>
    <s v="Adjustments &amp; Period-end Close for Revenue &amp; receivables"/>
    <x v="35"/>
    <s v=""/>
    <s v="REVE-66"/>
    <s v=""/>
    <s v="SSC Certification  - AR (DRiV) - Management Self-Testing 2025"/>
    <s v="Timely Approval of Credit master file "/>
    <s v="EMEA: Effective                                                                    Not effective: US/CAN: Review not conducted as per standard process - reason is related to organizational changes/restructuring  "/>
    <s v=""/>
    <s v=""/>
    <s v="Reinstate monthly credit master review for EP1 and PTA DRiV US/CAN [IT development may be required for PTAx]"/>
    <x v="2"/>
    <x v="3"/>
    <s v=""/>
    <s v="Daniel Calin, AR Manager"/>
    <s v="Open"/>
    <s v=""/>
    <x v="2"/>
    <s v=""/>
    <s v=""/>
    <s v="N/A"/>
    <s v="Gupta"/>
    <s v="A"/>
    <s v=""/>
    <s v=""/>
    <s v=""/>
    <s v=""/>
    <s v=""/>
    <s v=""/>
    <s v=""/>
    <s v=""/>
    <s v=""/>
    <s v=""/>
    <s v=""/>
    <s v=""/>
    <s v=""/>
    <s v=""/>
    <s v=""/>
    <s v=""/>
    <s v=""/>
    <s v=""/>
    <s v="09/23/2025"/>
    <n v="-9"/>
    <x v="1"/>
    <x v="1"/>
  </r>
  <r>
    <s v="TEN-1838"/>
    <s v="2025"/>
    <x v="2"/>
    <s v="PwC"/>
    <x v="0"/>
    <x v="44"/>
    <x v="3"/>
    <x v="7"/>
    <s v="Purchasing and Payables"/>
    <s v="Adjustments &amp; Period-end Close for Purchasing &amp; payables"/>
    <x v="0"/>
    <s v=""/>
    <s v="PAPA-44"/>
    <s v=""/>
    <s v="(Beck/Arnley) (DRiV)  - Management Self-Testing 2025"/>
    <s v="Proper segregation of duties does not exist for the preparation and review of the account reconciliation."/>
    <s v="The Jue 2025 AP reconciliation was reviewed and tested.  The two subledgers have variances that have been identified as system (Lawson) adjustments.  The adjust AP 230 report ties to the AP 232 report and general ledger.  Those ledgers also tie to OneStream.  Segregation duties are not present in the reconciliation as the Controller is completing the Reconciliation with no additional signoff.  AP invoices are trying to be converted over to SAP, but the Controller is unable to find the A/P process for the Product team expenses which has led to continual AP process on the Beck/Arnley Ledger.  Will be completed in 2025."/>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C, CO, E/O, P&amp;D, R&amp;O, V"/>
    <s v=""/>
    <s v=""/>
    <s v=""/>
    <s v=""/>
    <s v=""/>
    <s v=""/>
    <s v=""/>
    <s v=""/>
    <s v=""/>
    <s v=""/>
    <s v=""/>
    <s v=""/>
    <s v=""/>
    <s v=""/>
    <s v=""/>
    <s v=""/>
    <s v=""/>
    <s v=""/>
    <s v="10/08/2025"/>
    <n v="21"/>
    <x v="2"/>
    <x v="0"/>
  </r>
  <r>
    <s v="TEN-1839"/>
    <s v="2025"/>
    <x v="2"/>
    <s v="PwC"/>
    <x v="0"/>
    <x v="44"/>
    <x v="3"/>
    <x v="7"/>
    <s v="Period End Financial Reporting"/>
    <s v="Consolidation"/>
    <x v="0"/>
    <s v=""/>
    <s v="PEFR-32"/>
    <s v=""/>
    <s v="(Beck/Arnley) (DRiV)  - Management Self-Testing 2025"/>
    <s v="Proper segregation of duties does not exist for the preparation and review of the account reconciliation."/>
    <s v="Compared OneStream to the Fixed Assets Reconciliation from May 2025 and to the general ledger and subledger.  The OneStream and net Fixed Assets are in balance, and the reconciliation did not support supported proper segregation of duties.  OneStream to Lawson reconciliation is completed on each reconciliation._x000a__x000a_Audit Request:_x000a_1.Deficiency found:  The reconciliation was not reviewed, and the Controller is performing the activity and the reconciliation as a result of the Beck/Arnley finance team being dissolved in January 2025._x000a__x000a_2. Sample Tested:  The May 2025 Fixed Asset Reconciliation was tested.  It was completed by the Controller (Aaron Southworth) and was not reviewed."/>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s v=""/>
    <s v=""/>
    <s v=""/>
    <s v=""/>
    <s v=""/>
    <s v=""/>
    <s v=""/>
    <s v=""/>
    <s v=""/>
    <s v=""/>
    <s v=""/>
    <s v=""/>
    <s v=""/>
    <s v=""/>
    <s v=""/>
    <s v=""/>
    <s v=""/>
    <s v=""/>
    <s v="10/08/2025"/>
    <n v="21"/>
    <x v="2"/>
    <x v="0"/>
  </r>
  <r>
    <s v="TEN-1840"/>
    <s v="2025"/>
    <x v="2"/>
    <s v="PwC"/>
    <x v="0"/>
    <x v="44"/>
    <x v="3"/>
    <x v="7"/>
    <s v="Period End Financial Reporting"/>
    <s v="Adjustments &amp; Period-end Close for Period-end Financial Reporting"/>
    <x v="0"/>
    <s v=""/>
    <s v="PEFR-67"/>
    <s v=""/>
    <s v="(Beck/Arnley) (DRiV)  - Management Self-Testing 2025"/>
    <s v="Proper segregation of duties does not exist for the preparation and review of the account reconciliation."/>
    <s v="The June Intercompany Journal entry was reviewed and tested.  The Journal entry was recorded in a timely manner and provided accurate support.  Segregation duties are not present in the journal entry combine with no additional signoff."/>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C, CO, E/O, P&amp;D, R&amp;O, V"/>
    <s v=""/>
    <s v=""/>
    <s v=""/>
    <s v=""/>
    <s v=""/>
    <s v=""/>
    <s v=""/>
    <s v=""/>
    <s v=""/>
    <s v=""/>
    <s v=""/>
    <s v=""/>
    <s v=""/>
    <s v=""/>
    <s v=""/>
    <s v=""/>
    <s v=""/>
    <s v=""/>
    <s v="10/08/2025"/>
    <n v="21"/>
    <x v="2"/>
    <x v="0"/>
  </r>
  <r>
    <s v="TEN-1841"/>
    <s v="2025"/>
    <x v="2"/>
    <s v="PwC"/>
    <x v="0"/>
    <x v="44"/>
    <x v="3"/>
    <x v="7"/>
    <s v="Period End Financial Reporting"/>
    <s v="Adjustments &amp; Period-end Close for Period-end Financial Reporting"/>
    <x v="0"/>
    <s v=""/>
    <s v="PEFR-68"/>
    <s v=""/>
    <s v="(Beck/Arnley) (DRiV)  - Management Self-Testing 2025"/>
    <s v="Proper segregation of duties does not exist for the preparation and review of the account reconciliation."/>
    <s v="The June A/R reconciliation was observed.  The subledger is currently out of balance by $2k that is being researched.  Segregation duties are not present in the journal entry combine with no additional signoff.  The A/R balance is in a credit balance as a result of unused credit by customers.  These balances will be written off in 2025"/>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C, CO, E/O, P&amp;D, R&amp;O, V"/>
    <s v=""/>
    <s v=""/>
    <s v=""/>
    <s v=""/>
    <s v=""/>
    <s v=""/>
    <s v=""/>
    <s v=""/>
    <s v=""/>
    <s v=""/>
    <s v=""/>
    <s v=""/>
    <s v=""/>
    <s v=""/>
    <s v=""/>
    <s v=""/>
    <s v=""/>
    <s v=""/>
    <s v="10/08/2025"/>
    <n v="21"/>
    <x v="2"/>
    <x v="0"/>
  </r>
  <r>
    <s v="TEN-1842"/>
    <s v="2025"/>
    <x v="2"/>
    <s v="PwC"/>
    <x v="0"/>
    <x v="44"/>
    <x v="3"/>
    <x v="7"/>
    <s v="Property, Plant, and Equipment"/>
    <s v="Adjustments &amp; Period-end Close for Property, plant &amp; equipment"/>
    <x v="0"/>
    <s v=""/>
    <s v="PPAE-35"/>
    <s v=""/>
    <s v="(Beck/Arnley) (DRiV)  - Management Self-Testing 2025"/>
    <s v="Proper segregation of duties does not exist for the preparation and review of the account reconciliation."/>
    <s v="The May 2025 fixed asset reconciliation was reviewed and tested.  The subledger and general ledger are in balance.  Those ledgers also tie to OneStream.  Segregation duties are not present in the reconciliation as the Controller is completing the Reconciliation with no additional signoff.  These balances will be transferred to SMYRNA in August 2025."/>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C, CO, E/O, P&amp;D, R&amp;O, V"/>
    <s v=""/>
    <s v=""/>
    <s v=""/>
    <s v=""/>
    <s v=""/>
    <s v=""/>
    <s v=""/>
    <s v=""/>
    <s v=""/>
    <s v=""/>
    <s v=""/>
    <s v=""/>
    <s v=""/>
    <s v=""/>
    <s v=""/>
    <s v=""/>
    <s v=""/>
    <s v=""/>
    <s v="10/08/2025"/>
    <n v="21"/>
    <x v="2"/>
    <x v="0"/>
  </r>
  <r>
    <s v="TEN-1843"/>
    <s v="2025"/>
    <x v="2"/>
    <s v="PwC"/>
    <x v="0"/>
    <x v="44"/>
    <x v="3"/>
    <x v="7"/>
    <s v="Revenue and Receivables"/>
    <s v="Adjustments &amp; Period-end Close for Revenue &amp; receivables"/>
    <x v="0"/>
    <s v=""/>
    <s v="REVE-61"/>
    <s v=""/>
    <s v="(Beck/Arnley) (DRiV)  - Management Self-Testing 2025"/>
    <s v="Proper segregation of duties does not exist for the preparation and review of the account reconciliation."/>
    <s v="The June A/R reconciliation was observed.  The subledger is currently out of balance by $2k that is being researched.  Segregation duties are not present in the journal entry combine with no additional signoff.  The A/R balance is in a credit balance as a result of unused credit by customers.  These balances will be written off in 2025"/>
    <s v=""/>
    <s v=""/>
    <s v="All journal entries and reconciliation will be presented to the Finance Manager (Dan Brugger) on a monthly basis going forward.  General ledger should be closed by the end of the year with little activity."/>
    <x v="0"/>
    <x v="10"/>
    <s v=""/>
    <s v="Aaron Southworth, Controller"/>
    <s v="Open"/>
    <s v=""/>
    <x v="0"/>
    <s v=""/>
    <s v=""/>
    <s v="N/A"/>
    <s v="Gupta"/>
    <s v="A, C, CO, E/O, P&amp;D, R&amp;O, V"/>
    <s v=""/>
    <s v=""/>
    <s v=""/>
    <s v=""/>
    <s v=""/>
    <s v=""/>
    <s v=""/>
    <s v=""/>
    <s v=""/>
    <s v=""/>
    <s v=""/>
    <s v=""/>
    <s v=""/>
    <s v=""/>
    <s v=""/>
    <s v=""/>
    <s v=""/>
    <s v=""/>
    <s v="10/08/2025"/>
    <n v="21"/>
    <x v="2"/>
    <x v="0"/>
  </r>
  <r>
    <s v="TEN-1844"/>
    <s v="2025"/>
    <x v="2"/>
    <s v="PwC"/>
    <x v="0"/>
    <x v="45"/>
    <x v="1"/>
    <x v="3"/>
    <s v="Period End Financial Reporting"/>
    <s v="Adjustments &amp; Period-end Close for Period-end Financial Reporting"/>
    <x v="0"/>
    <s v=""/>
    <s v="PEFR-73"/>
    <s v=""/>
    <s v="(Corporate Accounting)  (Corporate)- Management Self-Testing 2025"/>
    <s v="Lack of Available Documentation "/>
    <s v=" Supporting documentation in the JE workbook does not show the overall source of the accrual estimation, such as a most recent periodic actuarial calculation, plus monthly provisions for workers comp, less claims paid, and the allocation methodology determining the reserve balance recorded on each business segment.  Documentation is not clear enough for a reviewer to reperform and reach same conclusion. "/>
    <s v=""/>
    <s v=""/>
    <s v="The company needs a comprehensive WC workpaper that supports the overall company balance, referencing most recent actuarial valuations as a baseline, plus WC provisions based on actuarial Loss Pick, less claim payments, arriving at the period end balance.  Balances allocated to each BU need to agree to an approved allocation methodology."/>
    <x v="0"/>
    <x v="15"/>
    <s v=""/>
    <s v="Chris Maulbetsch, Accounting Consultant"/>
    <s v="Open"/>
    <s v=""/>
    <x v="1"/>
    <s v=""/>
    <s v=""/>
    <s v="N/A"/>
    <s v="Gupta"/>
    <s v="V"/>
    <s v=""/>
    <s v=""/>
    <s v=""/>
    <s v=""/>
    <s v=""/>
    <s v=""/>
    <s v=""/>
    <s v=""/>
    <s v=""/>
    <s v=""/>
    <s v=""/>
    <s v=""/>
    <s v=""/>
    <s v=""/>
    <s v=""/>
    <s v=""/>
    <s v=""/>
    <s v=""/>
    <s v="10/08/2025"/>
    <n v="-39"/>
    <x v="1"/>
    <x v="1"/>
  </r>
  <r>
    <s v="TEN-1845"/>
    <s v="2025"/>
    <x v="2"/>
    <s v="PwC"/>
    <x v="0"/>
    <x v="45"/>
    <x v="1"/>
    <x v="3"/>
    <s v="Property, Plant, and Equipment"/>
    <s v="Adjustments &amp; Period-end Close for Property, plant &amp; equipment"/>
    <x v="35"/>
    <s v=""/>
    <s v="PPAE-35"/>
    <s v=""/>
    <s v="(Corporate Accounting)  (Corporate)- Management Self-Testing 2025"/>
    <s v="Sub-ledgers are reconciled to OneStream. The reconciliation is not reviewed and approved. "/>
    <s v="There is no manual roll forward or any recon of account 2300 for any ledger. There are however recons for 2200 accounts (2200.120 Machinery &amp; equipment) it looks like we stopped reconciling the net PPE in June 2024"/>
    <s v=""/>
    <s v=""/>
    <s v="Implement preparation of PPE roll-forwards for each applicable ledger on a monthly basis.  "/>
    <x v="0"/>
    <x v="10"/>
    <s v=""/>
    <s v="Sandra Carpenter, Finance Director"/>
    <s v="Open"/>
    <s v=""/>
    <x v="0"/>
    <s v=""/>
    <s v=""/>
    <s v="N/A"/>
    <s v="Gupta"/>
    <s v="A, C, CO, E/O, P&amp;D, R&amp;O, V"/>
    <s v=""/>
    <s v=""/>
    <s v=""/>
    <s v=""/>
    <s v=""/>
    <s v=""/>
    <s v=""/>
    <s v=""/>
    <s v=""/>
    <s v=""/>
    <s v=""/>
    <s v=""/>
    <s v=""/>
    <s v=""/>
    <s v=""/>
    <s v=""/>
    <s v=""/>
    <s v=""/>
    <s v="10/08/2025"/>
    <n v="21"/>
    <x v="2"/>
    <x v="0"/>
  </r>
  <r>
    <s v="TEN-1848"/>
    <s v="2025"/>
    <x v="2"/>
    <s v="PwC"/>
    <x v="0"/>
    <x v="46"/>
    <x v="3"/>
    <x v="7"/>
    <s v="Leases"/>
    <s v="Lease Accounting Completeness"/>
    <x v="19"/>
    <s v=""/>
    <s v="LEAS-09"/>
    <s v=""/>
    <s v="(Skokie DC)  (DRiV)- Management Self-Testing 2025"/>
    <s v="Lease invoices did not tie out to what Visual Lease has loaded."/>
    <s v="Lease invoices did not tie out to what Visual Lease has loaded."/>
    <s v=""/>
    <s v=""/>
    <s v="Work with TFS and corporate lease accounting to ensure leasing documents are up-to-date in Visual Lease."/>
    <x v="0"/>
    <x v="11"/>
    <s v=""/>
    <s v="John Kamph and Max Eurich,  Senior Controller/ Finance Manager"/>
    <s v="Open"/>
    <s v=""/>
    <x v="3"/>
    <s v=""/>
    <s v=""/>
    <s v="N/A"/>
    <s v="Gupta"/>
    <s v="A, C, CO, E/O, P&amp;D, R&amp;O, V"/>
    <s v=""/>
    <s v=""/>
    <s v=""/>
    <s v=""/>
    <s v=""/>
    <s v=""/>
    <s v=""/>
    <s v=""/>
    <s v=""/>
    <s v=""/>
    <s v=""/>
    <s v=""/>
    <s v=""/>
    <s v=""/>
    <s v=""/>
    <s v=""/>
    <s v=""/>
    <s v=""/>
    <s v="10/08/2025"/>
    <n v="-130"/>
    <x v="1"/>
    <x v="1"/>
  </r>
  <r>
    <s v="TEN-1850"/>
    <s v="2025"/>
    <x v="2"/>
    <s v="PwC"/>
    <x v="0"/>
    <x v="47"/>
    <x v="2"/>
    <x v="9"/>
    <s v="Production and Inventory"/>
    <s v="Adjustments &amp; Period-end Close for Production and inventory"/>
    <x v="30"/>
    <s v=""/>
    <s v="PINV-45"/>
    <s v=""/>
    <s v="(Gdansk) (Powertrain) - Management Self-Testing 2025"/>
    <s v="Reserve assumptions have not been reviewed"/>
    <s v=" We asked Corporation for deviation several times from January 2025, we did not receive. In September there was e-mail from Corporate that they are changing the way of calculating E&amp;O and this is approved deviation. "/>
    <s v=""/>
    <s v=""/>
    <s v="Because of the short time the new way of calculating E&amp;O reserve will not be implemented in Q3 2025, rather in Q4"/>
    <x v="0"/>
    <x v="1"/>
    <s v=""/>
    <s v="Tomasz Andryskowski, Plant controller"/>
    <s v="Open"/>
    <s v=""/>
    <x v="1"/>
    <s v=""/>
    <s v=""/>
    <s v="N/A"/>
    <s v="Gupta"/>
    <s v="R&amp;O, V"/>
    <s v=""/>
    <s v=""/>
    <s v=""/>
    <s v=""/>
    <s v=""/>
    <s v=""/>
    <s v=""/>
    <s v=""/>
    <s v=""/>
    <s v=""/>
    <s v=""/>
    <s v=""/>
    <s v=""/>
    <s v=""/>
    <s v=""/>
    <s v=""/>
    <s v=""/>
    <s v=""/>
    <s v="10/08/2025"/>
    <n v="-40"/>
    <x v="1"/>
    <x v="1"/>
  </r>
  <r>
    <s v="TEN-1855"/>
    <s v="2025"/>
    <x v="2"/>
    <s v="PwC"/>
    <x v="0"/>
    <x v="48"/>
    <x v="2"/>
    <x v="5"/>
    <s v="Payroll"/>
    <s v="Adjustments &amp; Period-end Close for Payroll"/>
    <x v="0"/>
    <s v=""/>
    <s v="PAYR-21"/>
    <s v=""/>
    <s v="(Patiala ) (Powertrain)   - Management Self-Testing 2025"/>
    <s v="Timely Approval of reconciliation"/>
    <s v="Payroll leave encashment is not approved by Head HR,  "/>
    <s v=""/>
    <s v=""/>
    <s v="HR Will provide the Monthly leave encashment provision details to finance duly approved by Head HR"/>
    <x v="0"/>
    <x v="1"/>
    <s v=""/>
    <s v="Yogesh Gupta (Head HR)"/>
    <s v="Open"/>
    <s v=""/>
    <x v="1"/>
    <s v=""/>
    <s v=""/>
    <s v="N/A"/>
    <s v="Gupta"/>
    <s v="A, C, R&amp;O"/>
    <s v=""/>
    <s v=""/>
    <s v=""/>
    <s v=""/>
    <s v=""/>
    <s v=""/>
    <s v=""/>
    <s v=""/>
    <s v=""/>
    <s v=""/>
    <s v=""/>
    <s v=""/>
    <s v=""/>
    <s v=""/>
    <s v=""/>
    <s v=""/>
    <s v=""/>
    <s v=""/>
    <s v="10/08/2025"/>
    <n v="-40"/>
    <x v="1"/>
    <x v="1"/>
  </r>
  <r>
    <s v="TEN-1857"/>
    <s v="2025"/>
    <x v="2"/>
    <s v="PwC"/>
    <x v="0"/>
    <x v="48"/>
    <x v="2"/>
    <x v="5"/>
    <s v="Payroll"/>
    <s v="Adjustments &amp; Period-end Close for Payroll"/>
    <x v="35"/>
    <s v=""/>
    <s v="PAYR-23"/>
    <s v=""/>
    <s v="(Patiala ) (Powertrain)   - Management Self-Testing 2025"/>
    <s v="Timely Approval of reconciliation"/>
    <s v="Consolidate Employee Master Change Log is not available in SAP,  There is not Monthly Sign off Process of change log"/>
    <s v=""/>
    <s v=""/>
    <s v="SAP team will raise the ticket with IT to get Monthly Employee Master change log &amp; Sign off with samples"/>
    <x v="2"/>
    <x v="3"/>
    <s v=""/>
    <s v="Yogesh Gupta (Head HR)"/>
    <s v="Open"/>
    <s v=""/>
    <x v="2"/>
    <s v=""/>
    <s v=""/>
    <s v="N/A"/>
    <s v="Gupta"/>
    <s v="A"/>
    <s v=""/>
    <s v=""/>
    <s v=""/>
    <s v=""/>
    <s v=""/>
    <s v=""/>
    <s v=""/>
    <s v=""/>
    <s v=""/>
    <s v=""/>
    <s v=""/>
    <s v=""/>
    <s v=""/>
    <s v=""/>
    <s v=""/>
    <s v=""/>
    <s v=""/>
    <s v=""/>
    <s v="10/08/2025"/>
    <n v="-9"/>
    <x v="1"/>
    <x v="1"/>
  </r>
  <r>
    <s v="TEN-1858"/>
    <s v="2025"/>
    <x v="2"/>
    <s v="PwC"/>
    <x v="0"/>
    <x v="49"/>
    <x v="3"/>
    <x v="19"/>
    <s v="Production and Inventory"/>
    <s v="Shipping"/>
    <x v="36"/>
    <s v=""/>
    <s v="PINV-36"/>
    <s v=""/>
    <s v="(China AM Trading ) (DRiV)   - Management Self-Testing 2025"/>
    <s v="Review could not performed due to system constrain"/>
    <s v="SF delivery record only can maintain 3 months in the system, the delivery information get refreshed and cannot be recovered beyond 3 months, any data over 3 months will be removed."/>
    <s v=""/>
    <s v=""/>
    <s v="Supply chain team will keep the  SF  screenshots for all the orders made through express."/>
    <x v="0"/>
    <x v="10"/>
    <s v=""/>
    <s v="Jackie Zhu (Senior Manager, Logistics)"/>
    <s v="Open"/>
    <s v=""/>
    <x v="0"/>
    <s v=""/>
    <s v=""/>
    <s v="N/A"/>
    <s v="Gupta"/>
    <s v="CO"/>
    <s v=""/>
    <s v=""/>
    <s v=""/>
    <s v=""/>
    <s v=""/>
    <s v=""/>
    <s v=""/>
    <s v=""/>
    <s v=""/>
    <s v=""/>
    <s v=""/>
    <s v=""/>
    <s v=""/>
    <s v=""/>
    <s v=""/>
    <s v=""/>
    <s v=""/>
    <s v=""/>
    <s v="10/08/2025"/>
    <n v="21"/>
    <x v="2"/>
    <x v="0"/>
  </r>
  <r>
    <s v="TEN-1859"/>
    <s v="2025"/>
    <x v="2"/>
    <s v="PwC"/>
    <x v="0"/>
    <x v="50"/>
    <x v="6"/>
    <x v="18"/>
    <s v="Payroll"/>
    <s v="Time Recording"/>
    <x v="35"/>
    <s v=""/>
    <s v="PAYR-03"/>
    <s v=""/>
    <s v="(Grass Lake) (Clean Air)    - Management Self-Testing 2025"/>
    <s v="Timely Approval of reconciliation"/>
    <s v="Even managers review and correct if needed, there is not and &quot;reviewed and approved&quot;  statement for some of the payrolls "/>
    <s v=""/>
    <s v=""/>
    <s v="instruction to HR to get &quot;reviewed and approved&quot; for every pay roll"/>
    <x v="0"/>
    <x v="1"/>
    <s v=""/>
    <s v="Diana Vazquez, _x0009_FP&amp;A Manager"/>
    <s v="Open"/>
    <s v=""/>
    <x v="1"/>
    <s v=""/>
    <s v=""/>
    <s v="N/A"/>
    <s v="Gupta"/>
    <s v="A, E/O"/>
    <s v=""/>
    <s v=""/>
    <s v=""/>
    <s v=""/>
    <s v=""/>
    <s v=""/>
    <s v=""/>
    <s v=""/>
    <s v=""/>
    <s v=""/>
    <s v=""/>
    <s v=""/>
    <s v=""/>
    <s v=""/>
    <s v=""/>
    <s v=""/>
    <s v=""/>
    <s v=""/>
    <s v="10/10/2025"/>
    <n v="-40"/>
    <x v="1"/>
    <x v="1"/>
  </r>
  <r>
    <s v="TEN-1860"/>
    <s v="2025"/>
    <x v="2"/>
    <s v="PwC"/>
    <x v="0"/>
    <x v="50"/>
    <x v="6"/>
    <x v="18"/>
    <s v="Payroll"/>
    <s v="Payroll Calculations"/>
    <x v="35"/>
    <s v=""/>
    <s v="PAYR-14"/>
    <s v=""/>
    <s v="(Grass Lake) (Clean Air)    - Management Self-Testing 2025"/>
    <s v="Timely Approval of reconciliation"/>
    <s v="Even managers review and correct if needed, there is not and &quot;reviewed and approved&quot;  statement for some of the payrolls "/>
    <s v=""/>
    <s v=""/>
    <s v="instruction to HR to get &quot;reviewed and approved&quot; for every pay roll"/>
    <x v="0"/>
    <x v="1"/>
    <s v=""/>
    <s v="Diana Vazquez, _x0009_FP&amp;A Manager"/>
    <s v="Open"/>
    <s v=""/>
    <x v="1"/>
    <s v=""/>
    <s v=""/>
    <s v="N/A"/>
    <s v="Gupta"/>
    <s v="A, C, CO, E/O, V"/>
    <s v=""/>
    <s v=""/>
    <s v=""/>
    <s v=""/>
    <s v=""/>
    <s v=""/>
    <s v=""/>
    <s v=""/>
    <s v=""/>
    <s v=""/>
    <s v=""/>
    <s v=""/>
    <s v=""/>
    <s v=""/>
    <s v=""/>
    <s v=""/>
    <s v=""/>
    <s v=""/>
    <s v="10/10/2025"/>
    <n v="-40"/>
    <x v="1"/>
    <x v="1"/>
  </r>
  <r>
    <s v="TEN-1861"/>
    <s v="2025"/>
    <x v="2"/>
    <s v="PwC"/>
    <x v="0"/>
    <x v="51"/>
    <x v="2"/>
    <x v="20"/>
    <s v="Payroll"/>
    <s v="Adjustments &amp; Period-end Close for Payroll"/>
    <x v="35"/>
    <s v=""/>
    <s v="PAYR-21"/>
    <s v=""/>
    <s v="(New Delhi (FMG)) (Powertrain)     - Management Self-Testing 2025"/>
    <s v="Management did not reviewed and approved the accrual in a timely manner."/>
    <s v="Payroll leave encashment is not approved by HR head "/>
    <s v=""/>
    <s v=""/>
    <s v="Payroll team will provide the monthly leave encashment provision details to finance which will be duly approved by the HR head. "/>
    <x v="0"/>
    <x v="10"/>
    <s v=""/>
    <s v="Anuj Kaushik / Ashish Kumar, HR Manager/ Lead - HR Manufacturing Excellence"/>
    <s v="Open"/>
    <s v=""/>
    <x v="0"/>
    <s v=""/>
    <s v=""/>
    <s v="N/A"/>
    <s v="Gupta"/>
    <s v="A, C, R&amp;O"/>
    <s v=""/>
    <s v=""/>
    <s v=""/>
    <s v=""/>
    <s v=""/>
    <s v=""/>
    <s v=""/>
    <s v=""/>
    <s v=""/>
    <s v=""/>
    <s v=""/>
    <s v=""/>
    <s v=""/>
    <s v=""/>
    <s v=""/>
    <s v=""/>
    <s v=""/>
    <s v=""/>
    <s v="10/10/2025"/>
    <n v="21"/>
    <x v="2"/>
    <x v="0"/>
  </r>
  <r>
    <s v="TEN-1862"/>
    <s v="2025"/>
    <x v="2"/>
    <s v="PwC"/>
    <x v="0"/>
    <x v="51"/>
    <x v="2"/>
    <x v="20"/>
    <s v="Payroll"/>
    <s v="Adjustments &amp; Period-end Close for Payroll"/>
    <x v="35"/>
    <s v=""/>
    <s v="PAYR-23"/>
    <s v=""/>
    <s v="(New Delhi (FMG)) (Powertrain)     - Management Self-Testing 2025"/>
    <s v="Timely Approval of reconciliation"/>
    <s v="Consolidated Employee Master Change log is not available in SAP. Also as of now there is no monthly sign off process of change log. "/>
    <s v=""/>
    <s v=""/>
    <s v="Payroll team will raise the ticket with IT to get the change log on the monthly basis &amp; will sign off the same along with sample testing."/>
    <x v="2"/>
    <x v="10"/>
    <s v=""/>
    <s v="Anuj Kaushik / Ashish Kumar, HR Manager/ Lead - HR Manufacturing Excellence"/>
    <s v="Open"/>
    <s v=""/>
    <x v="0"/>
    <s v=""/>
    <s v=""/>
    <s v="N/A"/>
    <s v="Gupta"/>
    <s v="A"/>
    <s v=""/>
    <s v=""/>
    <s v=""/>
    <s v=""/>
    <s v=""/>
    <s v=""/>
    <s v=""/>
    <s v=""/>
    <s v=""/>
    <s v=""/>
    <s v=""/>
    <s v=""/>
    <s v=""/>
    <s v=""/>
    <s v=""/>
    <s v=""/>
    <s v=""/>
    <s v=""/>
    <s v="10/10/2025"/>
    <n v="21"/>
    <x v="2"/>
    <x v="0"/>
  </r>
  <r>
    <s v="TEN-1863"/>
    <s v="2025"/>
    <x v="2"/>
    <s v="PwC"/>
    <x v="0"/>
    <x v="52"/>
    <x v="0"/>
    <x v="2"/>
    <s v="Leases"/>
    <s v="Lease Identification"/>
    <x v="6"/>
    <s v=""/>
    <s v="LEAS-01"/>
    <s v=""/>
    <s v="(Barcelona) (Performance Solutions)  - Management Self-Testing 2025"/>
    <s v="Implementation Delay"/>
    <s v="Informed the changes but leasing team didn't apply"/>
    <s v=""/>
    <s v=""/>
    <s v="Review contracts and send to corporate"/>
    <x v="0"/>
    <x v="3"/>
    <s v=""/>
    <s v="Esmeralda Tabernero, _x0009_Plant Finance leader"/>
    <s v="Open"/>
    <s v=""/>
    <x v="2"/>
    <s v=""/>
    <s v=""/>
    <s v="N/A"/>
    <s v="Gupta"/>
    <s v="C, E/O, R&amp;O"/>
    <s v=""/>
    <s v=""/>
    <s v=""/>
    <s v=""/>
    <s v=""/>
    <s v=""/>
    <s v=""/>
    <s v=""/>
    <s v=""/>
    <s v=""/>
    <s v=""/>
    <s v=""/>
    <s v=""/>
    <s v=""/>
    <s v=""/>
    <s v=""/>
    <s v=""/>
    <s v=""/>
    <s v="10/10/2025"/>
    <n v="-9"/>
    <x v="1"/>
    <x v="1"/>
  </r>
  <r>
    <s v="TEN-1864"/>
    <s v="2025"/>
    <x v="2"/>
    <s v="PwC"/>
    <x v="0"/>
    <x v="52"/>
    <x v="0"/>
    <x v="2"/>
    <s v="Leases"/>
    <s v="Lease Identification"/>
    <x v="35"/>
    <s v=""/>
    <s v="LEAS-02"/>
    <s v=""/>
    <s v="(Barcelona) (Performance Solutions)  - Management Self-Testing 2025"/>
    <s v="Lease transactions are not communicated to Corporate Accounting in a timely manner"/>
    <s v="Nobody has the contract to send finance team and resend to leasing team"/>
    <s v=""/>
    <s v=""/>
    <s v="Review contracts and send to corporate"/>
    <x v="0"/>
    <x v="3"/>
    <s v=""/>
    <s v="Esmeralda Tabernero, _x0009_Plant Finance leader"/>
    <s v="Open"/>
    <s v=""/>
    <x v="2"/>
    <s v=""/>
    <s v=""/>
    <s v="N/A"/>
    <s v="Gupta"/>
    <s v="C, CO"/>
    <s v=""/>
    <s v=""/>
    <s v=""/>
    <s v=""/>
    <s v=""/>
    <s v=""/>
    <s v=""/>
    <s v=""/>
    <s v=""/>
    <s v=""/>
    <s v=""/>
    <s v=""/>
    <s v=""/>
    <s v=""/>
    <s v=""/>
    <s v=""/>
    <s v=""/>
    <s v=""/>
    <s v="10/10/2025"/>
    <n v="-9"/>
    <x v="1"/>
    <x v="1"/>
  </r>
  <r>
    <s v="TEN-1865"/>
    <s v="2025"/>
    <x v="2"/>
    <s v="PwC"/>
    <x v="0"/>
    <x v="52"/>
    <x v="0"/>
    <x v="2"/>
    <s v="Leases"/>
    <s v="Lease Accounting Completeness"/>
    <x v="0"/>
    <s v=""/>
    <s v="LEAS-09"/>
    <s v=""/>
    <s v="(Barcelona) (Performance Solutions)  - Management Self-Testing 2025"/>
    <s v="Timely Approval of reconciliation"/>
    <s v="Leasing team changed the data and we couldn't balance"/>
    <s v=""/>
    <s v=""/>
    <s v="Review contracts and send to corporate"/>
    <x v="0"/>
    <x v="3"/>
    <s v=""/>
    <s v="Esmeralda Tabernero, _x0009_Plant Finance leader"/>
    <s v="Open"/>
    <s v=""/>
    <x v="2"/>
    <s v=""/>
    <s v=""/>
    <s v="N/A"/>
    <s v="Gupta"/>
    <s v="A, C, CO, E/O, P&amp;D, R&amp;O, V"/>
    <s v=""/>
    <s v=""/>
    <s v=""/>
    <s v=""/>
    <s v=""/>
    <s v=""/>
    <s v=""/>
    <s v=""/>
    <s v=""/>
    <s v=""/>
    <s v=""/>
    <s v=""/>
    <s v=""/>
    <s v=""/>
    <s v=""/>
    <s v=""/>
    <s v=""/>
    <s v=""/>
    <s v="10/10/2025"/>
    <n v="-9"/>
    <x v="1"/>
    <x v="1"/>
  </r>
  <r>
    <s v="TEN-1866"/>
    <s v="2025"/>
    <x v="2"/>
    <s v="PwC"/>
    <x v="0"/>
    <x v="52"/>
    <x v="0"/>
    <x v="2"/>
    <s v="Purchasing and Payables"/>
    <s v="Ordering"/>
    <x v="5"/>
    <s v=""/>
    <s v="PAPA-01"/>
    <s v=""/>
    <s v="(Barcelona) (Performance Solutions)  - Management Self-Testing 2025"/>
    <s v="Missing Requisition"/>
    <s v="There isn't the requisition from vendor to reconcile purchase order 5200124550"/>
    <s v=""/>
    <s v=""/>
    <s v="I informed the policy of the company to have always a PO from vendor by email instead of by phone"/>
    <x v="0"/>
    <x v="10"/>
    <s v=""/>
    <s v="Esmeralda Tabernero, _x0009_Plant Finance leader"/>
    <s v="Open"/>
    <s v=""/>
    <x v="0"/>
    <s v=""/>
    <s v=""/>
    <s v="N/A"/>
    <s v="Gupta"/>
    <s v="C"/>
    <s v=""/>
    <s v=""/>
    <s v=""/>
    <s v=""/>
    <s v=""/>
    <s v=""/>
    <s v=""/>
    <s v=""/>
    <s v=""/>
    <s v=""/>
    <s v=""/>
    <s v=""/>
    <s v=""/>
    <s v=""/>
    <s v=""/>
    <s v=""/>
    <s v=""/>
    <s v=""/>
    <s v="10/10/2025"/>
    <n v="21"/>
    <x v="2"/>
    <x v="0"/>
  </r>
  <r>
    <s v="TEN-1867"/>
    <s v="2025"/>
    <x v="2"/>
    <s v="PwC"/>
    <x v="0"/>
    <x v="52"/>
    <x v="0"/>
    <x v="2"/>
    <s v="Purchasing and Payables"/>
    <s v="Ordering"/>
    <x v="10"/>
    <s v=""/>
    <s v="PAPA-03"/>
    <s v=""/>
    <s v="(Barcelona) (Performance Solutions)  - Management Self-Testing 2025"/>
    <s v="System enforced spending limits and approval procedures - No updation "/>
    <s v="Due to all the changes on our census we have to update the users and replace by the news"/>
    <s v=""/>
    <s v=""/>
    <s v="I opened a ticket INC1832346 to update the users"/>
    <x v="2"/>
    <x v="10"/>
    <s v=""/>
    <s v="Gloria Samper, _x0009_Financial Specialist"/>
    <s v="Open"/>
    <s v=""/>
    <x v="0"/>
    <s v=""/>
    <s v=""/>
    <s v="N/A"/>
    <s v="Gupta"/>
    <s v="E/O, R&amp;O"/>
    <s v=""/>
    <s v=""/>
    <s v=""/>
    <s v=""/>
    <s v=""/>
    <s v=""/>
    <s v=""/>
    <s v=""/>
    <s v=""/>
    <s v=""/>
    <s v=""/>
    <s v=""/>
    <s v=""/>
    <s v=""/>
    <s v=""/>
    <s v=""/>
    <s v=""/>
    <s v=""/>
    <s v="10/10/2025"/>
    <n v="21"/>
    <x v="2"/>
    <x v="0"/>
  </r>
  <r>
    <s v="TEN-1868"/>
    <s v="2025"/>
    <x v="2"/>
    <s v="PwC"/>
    <x v="0"/>
    <x v="52"/>
    <x v="0"/>
    <x v="2"/>
    <s v="Production and Inventory"/>
    <s v="Adjustments &amp; Period-end Close for Production and inventory"/>
    <x v="20"/>
    <s v=""/>
    <s v="PINV-01"/>
    <s v=""/>
    <s v="(Barcelona) (Performance Solutions)  - Management Self-Testing 2025"/>
    <s v="Incorrect stock balance"/>
    <s v="The stock is wrong. Order pending to close or missing"/>
    <s v=""/>
    <s v=""/>
    <s v="Closed the orders in WIP"/>
    <x v="0"/>
    <x v="3"/>
    <s v=""/>
    <s v="Esmeralda Tabernero, Ricardo Gonzalez, Plant Finance leader/ Logistics Manager"/>
    <s v="Open"/>
    <s v=""/>
    <x v="2"/>
    <s v=""/>
    <s v=""/>
    <s v="N/A"/>
    <s v="Gupta"/>
    <s v="A, C, E/O"/>
    <s v=""/>
    <s v=""/>
    <s v=""/>
    <s v=""/>
    <s v=""/>
    <s v=""/>
    <s v=""/>
    <s v=""/>
    <s v=""/>
    <s v=""/>
    <s v=""/>
    <s v=""/>
    <s v=""/>
    <s v=""/>
    <s v=""/>
    <s v=""/>
    <s v=""/>
    <s v=""/>
    <s v="10/10/2025"/>
    <n v="-9"/>
    <x v="1"/>
    <x v="1"/>
  </r>
  <r>
    <s v="TEN-1869"/>
    <s v="2025"/>
    <x v="2"/>
    <s v="PwC"/>
    <x v="0"/>
    <x v="52"/>
    <x v="0"/>
    <x v="2"/>
    <s v="Production and Inventory"/>
    <s v="Receiving"/>
    <x v="5"/>
    <s v=""/>
    <s v="PINV-03"/>
    <s v=""/>
    <s v="(Barcelona) (Performance Solutions)  - Management Self-Testing 2025"/>
    <s v="Missing check mark"/>
    <s v="It is missing the check mark on delivery note of vendor"/>
    <s v=""/>
    <s v=""/>
    <s v="Remember the policy of the company to follow the instructions"/>
    <x v="0"/>
    <x v="3"/>
    <s v=""/>
    <s v="Ricardo Gonzalez/Gloria Samper, Logistics Manager, Financial Specialist"/>
    <s v="Open"/>
    <s v=""/>
    <x v="2"/>
    <s v=""/>
    <s v=""/>
    <s v="N/A"/>
    <s v="Gupta"/>
    <s v="A"/>
    <s v=""/>
    <s v=""/>
    <s v=""/>
    <s v=""/>
    <s v=""/>
    <s v=""/>
    <s v=""/>
    <s v=""/>
    <s v=""/>
    <s v=""/>
    <s v=""/>
    <s v=""/>
    <s v=""/>
    <s v=""/>
    <s v=""/>
    <s v=""/>
    <s v=""/>
    <s v=""/>
    <s v="10/10/2025"/>
    <n v="-9"/>
    <x v="1"/>
    <x v="1"/>
  </r>
  <r>
    <s v="TEN-1870"/>
    <s v="2025"/>
    <x v="2"/>
    <s v="PwC"/>
    <x v="0"/>
    <x v="52"/>
    <x v="0"/>
    <x v="2"/>
    <s v="Production and Inventory"/>
    <s v="Receiving"/>
    <x v="5"/>
    <s v=""/>
    <s v="PINV-06"/>
    <s v=""/>
    <s v="(Barcelona) (Performance Solutions)  - Management Self-Testing 2025"/>
    <s v="Wrong Inventory Posting due to multiple PO"/>
    <s v="It is updated wrongly in inventory to consignment instead of property. PO 5500040526 wrong, PO correct 5500040289. Delivery note 5003739534. Reference X0000047004"/>
    <s v=""/>
    <s v=""/>
    <s v="The logistic employee who do the goods entry, it must be informed of whatever change on PO instead of using the wrong PO which appearing on delivery note of vendor"/>
    <x v="0"/>
    <x v="3"/>
    <s v=""/>
    <s v="Ricardo Gonzalez/Gloria Samper, Logistics Manager, Financial Specialist"/>
    <s v="Open"/>
    <s v=""/>
    <x v="2"/>
    <s v=""/>
    <s v=""/>
    <s v="N/A"/>
    <s v="Gupta"/>
    <s v="A"/>
    <s v=""/>
    <s v=""/>
    <s v=""/>
    <s v=""/>
    <s v=""/>
    <s v=""/>
    <s v=""/>
    <s v=""/>
    <s v=""/>
    <s v=""/>
    <s v=""/>
    <s v=""/>
    <s v=""/>
    <s v=""/>
    <s v=""/>
    <s v=""/>
    <s v=""/>
    <s v=""/>
    <s v="10/10/2025"/>
    <n v="-9"/>
    <x v="1"/>
    <x v="1"/>
  </r>
  <r>
    <s v="TEN-1871"/>
    <s v="2025"/>
    <x v="2"/>
    <s v="PwC"/>
    <x v="0"/>
    <x v="52"/>
    <x v="0"/>
    <x v="2"/>
    <s v="Production and Inventory"/>
    <s v="Receiving"/>
    <x v="29"/>
    <s v=""/>
    <s v="PINV-07"/>
    <s v=""/>
    <s v="(Barcelona) (Performance Solutions)  - Management Self-Testing 2025"/>
    <s v="Purchase orders and return authorizations are  not closed by the system upon goods receipt"/>
    <s v="PO 4500266284 not closed."/>
    <s v=""/>
    <s v=""/>
    <s v="Remember the policy of the company to follow the instructions"/>
    <x v="0"/>
    <x v="14"/>
    <s v=""/>
    <s v="Ricardo Gonzalez/Gloria Samper, Logistics Manager, Financial Specialist"/>
    <s v="Open"/>
    <s v=""/>
    <x v="0"/>
    <s v=""/>
    <s v=""/>
    <s v="N/A"/>
    <s v="Gupta"/>
    <s v="A"/>
    <s v=""/>
    <s v=""/>
    <s v=""/>
    <s v=""/>
    <s v=""/>
    <s v=""/>
    <s v=""/>
    <s v=""/>
    <s v=""/>
    <s v=""/>
    <s v=""/>
    <s v=""/>
    <s v=""/>
    <s v=""/>
    <s v=""/>
    <s v=""/>
    <s v=""/>
    <s v=""/>
    <s v="10/10/2025"/>
    <n v="22"/>
    <x v="2"/>
    <x v="0"/>
  </r>
  <r>
    <s v="TEN-1872"/>
    <s v="2025"/>
    <x v="2"/>
    <s v="PwC"/>
    <x v="0"/>
    <x v="52"/>
    <x v="0"/>
    <x v="2"/>
    <s v="Production and Inventory"/>
    <s v="Receiving"/>
    <x v="28"/>
    <s v=""/>
    <s v="PINV-11"/>
    <s v=""/>
    <s v="(Barcelona) (Performance Solutions)  - Management Self-Testing 2025"/>
    <s v="System does not updates inventory costs in the sub-ledger based on the return authorization costs when goods are received"/>
    <s v="PO 5500040348 , reference X0753396061. price difference due to it wasn't updated the price into the system."/>
    <s v=""/>
    <s v=""/>
    <s v="The price must be updated into the system. Due to missing purchase manager, without back-up, this task is pending to assign to be solved"/>
    <x v="0"/>
    <x v="1"/>
    <s v=""/>
    <s v="Plant manager. Francesc Davant"/>
    <s v="Open"/>
    <s v=""/>
    <x v="1"/>
    <s v=""/>
    <s v=""/>
    <s v="N/A"/>
    <s v="Gupta"/>
    <s v="A"/>
    <s v=""/>
    <s v=""/>
    <s v=""/>
    <s v=""/>
    <s v=""/>
    <s v=""/>
    <s v=""/>
    <s v=""/>
    <s v=""/>
    <s v=""/>
    <s v=""/>
    <s v=""/>
    <s v=""/>
    <s v=""/>
    <s v=""/>
    <s v=""/>
    <s v=""/>
    <s v=""/>
    <s v="10/10/2025"/>
    <n v="-40"/>
    <x v="1"/>
    <x v="1"/>
  </r>
  <r>
    <s v="TEN-1873"/>
    <s v="2025"/>
    <x v="2"/>
    <s v="PwC"/>
    <x v="0"/>
    <x v="52"/>
    <x v="0"/>
    <x v="2"/>
    <s v="Production and Inventory"/>
    <s v="Shipping"/>
    <x v="37"/>
    <s v=""/>
    <s v="PINV-35"/>
    <s v=""/>
    <s v="(Barcelona) (Performance Solutions)  - Management Self-Testing 2025"/>
    <s v="System does not relieves inventory quantity based on shipment"/>
    <s v="It doesn't appear the inventory to do the shipment. Example Brembo customer"/>
    <s v=""/>
    <s v=""/>
    <s v="Do an inventory of finishing good, analyze the differences, figure out where it was the problem to solve this issue and after remember the process of production"/>
    <x v="0"/>
    <x v="10"/>
    <s v=""/>
    <s v="Esmeralda Tabernero/ Ricardo Gonzalez, Plant Finance leader/ Logistics Manager"/>
    <s v="Open"/>
    <s v=""/>
    <x v="0"/>
    <s v=""/>
    <s v=""/>
    <s v="N/A"/>
    <s v="Gupta"/>
    <s v="A, R&amp;O"/>
    <s v=""/>
    <s v=""/>
    <s v=""/>
    <s v=""/>
    <s v=""/>
    <s v=""/>
    <s v=""/>
    <s v=""/>
    <s v=""/>
    <s v=""/>
    <s v=""/>
    <s v=""/>
    <s v=""/>
    <s v=""/>
    <s v=""/>
    <s v=""/>
    <s v=""/>
    <s v=""/>
    <s v="10/10/2025"/>
    <n v="21"/>
    <x v="2"/>
    <x v="0"/>
  </r>
  <r>
    <s v="TEN-1874"/>
    <s v="2025"/>
    <x v="2"/>
    <s v="PwC"/>
    <x v="0"/>
    <x v="52"/>
    <x v="0"/>
    <x v="2"/>
    <s v="Production and Inventory"/>
    <s v="Adjustments &amp; Period-end Close for Production and inventory"/>
    <x v="28"/>
    <s v=""/>
    <s v="PINV-40"/>
    <s v=""/>
    <s v="(Barcelona) (Performance Solutions)  - Management Self-Testing 2025"/>
    <s v="Incorrect stock balance"/>
    <s v="The stock is wrong. It wasn't possible to calculate the accrual"/>
    <s v=""/>
    <s v=""/>
    <s v="Do an inventory count and adjust the difference, update the cost"/>
    <x v="0"/>
    <x v="3"/>
    <s v=""/>
    <s v="Esmeralda Tabernero/ Ricardo Gonzalez, Plant Finance leader/ Logistics Manager"/>
    <s v="Open"/>
    <s v=""/>
    <x v="2"/>
    <s v=""/>
    <s v=""/>
    <s v="N/A"/>
    <s v="Gupta"/>
    <s v="V"/>
    <s v=""/>
    <s v=""/>
    <s v=""/>
    <s v=""/>
    <s v=""/>
    <s v=""/>
    <s v=""/>
    <s v=""/>
    <s v=""/>
    <s v=""/>
    <s v=""/>
    <s v=""/>
    <s v=""/>
    <s v=""/>
    <s v=""/>
    <s v=""/>
    <s v=""/>
    <s v=""/>
    <s v="10/10/2025"/>
    <n v="-9"/>
    <x v="1"/>
    <x v="1"/>
  </r>
  <r>
    <s v="TEN-1875"/>
    <s v="2025"/>
    <x v="2"/>
    <s v="PwC"/>
    <x v="0"/>
    <x v="52"/>
    <x v="0"/>
    <x v="2"/>
    <s v="Production and Inventory"/>
    <s v="Adjustments &amp; Period-end Close for Production and inventory"/>
    <x v="28"/>
    <s v=""/>
    <s v="PINV-41"/>
    <s v=""/>
    <s v="(Barcelona) (Performance Solutions)  - Management Self-Testing 2025"/>
    <s v="Incorrect stock balance"/>
    <s v="The stock is wrong. It wasn't possible to calculate the LCM"/>
    <s v=""/>
    <s v=""/>
    <s v="Do an inventory count and adjust the difference, update the cost"/>
    <x v="0"/>
    <x v="3"/>
    <s v=""/>
    <s v="Esmeralda Tabernero/ Ricardo Gonzalez, Plant Finance leader/ Logistics Manager"/>
    <s v="Open"/>
    <s v=""/>
    <x v="2"/>
    <s v=""/>
    <s v=""/>
    <s v="N/A"/>
    <s v="Gupta"/>
    <s v="V"/>
    <s v=""/>
    <s v=""/>
    <s v=""/>
    <s v=""/>
    <s v=""/>
    <s v=""/>
    <s v=""/>
    <s v=""/>
    <s v=""/>
    <s v=""/>
    <s v=""/>
    <s v=""/>
    <s v=""/>
    <s v=""/>
    <s v=""/>
    <s v=""/>
    <s v=""/>
    <s v=""/>
    <s v="10/10/2025"/>
    <n v="-9"/>
    <x v="1"/>
    <x v="1"/>
  </r>
  <r>
    <s v="TEN-1876"/>
    <s v="2025"/>
    <x v="2"/>
    <s v="PwC"/>
    <x v="0"/>
    <x v="52"/>
    <x v="0"/>
    <x v="2"/>
    <s v="Production and Inventory"/>
    <s v="Adjustments &amp; Period-end Close for Production and inventory"/>
    <x v="38"/>
    <s v=""/>
    <s v="PINV-43"/>
    <s v=""/>
    <s v="(Barcelona) (Performance Solutions)  - Management Self-Testing 2025"/>
    <s v="Consigned inventory on hand is not segregated"/>
    <s v="We received goods from Tribotecc not related to consignment stock but we posted as consignment."/>
    <s v=""/>
    <s v=""/>
    <s v="The logistic employee who do the goods entry, it must be informed of whatever change on PO instead of using the wrong PO which appearing on delivery note of vendor"/>
    <x v="0"/>
    <x v="3"/>
    <s v=""/>
    <s v="Esmeralda Tabernero/ Ricardo Gonzalez, Plant Finance leader/ Logistics Manager"/>
    <s v="Open"/>
    <s v=""/>
    <x v="2"/>
    <s v=""/>
    <s v=""/>
    <s v="N/A"/>
    <s v="Gupta"/>
    <s v="E/O"/>
    <s v=""/>
    <s v=""/>
    <s v=""/>
    <s v=""/>
    <s v=""/>
    <s v=""/>
    <s v=""/>
    <s v=""/>
    <s v=""/>
    <s v=""/>
    <s v=""/>
    <s v=""/>
    <s v=""/>
    <s v=""/>
    <s v=""/>
    <s v=""/>
    <s v=""/>
    <s v=""/>
    <s v="10/10/2025"/>
    <n v="-9"/>
    <x v="1"/>
    <x v="1"/>
  </r>
  <r>
    <s v="TEN-1877"/>
    <s v="2025"/>
    <x v="2"/>
    <s v="PwC"/>
    <x v="0"/>
    <x v="52"/>
    <x v="0"/>
    <x v="2"/>
    <s v="Production and Inventory"/>
    <s v="Adjustments &amp; Period-end Close for Production and inventory"/>
    <x v="28"/>
    <s v=""/>
    <s v="PINV-45"/>
    <s v=""/>
    <s v="(Barcelona) (Performance Solutions)  - Management Self-Testing 2025"/>
    <s v="Incorrect stock balance"/>
    <s v="The stock is wrong. It wasn't possible to calculate the E&amp;O"/>
    <s v=""/>
    <s v=""/>
    <s v="Do an inventory count and adjust the difference, update the cost"/>
    <x v="0"/>
    <x v="3"/>
    <s v=""/>
    <s v="Esmeralda Tabernero/ Ricardo Gonzalez, Plant Finance leader/ Logistics Manager"/>
    <s v="Open"/>
    <s v=""/>
    <x v="2"/>
    <s v=""/>
    <s v=""/>
    <s v="N/A"/>
    <s v="Gupta"/>
    <s v="R&amp;O, V"/>
    <s v=""/>
    <s v=""/>
    <s v=""/>
    <s v=""/>
    <s v=""/>
    <s v=""/>
    <s v=""/>
    <s v=""/>
    <s v=""/>
    <s v=""/>
    <s v=""/>
    <s v=""/>
    <s v=""/>
    <s v=""/>
    <s v=""/>
    <s v=""/>
    <s v=""/>
    <s v=""/>
    <s v="10/10/2025"/>
    <n v="-9"/>
    <x v="1"/>
    <x v="1"/>
  </r>
  <r>
    <s v="TEN-1878"/>
    <s v="2025"/>
    <x v="2"/>
    <s v="PwC"/>
    <x v="0"/>
    <x v="52"/>
    <x v="0"/>
    <x v="2"/>
    <s v="Production and Inventory"/>
    <s v="Adjustments &amp; Period-end Close for Production and inventory"/>
    <x v="28"/>
    <s v=""/>
    <s v="PINV-46"/>
    <s v=""/>
    <s v="(Barcelona) (Performance Solutions)  - Management Self-Testing 2025"/>
    <s v="Incorrect stock balance"/>
    <s v="The stock is wrong. It wasn't possible to calculate the accrual"/>
    <s v=""/>
    <s v=""/>
    <s v="Do an inventory count and adjust the difference, update the cost"/>
    <x v="0"/>
    <x v="3"/>
    <s v=""/>
    <s v="Esmeralda Tabernero/ Ricardo Gonzalez, Plant Finance leader/ Logistics Manager"/>
    <s v="Open"/>
    <s v=""/>
    <x v="2"/>
    <s v=""/>
    <s v=""/>
    <s v="N/A"/>
    <s v="Gupta"/>
    <s v="R&amp;O, V"/>
    <s v=""/>
    <s v=""/>
    <s v=""/>
    <s v=""/>
    <s v=""/>
    <s v=""/>
    <s v=""/>
    <s v=""/>
    <s v=""/>
    <s v=""/>
    <s v=""/>
    <s v=""/>
    <s v=""/>
    <s v=""/>
    <s v=""/>
    <s v=""/>
    <s v=""/>
    <s v=""/>
    <s v="10/10/2025"/>
    <n v="-9"/>
    <x v="1"/>
    <x v="1"/>
  </r>
  <r>
    <s v="TEN-1879"/>
    <s v="2025"/>
    <x v="2"/>
    <s v="PwC"/>
    <x v="0"/>
    <x v="53"/>
    <x v="0"/>
    <x v="21"/>
    <s v="Production and Inventory"/>
    <s v="Adjustments &amp; Period-end Close for Production and inventory"/>
    <x v="20"/>
    <s v=""/>
    <s v="PINV-01"/>
    <s v=""/>
    <s v="(Tepotzotlan - Friction) (Performance Solutions)  - Management Self-Testing 2025"/>
    <s v="Cycle counts are performed in accordance with policy"/>
    <s v="We identify that there are not systematically cycle counts performed by the plant."/>
    <s v=""/>
    <s v=""/>
    <s v="The Materials Manager and Controller should stablish the cycle counts calendar and ensure the counts are performed in timely manner. We should identify and quest the necessary resources to perform this key activity."/>
    <x v="0"/>
    <x v="10"/>
    <s v=""/>
    <s v="Cesar Vega, Omar Espinoza, Supply Chain Manager/Plant Finance leader"/>
    <s v="Open"/>
    <s v=""/>
    <x v="0"/>
    <s v=""/>
    <s v=""/>
    <s v="N/A"/>
    <s v="Gupta"/>
    <s v="A, C, E/O"/>
    <s v=""/>
    <s v=""/>
    <s v=""/>
    <s v=""/>
    <s v=""/>
    <s v=""/>
    <s v=""/>
    <s v=""/>
    <s v=""/>
    <s v=""/>
    <s v=""/>
    <s v=""/>
    <s v=""/>
    <s v=""/>
    <s v=""/>
    <s v=""/>
    <s v=""/>
    <s v=""/>
    <s v="10/10/2025"/>
    <n v="21"/>
    <x v="2"/>
    <x v="0"/>
  </r>
  <r>
    <s v="TEN-1880"/>
    <s v="2025"/>
    <x v="2"/>
    <s v="PwC"/>
    <x v="0"/>
    <x v="54"/>
    <x v="2"/>
    <x v="5"/>
    <s v="Payroll"/>
    <s v="Adjustments &amp; Period-end Close for Payroll"/>
    <x v="14"/>
    <s v=""/>
    <s v="PAYR-22"/>
    <s v=""/>
    <s v="(Bhiwadi (FMG)) (Powertrain)   - Management Self-Testing 2025"/>
    <s v="Lack of available Documents - No payroll register to reconcile"/>
    <s v="There is no payroll register available with HR,  HR team is processing salary on wage report,  HR Team has raised the ticket with IT Team"/>
    <s v=""/>
    <s v=""/>
    <s v="HR team has raised the ticket with IT team for Payroll Register"/>
    <x v="2"/>
    <x v="1"/>
    <s v=""/>
    <s v="Yogesh Gupta (Head HR)"/>
    <s v="Open"/>
    <s v=""/>
    <x v="1"/>
    <s v=""/>
    <s v=""/>
    <s v="N/A"/>
    <s v="Gupta"/>
    <s v="A, C, CO, E/O, P&amp;D, R&amp;O, V"/>
    <s v=""/>
    <s v=""/>
    <s v=""/>
    <s v=""/>
    <s v=""/>
    <s v=""/>
    <s v=""/>
    <s v=""/>
    <s v=""/>
    <s v=""/>
    <s v=""/>
    <s v=""/>
    <s v=""/>
    <s v=""/>
    <s v=""/>
    <s v=""/>
    <s v=""/>
    <s v=""/>
    <s v="10/10/2025"/>
    <n v="-40"/>
    <x v="1"/>
    <x v="1"/>
  </r>
  <r>
    <s v="TEN-1881"/>
    <s v="2025"/>
    <x v="2"/>
    <s v="PwC"/>
    <x v="0"/>
    <x v="54"/>
    <x v="2"/>
    <x v="5"/>
    <s v="Production and Inventory"/>
    <s v="Adjustments &amp; Period-end Close for Production and inventory"/>
    <x v="35"/>
    <s v=""/>
    <s v="PINV-39"/>
    <s v=""/>
    <s v="(Bhiwadi (FMG)) (Powertrain)   - Management Self-Testing 2025"/>
    <s v="Lack of available Documents"/>
    <s v=" Inventory related working, no evidence in documents where Production and SCM reviewed the inventory. "/>
    <s v=""/>
    <s v=""/>
    <s v="More documentation to be needed with proper planning and communication upon inventory targets and tasks with Production team. "/>
    <x v="0"/>
    <x v="10"/>
    <s v=""/>
    <s v="Ganesh Gairola and Mohinder Shridhar, Senior Manager/DGM Quality"/>
    <s v="Open"/>
    <s v=""/>
    <x v="0"/>
    <s v=""/>
    <s v=""/>
    <s v="N/A"/>
    <s v="Gupta"/>
    <s v="A, C, CO, E/O"/>
    <s v=""/>
    <s v=""/>
    <s v=""/>
    <s v=""/>
    <s v=""/>
    <s v=""/>
    <s v=""/>
    <s v=""/>
    <s v=""/>
    <s v=""/>
    <s v=""/>
    <s v=""/>
    <s v=""/>
    <s v=""/>
    <s v=""/>
    <s v=""/>
    <s v=""/>
    <s v=""/>
    <s v="10/10/2025"/>
    <n v="21"/>
    <x v="2"/>
    <x v="0"/>
  </r>
  <r>
    <s v="TEN-1882"/>
    <s v="2025"/>
    <x v="2"/>
    <s v="PwC"/>
    <x v="0"/>
    <x v="55"/>
    <x v="0"/>
    <x v="4"/>
    <s v="Production and Inventory"/>
    <s v="Adjustments &amp; Period-end Close for Production and inventory"/>
    <x v="0"/>
    <s v=""/>
    <s v="PINV-02"/>
    <s v=""/>
    <s v="(AST Ermua) (Performance Solutions)   - Management Self-Testing 2025"/>
    <s v="Incorrect inventory classification"/>
    <s v="MRO stock is splitted between spare parts and consumables. The categorization of several part numbers as either one or the other is in discussion, as no clear criteria are established to determine when an item is one or the other._x000a_As a consequence, the BSR for the stock booked in each category cannot be considered correct, as we cannot rely on the support documentation provided"/>
    <s v=""/>
    <s v=""/>
    <s v="The main problem is related with the PN defined as Spare parts. The objective is split from this category all the PN that are perisable tooling. The action plan to achieve this objective is:_x000a_- Review of each spare part to identify those ones that are perisable tooling by Ermua Maintenance department_x000a_- Update the status to perisable tooling in SAP_x000a_- Update obsolescence calculation for MRO material"/>
    <x v="0"/>
    <x v="1"/>
    <s v=""/>
    <s v="Jon Larrasquitu, Ermua Plant Maintenance Team"/>
    <s v="Open"/>
    <s v=""/>
    <x v="1"/>
    <s v=""/>
    <s v=""/>
    <s v="N/A"/>
    <s v="Gupta"/>
    <s v="A, C, CO, E/O, P&amp;D, R&amp;O, V"/>
    <s v=""/>
    <s v=""/>
    <s v=""/>
    <s v=""/>
    <s v=""/>
    <s v=""/>
    <s v=""/>
    <s v=""/>
    <s v=""/>
    <s v=""/>
    <s v=""/>
    <s v=""/>
    <s v=""/>
    <s v=""/>
    <s v=""/>
    <s v=""/>
    <s v=""/>
    <s v=""/>
    <s v="10/10/2025"/>
    <n v="-40"/>
    <x v="1"/>
    <x v="1"/>
  </r>
  <r>
    <s v="TEN-1883"/>
    <s v="2025"/>
    <x v="2"/>
    <s v="PwC"/>
    <x v="0"/>
    <x v="55"/>
    <x v="0"/>
    <x v="4"/>
    <s v="Production and Inventory"/>
    <s v="Production and Costing"/>
    <x v="33"/>
    <s v=""/>
    <s v="PINV-47"/>
    <s v=""/>
    <s v="(AST Ermua) (Performance Solutions)   - Management Self-Testing 2025"/>
    <s v="Scrap was not invoiced in the correct period."/>
    <s v="In two of the four months of the reference period, some scrap outside the ordinary productive process has been sent to the scrap vendor without any delivery note being generated in the plant. As a consequence, that scrap was not invoiced in the correct period."/>
    <s v=""/>
    <s v=""/>
    <s v="Reinforce in Ermua plant scrap sales process. Main point is to centralize all the process in one Logistic member. "/>
    <x v="0"/>
    <x v="1"/>
    <s v=""/>
    <s v="Jon Larrasquitu, Ermua Logistic Team"/>
    <s v="Open"/>
    <s v=""/>
    <x v="1"/>
    <s v=""/>
    <s v=""/>
    <s v="N/A"/>
    <s v="Gupta"/>
    <s v="A, E/O, R&amp;O, V"/>
    <s v=""/>
    <s v=""/>
    <s v=""/>
    <s v=""/>
    <s v=""/>
    <s v=""/>
    <s v=""/>
    <s v=""/>
    <s v=""/>
    <s v=""/>
    <s v=""/>
    <s v=""/>
    <s v=""/>
    <s v=""/>
    <s v=""/>
    <s v=""/>
    <s v=""/>
    <s v=""/>
    <s v="10/10/2025"/>
    <n v="-40"/>
    <x v="1"/>
    <x v="1"/>
  </r>
  <r>
    <s v="TEN-1884"/>
    <s v="2025"/>
    <x v="2"/>
    <s v="PwC"/>
    <x v="0"/>
    <x v="55"/>
    <x v="0"/>
    <x v="4"/>
    <s v="Revenue and Receivables"/>
    <s v="Adjustments &amp; Period-end Close for Revenue &amp; receivables"/>
    <x v="25"/>
    <s v=""/>
    <s v="REVE-59"/>
    <s v=""/>
    <s v="(AST Ermua) (Performance Solutions)   - Management Self-Testing 2025"/>
    <s v="Timely issue of invoices"/>
    <s v="Two main problems: 1) Issue with deliveries from Engineering center in Ermua (Tenneco Innovación) to TAECC in Poland that are not invoiced in a timely manner._x000a_2) Issue with some of the  T7 units supplied in JIS to VW, that are invoiced a day after supplied to customer (est impact 2k€ per day)"/>
    <s v=""/>
    <s v=""/>
    <s v="1) Ermua and MEEC are working for establishing a procedure to invoice all the material that is sent from Ermua for prototype building._x000a_2) As for the T7 invoicing issues, IT is working on a solution to avoid this problem"/>
    <x v="2"/>
    <x v="1"/>
    <s v=""/>
    <s v="Jon Larrasquitu, MEEC prototype material  - MEEC, Ermua Logistic Team, Innovación Team_x000a__x000a_T7 - IT, Ermua Logistic Team, Ermua Finance Team"/>
    <s v="Open"/>
    <s v=""/>
    <x v="1"/>
    <s v=""/>
    <s v=""/>
    <s v="N/A"/>
    <s v="Gupta"/>
    <s v="C, CO, V"/>
    <s v=""/>
    <s v=""/>
    <s v=""/>
    <s v=""/>
    <s v=""/>
    <s v=""/>
    <s v=""/>
    <s v=""/>
    <s v=""/>
    <s v=""/>
    <s v=""/>
    <s v=""/>
    <s v=""/>
    <s v=""/>
    <s v=""/>
    <s v=""/>
    <s v=""/>
    <s v=""/>
    <s v="10/10/2025"/>
    <n v="-40"/>
    <x v="1"/>
    <x v="1"/>
  </r>
  <r>
    <s v="TEN-1886"/>
    <s v="2025"/>
    <x v="2"/>
    <s v="PwC"/>
    <x v="0"/>
    <x v="56"/>
    <x v="2"/>
    <x v="5"/>
    <s v="Leases"/>
    <s v="Lease Accounting Completeness"/>
    <x v="0"/>
    <s v=""/>
    <s v="LEAS-09"/>
    <s v=""/>
    <s v="(Sealing JV Victor Gaskets) (Powertrain)   - Management Self-Testing 2025"/>
    <s v="Lease agreement for the period was not updated by corporate lease accounting team"/>
    <s v="Lease agreement for the period was not updated by corporate lease accounting team"/>
    <s v=""/>
    <s v=""/>
    <s v=" Finance Management will send an email to Corporate Lease with the new lease information.  "/>
    <x v="0"/>
    <x v="1"/>
    <s v=""/>
    <s v="Dhaneswar Das, Assistant Finance Controller"/>
    <s v="Open"/>
    <s v=""/>
    <x v="1"/>
    <s v=""/>
    <s v=""/>
    <s v="N/A"/>
    <s v="Gupta"/>
    <s v="A, C, CO, E/O, P&amp;D, R&amp;O, V"/>
    <s v=""/>
    <s v=""/>
    <s v=""/>
    <s v=""/>
    <s v=""/>
    <s v=""/>
    <s v=""/>
    <s v=""/>
    <s v=""/>
    <s v=""/>
    <s v=""/>
    <s v=""/>
    <s v=""/>
    <s v=""/>
    <s v=""/>
    <s v=""/>
    <s v=""/>
    <s v=""/>
    <s v="10/10/2025"/>
    <n v="-40"/>
    <x v="1"/>
    <x v="1"/>
  </r>
  <r>
    <s v="TEN-1887"/>
    <s v="2025"/>
    <x v="2"/>
    <s v="PwC"/>
    <x v="0"/>
    <x v="56"/>
    <x v="2"/>
    <x v="5"/>
    <s v="Payroll"/>
    <s v="Time Recording"/>
    <x v="26"/>
    <s v=""/>
    <s v="PAYR-03"/>
    <s v=""/>
    <s v="(Sealing JV Victor Gaskets) (Powertrain)   - Management Self-Testing 2025"/>
    <s v="Non-compliance to labor law"/>
    <s v="Workers are not allowed to work in excess of 12 hours per day per India law."/>
    <s v=""/>
    <s v=""/>
    <s v="Operations Management and Finance Management will work together to ensure that the weekly schedule for hourly workers does not exceed 12 hours per day.  In addition the line supervisor will ensure that employees do not work more than 12 hours on any given day."/>
    <x v="0"/>
    <x v="1"/>
    <s v=""/>
    <s v="Dhaneswar Das, Assistant Finance Controller"/>
    <s v="Open"/>
    <s v=""/>
    <x v="1"/>
    <s v=""/>
    <s v=""/>
    <s v="N/A"/>
    <s v="Gupta"/>
    <s v="A, E/O"/>
    <s v=""/>
    <s v=""/>
    <s v=""/>
    <s v=""/>
    <s v=""/>
    <s v=""/>
    <s v=""/>
    <s v=""/>
    <s v=""/>
    <s v=""/>
    <s v=""/>
    <s v=""/>
    <s v=""/>
    <s v=""/>
    <s v=""/>
    <s v=""/>
    <s v=""/>
    <s v=""/>
    <s v="10/10/2025"/>
    <n v="-40"/>
    <x v="1"/>
    <x v="1"/>
  </r>
  <r>
    <s v="TEN-1888"/>
    <s v="2025"/>
    <x v="2"/>
    <s v="PwC"/>
    <x v="0"/>
    <x v="13"/>
    <x v="2"/>
    <x v="5"/>
    <s v="Payroll"/>
    <s v="Time Recording"/>
    <x v="26"/>
    <s v=""/>
    <s v="PAYR-03"/>
    <s v=""/>
    <s v="(Parwanoo - Bearings) (Powertrain)    - Management Self-Testing 2025"/>
    <s v="Non-compliance to labor law"/>
    <s v="As per sec 65(3) of Factories Act,1948; work hours of any worker shall not exceed twelve hours in a day however in our samples we have found that we are not comply this condition. "/>
    <s v=""/>
    <s v=""/>
    <s v="Om Parkash - HR Head will create a process to ensure that time worked by employees is reviewed daily and any employee that has worked more than 12 hours in a day is reported Krishan Kumar - HR Executive immediately.  "/>
    <x v="0"/>
    <x v="1"/>
    <s v=""/>
    <s v="Om Parkash, HR Head"/>
    <s v="Open"/>
    <s v=""/>
    <x v="1"/>
    <s v=""/>
    <s v=""/>
    <s v="N/A"/>
    <s v="Gupta"/>
    <s v="A, E/O"/>
    <s v=""/>
    <s v=""/>
    <s v=""/>
    <s v=""/>
    <s v=""/>
    <s v=""/>
    <s v=""/>
    <s v=""/>
    <s v=""/>
    <s v=""/>
    <s v=""/>
    <s v=""/>
    <s v=""/>
    <s v=""/>
    <s v=""/>
    <s v=""/>
    <s v=""/>
    <s v=""/>
    <s v="10/10/2025"/>
    <n v="-40"/>
    <x v="1"/>
    <x v="1"/>
  </r>
  <r>
    <s v="TEN-1889"/>
    <s v="2025"/>
    <x v="2"/>
    <s v="PwC"/>
    <x v="0"/>
    <x v="13"/>
    <x v="2"/>
    <x v="5"/>
    <s v="Payroll"/>
    <s v="Adjustments &amp; Period-end Close for Payroll"/>
    <x v="21"/>
    <s v=""/>
    <s v="PAYR-22"/>
    <s v=""/>
    <s v="(Parwanoo - Bearings) (Powertrain)    - Management Self-Testing 2025"/>
    <s v="There is no payroll register available with HR,  HR team is processing salary on wage report,  HR Team has raised the ticket with IT Team`"/>
    <s v="There is no payroll register available with HR,  HR team is processing salary on wage report,  HR Team has raised the ticket with IT Team`"/>
    <s v=""/>
    <s v=""/>
    <s v="HR team has raised the ticket with IT team for Payroll Register_x000a_"/>
    <x v="2"/>
    <x v="1"/>
    <s v=""/>
    <s v="Yogesh Gupta, HR Head"/>
    <s v="Open"/>
    <s v=""/>
    <x v="1"/>
    <s v=""/>
    <s v=""/>
    <s v="N/A"/>
    <s v="Gupta"/>
    <s v="A, C, CO, E/O, P&amp;D, R&amp;O, V"/>
    <s v=""/>
    <s v=""/>
    <s v=""/>
    <s v=""/>
    <s v=""/>
    <s v=""/>
    <s v=""/>
    <s v=""/>
    <s v=""/>
    <s v=""/>
    <s v=""/>
    <s v=""/>
    <s v=""/>
    <s v=""/>
    <s v=""/>
    <s v=""/>
    <s v=""/>
    <s v=""/>
    <s v="10/10/2025"/>
    <n v="-40"/>
    <x v="1"/>
    <x v="1"/>
  </r>
  <r>
    <s v="TEN-1890"/>
    <s v="2025"/>
    <x v="2"/>
    <s v="PwC"/>
    <x v="0"/>
    <x v="17"/>
    <x v="4"/>
    <x v="11"/>
    <s v="Revenue and Receivables"/>
    <s v="Order Processing"/>
    <x v="14"/>
    <s v=""/>
    <s v="REVE-09"/>
    <s v=""/>
    <s v="SSC Certification  - AR (IceCo) - Management Self-Testing 2025"/>
    <s v="Any sales order that superseded the approved customer limit was not reviewed and approved by management prior to processing."/>
    <s v="Approvals not done thru the workflow system"/>
    <s v=""/>
    <s v=""/>
    <s v="Workflow review done by the appropriate people monthly( due to several transitions along 2024-2025 approval process got lost and was restarted Q2 post stabilization); now process in place with current approvers until new process owners are in place"/>
    <x v="0"/>
    <x v="1"/>
    <s v=""/>
    <s v="NA CA-Sr AR Manager/Sr OTI Finance Manager"/>
    <s v="Open"/>
    <s v=""/>
    <x v="1"/>
    <s v=""/>
    <s v=""/>
    <s v="N/A"/>
    <s v="Gupta"/>
    <s v="E/O, V"/>
    <s v=""/>
    <s v=""/>
    <s v=""/>
    <s v=""/>
    <s v=""/>
    <s v=""/>
    <s v=""/>
    <s v=""/>
    <s v=""/>
    <s v=""/>
    <s v=""/>
    <s v=""/>
    <s v=""/>
    <s v=""/>
    <s v=""/>
    <s v=""/>
    <s v=""/>
    <s v=""/>
    <s v="10/10/2025"/>
    <n v="-40"/>
    <x v="1"/>
    <x v="1"/>
  </r>
  <r>
    <s v="TEN-1891"/>
    <s v="2025"/>
    <x v="2"/>
    <s v="PwC"/>
    <x v="0"/>
    <x v="17"/>
    <x v="4"/>
    <x v="11"/>
    <s v="Revenue and Receivables"/>
    <s v="Adjustments &amp; Period-end Close for Revenue &amp; receivables"/>
    <x v="35"/>
    <s v=""/>
    <s v="REVE-66"/>
    <s v=""/>
    <s v="SSC Certification  - AR (IceCo) - Management Self-Testing 2025"/>
    <s v="Periodic Review not performed for credit master file."/>
    <s v="CA NA - Reports were not run until June 2025 - no report to test between Jan to June "/>
    <s v=""/>
    <s v=""/>
    <s v="Although there were no transactions, control should be done every month; due to transitions and loss of information, training and people, this frequency was lost. Control will be reinstated to be run on a monthly basis moving forward."/>
    <x v="0"/>
    <x v="16"/>
    <s v=""/>
    <s v="Lisa Ball, Genpact AR Contractor"/>
    <s v="Open"/>
    <s v=""/>
    <x v="1"/>
    <s v=""/>
    <s v=""/>
    <s v="N/A"/>
    <s v="Gupta"/>
    <s v="A"/>
    <s v=""/>
    <s v=""/>
    <s v=""/>
    <s v=""/>
    <s v=""/>
    <s v=""/>
    <s v=""/>
    <s v=""/>
    <s v=""/>
    <s v=""/>
    <s v=""/>
    <s v=""/>
    <s v=""/>
    <s v=""/>
    <s v=""/>
    <s v=""/>
    <s v=""/>
    <s v=""/>
    <s v="10/10/2025"/>
    <n v="-55"/>
    <x v="1"/>
    <x v="1"/>
  </r>
  <r>
    <s v="TEN-1892"/>
    <s v="2025"/>
    <x v="2"/>
    <s v="PwC"/>
    <x v="0"/>
    <x v="57"/>
    <x v="6"/>
    <x v="18"/>
    <s v="Period End Financial Reporting"/>
    <s v="Adjustments &amp; Period-end Close for Period-end Financial Reporting"/>
    <x v="35"/>
    <s v=""/>
    <s v="PEFR-73"/>
    <s v=""/>
    <s v="(Regional Clean Air North America (Grace Lake)) (Clean Air) - Management Self-Testing 2025"/>
    <s v="Management did not reviewed and approves workers compensation reserves"/>
    <s v="Entries are booked by an entity outside of the Regional CA group and not communicated nor understood by the Regional CA group, therefore."/>
    <s v=""/>
    <s v=""/>
    <s v="Follow up with Bucharest/Genpact (or wherever that leads you….) to obtain the most recent analysis to review.  Once received, gain full understanding of calculation to determine if the reserves are at the appropriate levels."/>
    <x v="0"/>
    <x v="3"/>
    <s v=""/>
    <s v="Ingrid Luna, Finance Manager"/>
    <s v="Open"/>
    <s v=""/>
    <x v="2"/>
    <s v=""/>
    <s v=""/>
    <s v="N/A"/>
    <s v="Gupta"/>
    <s v="V"/>
    <s v=""/>
    <s v=""/>
    <s v=""/>
    <s v=""/>
    <s v=""/>
    <s v=""/>
    <s v=""/>
    <s v=""/>
    <s v=""/>
    <s v=""/>
    <s v=""/>
    <s v=""/>
    <s v=""/>
    <s v=""/>
    <s v=""/>
    <s v=""/>
    <s v=""/>
    <s v=""/>
    <s v="10/10/2025"/>
    <n v="-9"/>
    <x v="1"/>
    <x v="1"/>
  </r>
  <r>
    <s v="TEN-1894"/>
    <s v="2025"/>
    <x v="2"/>
    <s v="PwC"/>
    <x v="0"/>
    <x v="17"/>
    <x v="4"/>
    <x v="11"/>
    <s v="Revenue and Receivables"/>
    <s v="Adjustments &amp; Period-end Close for Revenue &amp; receivables"/>
    <x v="14"/>
    <s v=""/>
    <s v="REVE-62"/>
    <s v=""/>
    <s v="SSC Certification  - AR (IceCo) - Management Self-Testing 2025"/>
    <s v="Customer master file is reviewed and additions and changes are not approved by management"/>
    <s v="CA Deficiency- No Manager approval"/>
    <s v=""/>
    <s v=""/>
    <s v="Review for manager approval at time of changes ( due to several transitions along 2024-2025 approval process got lost and was restarted Q2 post stabilization); now process in place manual approval from direct manager "/>
    <x v="0"/>
    <x v="1"/>
    <s v=""/>
    <s v="NA CA Response-AR Global Process Leader"/>
    <s v="Open"/>
    <s v=""/>
    <x v="1"/>
    <s v=""/>
    <s v=""/>
    <s v="N/A"/>
    <s v="Gupta"/>
    <s v="A"/>
    <s v=""/>
    <s v=""/>
    <s v=""/>
    <s v=""/>
    <s v=""/>
    <s v=""/>
    <s v=""/>
    <s v=""/>
    <s v=""/>
    <s v=""/>
    <s v=""/>
    <s v=""/>
    <s v=""/>
    <s v=""/>
    <s v=""/>
    <s v=""/>
    <s v=""/>
    <s v=""/>
    <s v="10/10/2025"/>
    <n v="-40"/>
    <x v="1"/>
    <x v="1"/>
  </r>
  <r>
    <s v="TEN-1895"/>
    <s v="2025"/>
    <x v="2"/>
    <s v="PwC"/>
    <x v="0"/>
    <x v="53"/>
    <x v="0"/>
    <x v="21"/>
    <s v="Leases"/>
    <s v="Lease Accounting Completeness"/>
    <x v="14"/>
    <s v=""/>
    <s v="LEAS-09"/>
    <s v=""/>
    <s v="(Tepotzotlan - Friction) (Performance Solutions) - Management Self-Testing 2025"/>
    <s v="The account reconciliation is not mathematically accurate."/>
    <s v="The list of vehicles leased are not updated"/>
    <s v=""/>
    <s v=""/>
    <s v="Plant will report the updated changes on vehicles leased to Corporate Lease Accounting, to ensure the proper accounting treatment."/>
    <x v="0"/>
    <x v="10"/>
    <s v=""/>
    <s v="Omar Espinoza, _x0009_Plant Finance Leader"/>
    <s v="Open"/>
    <s v=""/>
    <x v="0"/>
    <s v=""/>
    <s v=""/>
    <s v="N/A"/>
    <s v="Gupta"/>
    <s v="A, C, CO, E/O, P&amp;D, R&amp;O, V"/>
    <s v=""/>
    <s v=""/>
    <s v=""/>
    <s v=""/>
    <s v=""/>
    <s v=""/>
    <s v=""/>
    <s v=""/>
    <s v=""/>
    <s v=""/>
    <s v=""/>
    <s v=""/>
    <s v=""/>
    <s v=""/>
    <s v=""/>
    <s v=""/>
    <s v=""/>
    <s v=""/>
    <s v="10/10/2025"/>
    <n v="21"/>
    <x v="2"/>
    <x v="0"/>
  </r>
  <r>
    <s v="TEN-1897"/>
    <s v="2025"/>
    <x v="2"/>
    <s v="PwC"/>
    <x v="0"/>
    <x v="58"/>
    <x v="2"/>
    <x v="5"/>
    <s v="Payroll"/>
    <s v="Adjustments &amp; Period-end Close for Payroll"/>
    <x v="21"/>
    <s v=""/>
    <s v="PAYR-22"/>
    <s v=""/>
    <s v="(Bangalore - Steel Rings) (Powertrain) - Management Self-Testing 2025"/>
    <s v="Payroll register is not available with the HR"/>
    <s v="There is no payroll register available with HR,  HR team is processing salary on wage report,  HR Team has raised the ticket with IT Team"/>
    <s v=""/>
    <s v=""/>
    <s v="_x000a_HR team to raise ticket with IT team for Payroll Register with summary matching to Salary JV"/>
    <x v="2"/>
    <x v="1"/>
    <s v=""/>
    <s v="Yogesh Gupta (Head HR)"/>
    <s v="Open"/>
    <s v=""/>
    <x v="1"/>
    <s v=""/>
    <s v=""/>
    <s v="N/A"/>
    <s v="Gupta"/>
    <s v="A, C, CO, E/O, P&amp;D, R&amp;O, V"/>
    <s v=""/>
    <s v=""/>
    <s v=""/>
    <s v=""/>
    <s v=""/>
    <s v=""/>
    <s v=""/>
    <s v=""/>
    <s v=""/>
    <s v=""/>
    <s v=""/>
    <s v=""/>
    <s v=""/>
    <s v=""/>
    <s v=""/>
    <s v=""/>
    <s v=""/>
    <s v=""/>
    <s v="10/10/2025"/>
    <n v="-40"/>
    <x v="1"/>
    <x v="1"/>
  </r>
  <r>
    <s v="TEN-1898"/>
    <s v="2025"/>
    <x v="2"/>
    <s v="PwC"/>
    <x v="0"/>
    <x v="58"/>
    <x v="2"/>
    <x v="5"/>
    <s v="Payroll"/>
    <s v="Adjustments &amp; Period-end Close for Payroll"/>
    <x v="21"/>
    <s v=""/>
    <s v="PAYR-23"/>
    <s v=""/>
    <s v="(Bangalore - Steel Rings) (Powertrain) - Management Self-Testing 2025"/>
    <s v="Consolidated HR Log is not available"/>
    <s v="No Consolidated HR Log is Available"/>
    <s v=""/>
    <s v=""/>
    <s v="HR will raise a ticket on this since consolidated report is not available in the present HR payroll system"/>
    <x v="2"/>
    <x v="11"/>
    <s v=""/>
    <s v="Prakash AS, HR Head"/>
    <s v="Open"/>
    <s v=""/>
    <x v="3"/>
    <s v=""/>
    <s v=""/>
    <s v="N/A"/>
    <s v="Gupta"/>
    <s v="A"/>
    <s v=""/>
    <s v=""/>
    <s v=""/>
    <s v=""/>
    <s v=""/>
    <s v=""/>
    <s v=""/>
    <s v=""/>
    <s v=""/>
    <s v=""/>
    <s v=""/>
    <s v=""/>
    <s v=""/>
    <s v=""/>
    <s v=""/>
    <s v=""/>
    <s v=""/>
    <s v=""/>
    <s v="10/10/2025"/>
    <n v="-130"/>
    <x v="1"/>
    <x v="1"/>
  </r>
  <r>
    <s v="TEN-1901"/>
    <s v="2025"/>
    <x v="2"/>
    <s v="PwC"/>
    <x v="0"/>
    <x v="59"/>
    <x v="2"/>
    <x v="5"/>
    <s v="Payroll"/>
    <s v="Adjustments &amp; Period-end Close for Payroll"/>
    <x v="21"/>
    <s v=""/>
    <s v="PAYR-22"/>
    <s v=""/>
    <s v="(Bangalore - Pistons) (Powertrain) - Management Self-Testing 2025"/>
    <s v="Payroll register is not available with the HR"/>
    <s v="There is no payroll register available with HR,  HR team is processing salary on wage report,  HR Team has raised the ticket with IT Team"/>
    <s v=""/>
    <s v=""/>
    <s v="HR team to raise ticket with IT team for Payroll Register with summary matching to Salary JV_x000a_"/>
    <x v="2"/>
    <x v="1"/>
    <s v=""/>
    <s v="Yogesh Gupta (Head HR)"/>
    <s v="Open"/>
    <s v=""/>
    <x v="1"/>
    <s v=""/>
    <s v=""/>
    <s v="N/A"/>
    <s v="Gupta"/>
    <s v="A, C, CO, E/O, P&amp;D, R&amp;O, V"/>
    <s v=""/>
    <s v=""/>
    <s v=""/>
    <s v=""/>
    <s v=""/>
    <s v=""/>
    <s v=""/>
    <s v=""/>
    <s v=""/>
    <s v=""/>
    <s v=""/>
    <s v=""/>
    <s v=""/>
    <s v=""/>
    <s v=""/>
    <s v=""/>
    <s v=""/>
    <s v=""/>
    <s v="10/10/2025"/>
    <n v="-40"/>
    <x v="1"/>
    <x v="1"/>
  </r>
  <r>
    <s v="TEN-1902"/>
    <s v="2025"/>
    <x v="2"/>
    <s v="PwC"/>
    <x v="0"/>
    <x v="59"/>
    <x v="2"/>
    <x v="5"/>
    <s v="Payroll"/>
    <s v="Adjustments &amp; Period-end Close for Payroll"/>
    <x v="21"/>
    <s v=""/>
    <s v="PAYR-23"/>
    <s v=""/>
    <s v="(Bangalore - Pistons) (Powertrain) - Management Self-Testing 2025"/>
    <s v="Consolidated HR Log is not available"/>
    <s v="No Consolidated HR Log is Available"/>
    <s v=""/>
    <s v=""/>
    <s v="HR will raise a ticket on this since consolidated report is not available in the present HR payroll system"/>
    <x v="2"/>
    <x v="11"/>
    <s v=""/>
    <s v="Prakash AS, HR Head"/>
    <s v="Open"/>
    <s v=""/>
    <x v="3"/>
    <s v=""/>
    <s v=""/>
    <s v="N/A"/>
    <s v="Gupta"/>
    <s v="A"/>
    <s v=""/>
    <s v=""/>
    <s v=""/>
    <s v=""/>
    <s v=""/>
    <s v=""/>
    <s v=""/>
    <s v=""/>
    <s v=""/>
    <s v=""/>
    <s v=""/>
    <s v=""/>
    <s v=""/>
    <s v=""/>
    <s v=""/>
    <s v=""/>
    <s v=""/>
    <s v=""/>
    <s v="10/10/2025"/>
    <n v="-130"/>
    <x v="1"/>
    <x v="1"/>
  </r>
  <r>
    <s v="TEN-1905"/>
    <s v="2025"/>
    <x v="2"/>
    <s v="PwC"/>
    <x v="0"/>
    <x v="60"/>
    <x v="2"/>
    <x v="5"/>
    <s v="Payroll"/>
    <s v="Adjustments &amp; Period-end Close for Payroll"/>
    <x v="21"/>
    <s v=""/>
    <s v="PAYR-22"/>
    <s v=""/>
    <s v="(Bangalore - Rings) (Powertrain) - Management Self-Testing 2025"/>
    <s v="Payroll register is not available with the HR"/>
    <s v="There is no payroll register available with HR,  HR team is processing salary on wage report,  HR Team has raised the ticket with IT Team"/>
    <s v=""/>
    <s v=""/>
    <s v="_x000a_HR team to raise ticket with IT team for Payroll Register with summary matching to Salary JV"/>
    <x v="2"/>
    <x v="1"/>
    <s v=""/>
    <s v="Yogesh Gupta (Head HR)"/>
    <s v="Open"/>
    <s v=""/>
    <x v="1"/>
    <s v=""/>
    <s v=""/>
    <s v="N/A"/>
    <s v="Gupta"/>
    <s v="A, C, CO, E/O, P&amp;D, R&amp;O, V"/>
    <s v=""/>
    <s v=""/>
    <s v=""/>
    <s v=""/>
    <s v=""/>
    <s v=""/>
    <s v=""/>
    <s v=""/>
    <s v=""/>
    <s v=""/>
    <s v=""/>
    <s v=""/>
    <s v=""/>
    <s v=""/>
    <s v=""/>
    <s v=""/>
    <s v=""/>
    <s v=""/>
    <s v="10/10/2025"/>
    <n v="-40"/>
    <x v="1"/>
    <x v="1"/>
  </r>
  <r>
    <s v="TEN-1906"/>
    <s v="2025"/>
    <x v="2"/>
    <s v="PwC"/>
    <x v="0"/>
    <x v="60"/>
    <x v="2"/>
    <x v="5"/>
    <s v="Payroll"/>
    <s v="Adjustments &amp; Period-end Close for Payroll"/>
    <x v="21"/>
    <s v=""/>
    <s v="PAYR-23"/>
    <s v=""/>
    <s v="(Bangalore - Rings) (Powertrain) - Management Self-Testing 2025"/>
    <s v="Consolidated HR Log is not available"/>
    <s v="No Consolidated HR Log is Available"/>
    <s v=""/>
    <s v=""/>
    <s v="HR will raise a ticket on this since consolidated report is not available in the present HR payroll system"/>
    <x v="2"/>
    <x v="11"/>
    <s v=""/>
    <s v="Prakash AS, HR Head"/>
    <s v="Open"/>
    <s v=""/>
    <x v="3"/>
    <s v=""/>
    <s v=""/>
    <s v="N/A"/>
    <s v="Gupta"/>
    <s v="A"/>
    <s v=""/>
    <s v=""/>
    <s v=""/>
    <s v=""/>
    <s v=""/>
    <s v=""/>
    <s v=""/>
    <s v=""/>
    <s v=""/>
    <s v=""/>
    <s v=""/>
    <s v=""/>
    <s v=""/>
    <s v=""/>
    <s v=""/>
    <s v=""/>
    <s v=""/>
    <s v=""/>
    <s v="10/10/2025"/>
    <n v="-130"/>
    <x v="1"/>
    <x v="1"/>
  </r>
  <r>
    <s v="TEN-1910"/>
    <s v="2025"/>
    <x v="2"/>
    <s v="PwC"/>
    <x v="0"/>
    <x v="61"/>
    <x v="2"/>
    <x v="10"/>
    <s v="Purchasing and Payables"/>
    <s v="Adjustments &amp; Period-end Close for Purchasing &amp; payables"/>
    <x v="0"/>
    <s v=""/>
    <s v="PAPA-39"/>
    <s v=""/>
    <s v="(South Bend) (Powertrain) - Management Self-Testing 2025"/>
    <s v="Approval not provided timely"/>
    <s v=" Approval did not meet the 10 day work day completion requirement."/>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ndirectly.  IT will be involved to quickly grant access to the reconciliation process documents/systems as expeditiously as possible._x000a_"/>
    <x v="2"/>
    <x v="10"/>
    <s v=""/>
    <s v="Mark MacInnis- Plant Controller/Jeff Fouts - Plant Controller"/>
    <s v="Open"/>
    <s v=""/>
    <x v="0"/>
    <s v=""/>
    <s v=""/>
    <s v="N/A"/>
    <s v="Gupta"/>
    <s v="C, E/O"/>
    <s v=""/>
    <s v=""/>
    <s v=""/>
    <s v=""/>
    <s v=""/>
    <s v=""/>
    <s v=""/>
    <s v=""/>
    <s v=""/>
    <s v=""/>
    <s v=""/>
    <s v=""/>
    <s v=""/>
    <s v=""/>
    <s v=""/>
    <s v=""/>
    <s v=""/>
    <s v=""/>
    <s v="10/10/2025"/>
    <n v="21"/>
    <x v="2"/>
    <x v="0"/>
  </r>
  <r>
    <s v="TEN-1911"/>
    <s v="2025"/>
    <x v="2"/>
    <s v="PwC"/>
    <x v="0"/>
    <x v="61"/>
    <x v="2"/>
    <x v="10"/>
    <s v="Purchasing and Payables"/>
    <s v="Adjustments &amp; Period-end Close for Purchasing &amp; payables"/>
    <x v="0"/>
    <s v=""/>
    <s v="PAPA-44"/>
    <s v=""/>
    <s v="(South Bend) (Powertrain) - Management Self-Testing 2025"/>
    <s v="Approval not provided timely"/>
    <s v=" Approval did not meet the 10 day work day completion requirement."/>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IT will be involved to quickly grant access to the reconciliation process documents/systems as expeditiously as possible._x000a_"/>
    <x v="2"/>
    <x v="10"/>
    <s v=""/>
    <s v="Mark MacInnis- Plant Controller/Jeff Fouts - Plant Controller"/>
    <s v="Open"/>
    <s v=""/>
    <x v="0"/>
    <s v=""/>
    <s v=""/>
    <s v="N/A"/>
    <s v="Gupta"/>
    <s v="A, C, CO, E/O, P&amp;D, R&amp;O, V"/>
    <s v=""/>
    <s v=""/>
    <s v=""/>
    <s v=""/>
    <s v=""/>
    <s v=""/>
    <s v=""/>
    <s v=""/>
    <s v=""/>
    <s v=""/>
    <s v=""/>
    <s v=""/>
    <s v=""/>
    <s v=""/>
    <s v=""/>
    <s v=""/>
    <s v=""/>
    <s v=""/>
    <s v="10/10/2025"/>
    <n v="21"/>
    <x v="2"/>
    <x v="0"/>
  </r>
  <r>
    <s v="TEN-1912"/>
    <s v="2025"/>
    <x v="2"/>
    <s v="PwC"/>
    <x v="0"/>
    <x v="61"/>
    <x v="2"/>
    <x v="10"/>
    <s v="Payroll"/>
    <s v="Payroll Calculations"/>
    <x v="0"/>
    <s v=""/>
    <s v="PAYR-14"/>
    <s v=""/>
    <s v="(South Bend) (Powertrain) - Management Self-Testing 2025"/>
    <s v="Approval not provided timely"/>
    <s v="The Payroll packet is not reviewed and signed off by the Controller or Plant Manager_x000a_"/>
    <s v=""/>
    <s v=""/>
    <s v="Effective 10/1, The controller will review the payroll reports each Tuesday after they have been downloaded and saved in the appropriate file directory in the plant's server system, and compare them to journal entries booked, and sign-off to indicate his review.  Any discrepancies between the reports and the journal entries will be investigated and corrected."/>
    <x v="0"/>
    <x v="10"/>
    <s v=""/>
    <s v="Mark MacInnis- Plant Controller/Jeff Fouts - Plant Controller"/>
    <s v="Open"/>
    <s v=""/>
    <x v="0"/>
    <s v=""/>
    <s v=""/>
    <s v="N/A"/>
    <s v="Gupta"/>
    <s v="A, C, CO, E/O, V"/>
    <s v=""/>
    <s v=""/>
    <s v=""/>
    <s v=""/>
    <s v=""/>
    <s v=""/>
    <s v=""/>
    <s v=""/>
    <s v=""/>
    <s v=""/>
    <s v=""/>
    <s v=""/>
    <s v=""/>
    <s v=""/>
    <s v=""/>
    <s v=""/>
    <s v=""/>
    <s v=""/>
    <s v="10/10/2025"/>
    <n v="21"/>
    <x v="2"/>
    <x v="0"/>
  </r>
  <r>
    <s v="TEN-1913"/>
    <s v="2025"/>
    <x v="2"/>
    <s v="PwC"/>
    <x v="0"/>
    <x v="61"/>
    <x v="2"/>
    <x v="10"/>
    <s v="Payroll"/>
    <s v="Adjustments &amp; Period-end Close for Payroll"/>
    <x v="0"/>
    <s v=""/>
    <s v="PAYR-22"/>
    <s v=""/>
    <s v="(South Bend) (Powertrain) - Management Self-Testing 2025"/>
    <s v="Approval not provided timely"/>
    <s v="Reconcilement has not been prepared, reviewed or approved in a timely manner.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_x000a_IT will be involved to quickly grant access to the reconciliation process documents/systems as expeditiously as possible._x000a_"/>
    <x v="2"/>
    <x v="10"/>
    <s v=""/>
    <s v="Mark MacInnis- Plant Controller/Jeff Fouts - Plant Controller"/>
    <s v="Open"/>
    <s v=""/>
    <x v="0"/>
    <s v=""/>
    <s v=""/>
    <s v="N/A"/>
    <s v="Gupta"/>
    <s v="A, C, CO, E/O, P&amp;D, R&amp;O, V"/>
    <s v=""/>
    <s v=""/>
    <s v=""/>
    <s v=""/>
    <s v=""/>
    <s v=""/>
    <s v=""/>
    <s v=""/>
    <s v=""/>
    <s v=""/>
    <s v=""/>
    <s v=""/>
    <s v=""/>
    <s v=""/>
    <s v=""/>
    <s v=""/>
    <s v=""/>
    <s v=""/>
    <s v="10/10/2025"/>
    <n v="21"/>
    <x v="2"/>
    <x v="0"/>
  </r>
  <r>
    <s v="TEN-1914"/>
    <s v="2025"/>
    <x v="2"/>
    <s v="PwC"/>
    <x v="0"/>
    <x v="61"/>
    <x v="2"/>
    <x v="10"/>
    <s v="Period End Financial Reporting"/>
    <s v="Process-Wide Considerations"/>
    <x v="35"/>
    <s v=""/>
    <s v="PEFR-01"/>
    <s v=""/>
    <s v="(South Bend) (Powertrain) - Management Self-Testing 2025"/>
    <s v="Review not performed timely"/>
    <s v="Finance and Logistics data was not represented in the presentations"/>
    <s v=""/>
    <s v=""/>
    <s v="Controller to add to checklist to make sure that financial information is sent to PM and also reviewed at the appropriate meeting with leaders hip team, and document this by meeting agenda, or similar._x000a_"/>
    <x v="0"/>
    <x v="10"/>
    <s v=""/>
    <s v="Mark MacInnis- Plant Controller/Jeff Fouts - Plant Controller"/>
    <s v="Open"/>
    <s v=""/>
    <x v="0"/>
    <s v=""/>
    <s v=""/>
    <s v="N/A"/>
    <s v="Gupta"/>
    <s v=""/>
    <s v=""/>
    <s v=""/>
    <s v=""/>
    <s v=""/>
    <s v=""/>
    <s v=""/>
    <s v=""/>
    <s v=""/>
    <s v=""/>
    <s v=""/>
    <s v=""/>
    <s v=""/>
    <s v=""/>
    <s v=""/>
    <s v=""/>
    <s v=""/>
    <s v=""/>
    <s v=""/>
    <s v="10/10/2025"/>
    <n v="21"/>
    <x v="2"/>
    <x v="0"/>
  </r>
  <r>
    <s v="TEN-1915"/>
    <s v="2025"/>
    <x v="2"/>
    <s v="PwC"/>
    <x v="0"/>
    <x v="61"/>
    <x v="2"/>
    <x v="10"/>
    <s v="Period End Financial Reporting"/>
    <s v="Process-Wide Considerations"/>
    <x v="14"/>
    <s v=""/>
    <s v="PEFR-12"/>
    <s v=""/>
    <s v="(South Bend) (Powertrain) - Management Self-Testing 2025"/>
    <s v="Approval not provided timely"/>
    <s v=" Approval did not meet the 10 day work day completion requirement.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The review will consist of executing a report in SAP known as the &quot;Compact Document Journal&quot; and comparing this report to the list of journal entries._x000a_IT will be involved to quickly grant access to the reconciliation process documents/systems as expeditiously as possible."/>
    <x v="2"/>
    <x v="10"/>
    <s v=""/>
    <s v="Mark MacInnis- Plant Controller/Jeff Fouts - Plant Controller"/>
    <s v="Open"/>
    <s v=""/>
    <x v="0"/>
    <s v=""/>
    <s v=""/>
    <s v="N/A"/>
    <s v="Gupta"/>
    <s v="C, CO, E/O, P&amp;D"/>
    <s v=""/>
    <s v=""/>
    <s v=""/>
    <s v=""/>
    <s v=""/>
    <s v=""/>
    <s v=""/>
    <s v=""/>
    <s v=""/>
    <s v=""/>
    <s v=""/>
    <s v=""/>
    <s v=""/>
    <s v=""/>
    <s v=""/>
    <s v=""/>
    <s v=""/>
    <s v=""/>
    <s v="10/10/2025"/>
    <n v="21"/>
    <x v="2"/>
    <x v="0"/>
  </r>
  <r>
    <s v="TEN-1916"/>
    <s v="2025"/>
    <x v="2"/>
    <s v="PwC"/>
    <x v="0"/>
    <x v="61"/>
    <x v="2"/>
    <x v="10"/>
    <s v="Period End Financial Reporting"/>
    <s v="Consolidation"/>
    <x v="0"/>
    <s v=""/>
    <s v="PEFR-32"/>
    <s v=""/>
    <s v="(South Bend) (Powertrain) - Management Self-Testing 2025"/>
    <s v="Approval not provided timely"/>
    <s v="New detail accounts should be updated on the reconciliation.  Approval did not meet the 10 day workday completion requirement."/>
    <s v=""/>
    <s v=""/>
    <s v="The OneStream to GL reconciliation should contain a listing of all the GL accounts in the SAP subsystem and their referent accounts in OneStream.  All financial reports in OneStream should be reviewed and agreed in all respects to their SAP-generated counterparts.  The Controller should sign off on this review and retain the file in the appropriate electronic archive to evidence that the review was completed on a timely basis._x000a_"/>
    <x v="0"/>
    <x v="10"/>
    <s v=""/>
    <s v="Mark MacInnis- Plant Controller/Jeff Fouts - Plant Controller"/>
    <s v="Open"/>
    <s v=""/>
    <x v="0"/>
    <s v=""/>
    <s v=""/>
    <s v="N/A"/>
    <s v="Gupta"/>
    <s v="A"/>
    <s v=""/>
    <s v=""/>
    <s v=""/>
    <s v=""/>
    <s v=""/>
    <s v=""/>
    <s v=""/>
    <s v=""/>
    <s v=""/>
    <s v=""/>
    <s v=""/>
    <s v=""/>
    <s v=""/>
    <s v=""/>
    <s v=""/>
    <s v=""/>
    <s v=""/>
    <s v=""/>
    <s v="10/10/2025"/>
    <n v="21"/>
    <x v="2"/>
    <x v="0"/>
  </r>
  <r>
    <s v="TEN-1917"/>
    <s v="2025"/>
    <x v="2"/>
    <s v="PwC"/>
    <x v="0"/>
    <x v="61"/>
    <x v="2"/>
    <x v="10"/>
    <s v="Period End Financial Reporting"/>
    <s v="Adjustments &amp; Period-end Close for Period-end Financial Reporting"/>
    <x v="35"/>
    <s v=""/>
    <s v="PEFR-78"/>
    <s v=""/>
    <s v="(South Bend) (Powertrain) - Management Self-Testing 2025"/>
    <s v="Review not performed timely"/>
    <s v="There are no samples to review_x000a_"/>
    <s v=""/>
    <s v=""/>
    <s v="A reminder will be added to the Controller's calendar (Outlook) to conduct the review of journal entries posted to the supporting list to ensure that all Journal entries were authorized, and no unauthorized Journal entries were posted in the period.  The controller should sign-off and retain the report in the appropriate electronic archive to evidence compliance._x000a_"/>
    <x v="0"/>
    <x v="10"/>
    <s v=""/>
    <s v="Mark MacInnis- Plant Controller/Jeff Fouts - Plant Controller"/>
    <s v="Open"/>
    <s v=""/>
    <x v="0"/>
    <s v=""/>
    <s v=""/>
    <s v="N/A"/>
    <s v="Gupta"/>
    <s v="C, E/O"/>
    <s v=""/>
    <s v=""/>
    <s v=""/>
    <s v=""/>
    <s v=""/>
    <s v=""/>
    <s v=""/>
    <s v=""/>
    <s v=""/>
    <s v=""/>
    <s v=""/>
    <s v=""/>
    <s v=""/>
    <s v=""/>
    <s v=""/>
    <s v=""/>
    <s v=""/>
    <s v=""/>
    <s v="10/10/2025"/>
    <n v="21"/>
    <x v="2"/>
    <x v="0"/>
  </r>
  <r>
    <s v="TEN-1918"/>
    <s v="2025"/>
    <x v="2"/>
    <s v="PwC"/>
    <x v="0"/>
    <x v="61"/>
    <x v="2"/>
    <x v="10"/>
    <s v="Production and Inventory"/>
    <s v="Adjustments &amp; Period-end Close for Production and inventory"/>
    <x v="0"/>
    <s v=""/>
    <s v="PINV-02"/>
    <s v=""/>
    <s v="(South Bend) (Powertrain) - Management Self-Testing 2025"/>
    <s v="Approval not provided timely"/>
    <s v=" Approval did not meet the 10 day work day completion requirement.  A slight difference in WIP detail (MB5L and KKOA Report) to SAP balance.  April 2025 10Stream numbers pulling in on the reconcilement instead of May.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_x000a_ IT will be involved to quickly grant access to the reconciliation process documents/systems as expeditiously as possible."/>
    <x v="2"/>
    <x v="10"/>
    <s v=""/>
    <s v="Mark MacInnis- Plant Controller/Jeff Fouts - Plant Controller"/>
    <s v="Open"/>
    <s v=""/>
    <x v="0"/>
    <s v=""/>
    <s v=""/>
    <s v="N/A"/>
    <s v="Gupta"/>
    <s v="A, C, CO, E/O, P&amp;D, R&amp;O, V"/>
    <s v=""/>
    <s v=""/>
    <s v=""/>
    <s v=""/>
    <s v=""/>
    <s v=""/>
    <s v=""/>
    <s v=""/>
    <s v=""/>
    <s v=""/>
    <s v=""/>
    <s v=""/>
    <s v=""/>
    <s v=""/>
    <s v=""/>
    <s v=""/>
    <s v=""/>
    <s v=""/>
    <s v="10/10/2025"/>
    <n v="21"/>
    <x v="2"/>
    <x v="0"/>
  </r>
  <r>
    <s v="TEN-1919"/>
    <s v="2025"/>
    <x v="2"/>
    <s v="PwC"/>
    <x v="0"/>
    <x v="61"/>
    <x v="2"/>
    <x v="10"/>
    <s v="Production and Inventory"/>
    <s v="Receiving"/>
    <x v="0"/>
    <s v=""/>
    <s v="PINV-16"/>
    <s v=""/>
    <s v="(South Bend) (Powertrain) - Management Self-Testing 2025"/>
    <s v="Approval not provided timely"/>
    <s v=" Approval did not meet the 10 day work day completion requirement.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_x000a_ IT will be involved to quickly grant access to the reconciliation process documents/systems as expeditiously as possible."/>
    <x v="2"/>
    <x v="10"/>
    <s v=""/>
    <s v="Mark MacInnis- Plant Controller/Jeff Fouts - Plant Controller"/>
    <s v="Open"/>
    <s v=""/>
    <x v="0"/>
    <s v=""/>
    <s v=""/>
    <s v="N/A"/>
    <s v="Gupta"/>
    <s v="E/O, R&amp;O"/>
    <s v=""/>
    <s v=""/>
    <s v=""/>
    <s v=""/>
    <s v=""/>
    <s v=""/>
    <s v=""/>
    <s v=""/>
    <s v=""/>
    <s v=""/>
    <s v=""/>
    <s v=""/>
    <s v=""/>
    <s v=""/>
    <s v=""/>
    <s v=""/>
    <s v=""/>
    <s v=""/>
    <s v="10/10/2025"/>
    <n v="21"/>
    <x v="2"/>
    <x v="0"/>
  </r>
  <r>
    <s v="TEN-1920"/>
    <s v="2025"/>
    <x v="2"/>
    <s v="PwC"/>
    <x v="0"/>
    <x v="61"/>
    <x v="2"/>
    <x v="10"/>
    <s v="Production and Inventory"/>
    <s v="Production and Costing"/>
    <x v="14"/>
    <s v=""/>
    <s v="PINV-28"/>
    <s v=""/>
    <s v="(South Bend) (Powertrain) - Management Self-Testing 2025"/>
    <s v="Approval not provided timely"/>
    <s v="Required Management approval.  Even though Souad Anaam, SOUTHBEN Materials Manager, Manufacturing signed and dated the MM60 report, the Plant Controller or Plant Manager should also sign off, since Souad created some of the entries."/>
    <s v=""/>
    <s v=""/>
    <s v="In the 4th quarter of each year, the plant controller or his designate will prepare calculations of the plant standard material cost for all purchased items,  labor cost, variable OH cost and fixed OH cost rates.  These calculations should be approved by the plant controller and reviewed with the Plant Manager.  Evidence in the form of emails or similar should be captured and saved in the appropriate archive for this review.  These amounts should be loaded by the Plant Controller or his designate into the SAP system appropriately, and standard costs should be calculated within the SAP system for the following year.  AFter this calculation, the projected new standard costs for each item should be compared to the existing standard costs, and any unusual or unexpected or unusual items should be investigate and corrected as necessary. On 1/1 of the following year, in SAP the new standards should be frozen, to be used for the entire following year.  Changes to purchase prices (Scheduling Agreement prices) for each purchased item are allowed.  However any changes should be reviewed and approved by the Controller when made.  A review of the PPV account activity should be made on a monthly basis, with the report reviewed and approved by the controller and the report retained for evidence of the review. _x000a_"/>
    <x v="0"/>
    <x v="10"/>
    <s v=""/>
    <s v="Mark MacInnis- Plant Controller/Jeff Fouts - Plant Controller"/>
    <s v="Open"/>
    <s v=""/>
    <x v="0"/>
    <s v=""/>
    <s v=""/>
    <s v="N/A"/>
    <s v="Gupta"/>
    <s v="A"/>
    <s v=""/>
    <s v=""/>
    <s v=""/>
    <s v=""/>
    <s v=""/>
    <s v=""/>
    <s v=""/>
    <s v=""/>
    <s v=""/>
    <s v=""/>
    <s v=""/>
    <s v=""/>
    <s v=""/>
    <s v=""/>
    <s v=""/>
    <s v=""/>
    <s v=""/>
    <s v=""/>
    <s v="10/10/2025"/>
    <n v="21"/>
    <x v="2"/>
    <x v="0"/>
  </r>
  <r>
    <s v="TEN-1921"/>
    <s v="2025"/>
    <x v="2"/>
    <s v="PwC"/>
    <x v="0"/>
    <x v="61"/>
    <x v="2"/>
    <x v="10"/>
    <s v="Production and Inventory"/>
    <s v="Adjustments &amp; Period-end Close for Production and inventory"/>
    <x v="35"/>
    <s v=""/>
    <s v="PINV-41"/>
    <s v=""/>
    <s v="(South Bend) (Powertrain) - Management Self-Testing 2025"/>
    <s v="LCM analysis was not completed in the second quarter of 2025."/>
    <s v="LCM analysis was not completed in the second quarter of 2025."/>
    <s v=""/>
    <s v=""/>
    <s v="The LCM Reserve calculation was not made and adjustment posted, because the Controller was absent attending to an ongoing family emergency.  The action plan is to make certain the position of Controller is staffed with a full-time staff member, or that a backup, with access and authorization to complete the reconciliation, is identified and designated on a timely basis.  The process will be performed at the next scheduled quarter end (Q3), on 10/1/2025_x000a_"/>
    <x v="0"/>
    <x v="10"/>
    <s v=""/>
    <s v="Mark MacInnis- Plant Controller/Jeff Fouts - Plant Controller"/>
    <s v="Open"/>
    <s v=""/>
    <x v="0"/>
    <s v=""/>
    <s v=""/>
    <s v="N/A"/>
    <s v="Gupta"/>
    <s v="V"/>
    <s v=""/>
    <s v=""/>
    <s v=""/>
    <s v=""/>
    <s v=""/>
    <s v=""/>
    <s v=""/>
    <s v=""/>
    <s v=""/>
    <s v=""/>
    <s v=""/>
    <s v=""/>
    <s v=""/>
    <s v=""/>
    <s v=""/>
    <s v=""/>
    <s v=""/>
    <s v=""/>
    <s v="10/10/2025"/>
    <n v="21"/>
    <x v="2"/>
    <x v="0"/>
  </r>
  <r>
    <s v="TEN-1922"/>
    <s v="2025"/>
    <x v="2"/>
    <s v="PwC"/>
    <x v="0"/>
    <x v="61"/>
    <x v="2"/>
    <x v="10"/>
    <s v="Production and Inventory"/>
    <s v="Adjustments &amp; Period-end Close for Production and inventory"/>
    <x v="35"/>
    <s v=""/>
    <s v="PINV-46"/>
    <s v=""/>
    <s v="(South Bend) (Powertrain) - Management Self-Testing 2025"/>
    <s v="There was no Lower Cost/Market (LCM) analysis for the second quarter of 2025."/>
    <s v="There was no Lower Cost/Market (LCM) analysis for the second quarter of 2025."/>
    <s v=""/>
    <s v=""/>
    <s v="On a quarterly basis, the controller or his designated team member performs a calculation to compare the on-hand quantity for all inventory items to recent sales history (according to corporate policy, as amended from time to time) to determine if there are any quantities on hand which meet the corporate criteria for being excess to needs or potentially obsolete, and therefore in need of being reserved for.  For items where this condition is shown to exist, the excess quantity-on-hand for each item for which this condition exists is extended by the standard cost. These amounts are summed and compared to the existing reserve amount as of the balance sheet date, and an adjusting JE is posted to adjust the balance to the calculated amount.  If the calculation is performed by other than the controller, the controller is responsible to review the calculation to ensure correctness.  The Plant's Logistics/Materials manager reviews the listing and confirms the existence and quantities of the excess/obsolete items.  After calculation, the report is reviewed with the plant manager._x000a_"/>
    <x v="0"/>
    <x v="10"/>
    <s v=""/>
    <s v="Jeff Fouts - Plant Controller"/>
    <s v="Open"/>
    <s v=""/>
    <x v="0"/>
    <s v=""/>
    <s v=""/>
    <s v="N/A"/>
    <s v="Gupta"/>
    <s v="R&amp;O, V"/>
    <s v=""/>
    <s v=""/>
    <s v=""/>
    <s v=""/>
    <s v=""/>
    <s v=""/>
    <s v=""/>
    <s v=""/>
    <s v=""/>
    <s v=""/>
    <s v=""/>
    <s v=""/>
    <s v=""/>
    <s v=""/>
    <s v=""/>
    <s v=""/>
    <s v=""/>
    <s v=""/>
    <s v="10/10/2025"/>
    <n v="21"/>
    <x v="2"/>
    <x v="0"/>
  </r>
  <r>
    <s v="TEN-1923"/>
    <s v="2025"/>
    <x v="2"/>
    <s v="PwC"/>
    <x v="0"/>
    <x v="61"/>
    <x v="2"/>
    <x v="10"/>
    <s v="Production and Inventory"/>
    <s v="Production and Costing"/>
    <x v="21"/>
    <s v=""/>
    <s v="PINV-47"/>
    <s v=""/>
    <s v="(South Bend) (Powertrain) - Management Self-Testing 2025"/>
    <s v="This scrap is not verified by an independent party."/>
    <s v="This scrap is not verified by an independent party."/>
    <s v=""/>
    <s v=""/>
    <s v="Scrap inventory disposal tickets are not verifiable in the plant because the plant does not have scales large enough.  However, when production scrap is reported into the SAP system, the system uses the standard weight of the scrapped parts to calculate an expected scrap weight and posts that to inventory.  When scrap is disposed, the scrap ticket obtained from the scrap hauler should be compared to this amount by Finance step and unusual differences (+/- 10%) should be investigated. The Controller should document this verification to evidence that this review was undertaken.  While this is not an independent verification, it is a reasonableness check for the amount.  Given the immaterial value of the scrap amounts generated, this is a reasonable detective control in lieu of an independent verification._x000a_"/>
    <x v="0"/>
    <x v="10"/>
    <s v=""/>
    <s v="Jeff Fouts - Plant Controller"/>
    <s v="Open"/>
    <s v=""/>
    <x v="0"/>
    <s v=""/>
    <s v=""/>
    <s v="N/A"/>
    <s v="Gupta"/>
    <s v="A, E/O, R&amp;O, V"/>
    <s v=""/>
    <s v=""/>
    <s v=""/>
    <s v=""/>
    <s v=""/>
    <s v=""/>
    <s v=""/>
    <s v=""/>
    <s v=""/>
    <s v=""/>
    <s v=""/>
    <s v=""/>
    <s v=""/>
    <s v=""/>
    <s v=""/>
    <s v=""/>
    <s v=""/>
    <s v=""/>
    <s v="10/10/2025"/>
    <n v="21"/>
    <x v="2"/>
    <x v="0"/>
  </r>
  <r>
    <s v="TEN-1924"/>
    <s v="2025"/>
    <x v="2"/>
    <s v="PwC"/>
    <x v="0"/>
    <x v="61"/>
    <x v="2"/>
    <x v="10"/>
    <s v="Production and Inventory"/>
    <s v="Production and Costing"/>
    <x v="33"/>
    <s v=""/>
    <s v="PINV-48"/>
    <s v=""/>
    <s v="(South Bend) (Powertrain) - Management Self-Testing 2025"/>
    <s v="This scrap is not accrued.  Weights should be forwarded to the Finance Team to be accrued."/>
    <s v="This scrap is not accrued.  Weights should be forwarded to the Finance Team to be accrued."/>
    <s v=""/>
    <s v=""/>
    <s v="Cash receipts received at the plant should be reconciled in amount to the value of the scrap relieved from the inventory records.  This should be done by plant Finance Staff.   To make certain that scrap transactions are accrued appropriately, an historical calculation of an average scrap value disposed per month should be calculated on a running monthly basis, and a journal entry for the average for the past 12 months should be booked as an accrual each month, and reversed the following month.  Actual cash receipts would be posted when received.  If this method is followed, we will have adequate assurance that a reasonable estimate of scrap revenue will be accrued each month._x000a_"/>
    <x v="0"/>
    <x v="17"/>
    <s v=""/>
    <s v="Mark MacInnis- Plant Controller/Jeff Fouts - Plant Controller_x000a_"/>
    <s v="Open"/>
    <s v=""/>
    <x v="0"/>
    <s v=""/>
    <s v=""/>
    <s v="N/A"/>
    <s v="Gupta"/>
    <s v="A, C, E/O, R&amp;O, V"/>
    <s v=""/>
    <s v=""/>
    <s v=""/>
    <s v=""/>
    <s v=""/>
    <s v=""/>
    <s v=""/>
    <s v=""/>
    <s v=""/>
    <s v=""/>
    <s v=""/>
    <s v=""/>
    <s v=""/>
    <s v=""/>
    <s v=""/>
    <s v=""/>
    <s v=""/>
    <s v=""/>
    <s v="10/10/2025"/>
    <n v="20"/>
    <x v="2"/>
    <x v="0"/>
  </r>
  <r>
    <s v="TEN-1925"/>
    <s v="2025"/>
    <x v="2"/>
    <s v="PwC"/>
    <x v="0"/>
    <x v="61"/>
    <x v="2"/>
    <x v="10"/>
    <s v="Property, Plant, and Equipment"/>
    <s v="Depreciation, Subsequent Measurement, and Impairment"/>
    <x v="39"/>
    <s v=""/>
    <s v="PPAE-16"/>
    <s v=""/>
    <s v="(South Bend) (Powertrain) - Management Self-Testing 2025"/>
    <s v="Review not performed timely"/>
    <s v="No documented evidence of capital project status updates being performed."/>
    <s v=""/>
    <s v=""/>
    <s v="The controller will add to his Outlook calendar an appointment to review, on a monthlybasis, the active and potential CAR CapEx projects, with emphasis on timing, actual amounts to be spend, necessary updates to the CAR system and estimated completion dates, for reporting to corporate.  Minutes should be taken and saved in the appropriate electronic archive that evidences that this meeting took place._x000a_"/>
    <x v="0"/>
    <x v="18"/>
    <s v=""/>
    <s v="Mark MacInnis- Plant Controller/Jeff Fouts - Plant Controller_x000a_"/>
    <s v="Open"/>
    <s v=""/>
    <x v="0"/>
    <s v=""/>
    <s v=""/>
    <s v="N/A"/>
    <s v="Gupta"/>
    <s v="A, C, CO, E/O"/>
    <s v=""/>
    <s v=""/>
    <s v=""/>
    <s v=""/>
    <s v=""/>
    <s v=""/>
    <s v=""/>
    <s v=""/>
    <s v=""/>
    <s v=""/>
    <s v=""/>
    <s v=""/>
    <s v=""/>
    <s v=""/>
    <s v=""/>
    <s v=""/>
    <s v=""/>
    <s v=""/>
    <s v="10/10/2025"/>
    <n v="6"/>
    <x v="2"/>
    <x v="0"/>
  </r>
  <r>
    <s v="TEN-1926"/>
    <s v="2025"/>
    <x v="2"/>
    <s v="PwC"/>
    <x v="0"/>
    <x v="61"/>
    <x v="2"/>
    <x v="10"/>
    <s v="Revenue and Receivables"/>
    <s v="Adjustments &amp; Period-end Close for Revenue &amp; receivables"/>
    <x v="0"/>
    <s v=""/>
    <s v="REVE-61"/>
    <s v=""/>
    <s v="(South Bend) (Powertrain) - Management Self-Testing 2025"/>
    <s v="Approval not provided timely"/>
    <s v=" Approval did not meet the 10 day work day completion requirement."/>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_x000a_ IT will be involved to quickly grant access to the reconciliation process documents/systems as expeditiously as possible."/>
    <x v="0"/>
    <x v="10"/>
    <s v=""/>
    <s v="Mark MacInnis- Plant Controller/Jeff Fouts - Plant Controller_x000a_"/>
    <s v="Open"/>
    <s v=""/>
    <x v="0"/>
    <s v=""/>
    <s v=""/>
    <s v="N/A"/>
    <s v="Gupta"/>
    <s v="A, C, CO, E/O, P&amp;D, R&amp;O, V"/>
    <s v=""/>
    <s v=""/>
    <s v=""/>
    <s v=""/>
    <s v=""/>
    <s v=""/>
    <s v=""/>
    <s v=""/>
    <s v=""/>
    <s v=""/>
    <s v=""/>
    <s v=""/>
    <s v=""/>
    <s v=""/>
    <s v=""/>
    <s v=""/>
    <s v=""/>
    <s v=""/>
    <s v="10/10/2025"/>
    <n v="21"/>
    <x v="2"/>
    <x v="0"/>
  </r>
  <r>
    <s v="TEN-1927"/>
    <s v="2025"/>
    <x v="2"/>
    <s v="PwC"/>
    <x v="0"/>
    <x v="9"/>
    <x v="0"/>
    <x v="8"/>
    <s v="Property, Plant, and Equipment"/>
    <s v="Acquisitions and Capital Projects"/>
    <x v="6"/>
    <s v=""/>
    <s v="PPAE-06"/>
    <s v=""/>
    <s v="(Reynosa) (Performance Solutions) - Management Self-Testing 2025"/>
    <s v="Approval not provided timely"/>
    <s v="CAR's projects not fully approved on time on CART System"/>
    <s v=""/>
    <s v=""/>
    <s v="CART System must be reviewed and fully approved before creating a new PO request no matter the urgency.  Finance internal review in monthly basis. (Controller &amp; Financial Analyst)"/>
    <x v="0"/>
    <x v="10"/>
    <s v=""/>
    <s v="Ricardo Garcia Finance analyst/Nubia Sanchez-Finance Lead"/>
    <s v="Open"/>
    <s v=""/>
    <x v="0"/>
    <s v=""/>
    <s v=""/>
    <s v="N/A"/>
    <s v="Gupta"/>
    <s v="E/O"/>
    <s v=""/>
    <s v=""/>
    <s v=""/>
    <s v=""/>
    <s v=""/>
    <s v=""/>
    <s v=""/>
    <s v=""/>
    <s v=""/>
    <s v=""/>
    <s v=""/>
    <s v=""/>
    <s v=""/>
    <s v=""/>
    <s v=""/>
    <s v=""/>
    <s v=""/>
    <s v=""/>
    <s v="10/10/2025"/>
    <n v="21"/>
    <x v="2"/>
    <x v="0"/>
  </r>
  <r>
    <s v="TEN-1928"/>
    <s v="2025"/>
    <x v="2"/>
    <s v="PwC"/>
    <x v="0"/>
    <x v="52"/>
    <x v="0"/>
    <x v="2"/>
    <s v="Purchasing and Payables"/>
    <s v="Invoice Processing"/>
    <x v="5"/>
    <s v=""/>
    <s v="PAPA-18"/>
    <s v=""/>
    <s v="(Barcelona) (Performance Solutions)  - Management Self-Testing 2025"/>
    <s v="Multiple invoices of same customer is posted"/>
    <s v="Hugo Bauer was paid by proforma and after we received the invoice with other amount that they were posted and pay again instead to clear with the payment prososal. The system couldn't detect due to different numbers and different amount"/>
    <s v=""/>
    <s v=""/>
    <s v="Create a list of vendor which are usually paid by proforma or both (proforma and invoice) . When we receive an invoice check if there is a payment done before, if yes, check if the amount is the same, if it isn't the same amount, check proforma and invoice by quantities, reference, date and if there is an extra cost. Request after an approval of logistic team requestor if this invoice are related to this proforma, if it is ok, then post the invoice and clear up with the payment immediately to avoid paying twice."/>
    <x v="0"/>
    <x v="10"/>
    <s v=""/>
    <s v="Livia Gilcescu, AP Consultant Genpact"/>
    <s v="Open"/>
    <s v=""/>
    <x v="0"/>
    <s v=""/>
    <s v=""/>
    <s v="N/A"/>
    <s v="Gupta"/>
    <s v="E/O, R&amp;O"/>
    <s v=""/>
    <s v=""/>
    <s v=""/>
    <s v=""/>
    <s v=""/>
    <s v=""/>
    <s v=""/>
    <s v=""/>
    <s v=""/>
    <s v=""/>
    <s v=""/>
    <s v=""/>
    <s v=""/>
    <s v=""/>
    <s v=""/>
    <s v=""/>
    <s v=""/>
    <s v=""/>
    <s v="10/10/2025"/>
    <n v="21"/>
    <x v="2"/>
    <x v="0"/>
  </r>
  <r>
    <s v="TEN-1929"/>
    <s v="2025"/>
    <x v="2"/>
    <s v="PwC"/>
    <x v="0"/>
    <x v="52"/>
    <x v="0"/>
    <x v="2"/>
    <s v="Payroll"/>
    <s v="Adjustments &amp; Period-end Close for Payroll"/>
    <x v="0"/>
    <s v=""/>
    <s v="PAYR-22"/>
    <s v=""/>
    <s v="(Barcelona) (Performance Solutions)  - Management Self-Testing 2025"/>
    <s v="Payroll register is not reconciled to the general ledger; Review and approval of the reconciliation"/>
    <s v="I couldn't test all evidence"/>
    <s v=""/>
    <s v=""/>
    <s v="Provide the evidence which is reconciled"/>
    <x v="0"/>
    <x v="10"/>
    <s v=""/>
    <s v="Esmeralda Tabernero, Plant controller"/>
    <s v="Open"/>
    <s v=""/>
    <x v="0"/>
    <s v=""/>
    <s v=""/>
    <s v="N/A"/>
    <s v="Gupta"/>
    <s v="A, C, CO, E/O, P&amp;D, R&amp;O, V"/>
    <s v=""/>
    <s v=""/>
    <s v=""/>
    <s v=""/>
    <s v=""/>
    <s v=""/>
    <s v=""/>
    <s v=""/>
    <s v=""/>
    <s v=""/>
    <s v=""/>
    <s v=""/>
    <s v=""/>
    <s v=""/>
    <s v=""/>
    <s v=""/>
    <s v=""/>
    <s v=""/>
    <s v="10/10/2025"/>
    <n v="21"/>
    <x v="2"/>
    <x v="0"/>
  </r>
  <r>
    <s v="TEN-1930"/>
    <s v="2025"/>
    <x v="2"/>
    <s v="PwC"/>
    <x v="0"/>
    <x v="16"/>
    <x v="4"/>
    <x v="11"/>
    <s v="Purchasing and Payables"/>
    <s v="Invoice Processing"/>
    <x v="40"/>
    <s v=""/>
    <s v="PAPA-18"/>
    <s v=""/>
    <s v="SSC Certification  - AR (IceCo) - Management Self-Testing 2025"/>
    <s v="System does not prevent while creating duplicate invoices"/>
    <s v="The control failed for the locations using the following ERP's: PLEX and AS400 . These systems do not flag duplicate invoices. "/>
    <s v=""/>
    <s v=""/>
    <s v="The modules or features that would prevent duplicate postings are to be enabled in those systems. If not possible a robust DAT process needs to be implemented prior to payment execution (external process not embedded in the ERP's). The proffered solution is the system driven one in order to avoid payment delays or manual errors."/>
    <x v="2"/>
    <x v="3"/>
    <s v=""/>
    <s v="Gaston Roeschli"/>
    <s v="Open"/>
    <s v=""/>
    <x v="2"/>
    <s v=""/>
    <s v=""/>
    <s v="N/A"/>
    <s v="Gupta"/>
    <s v="E/O, R&amp;O"/>
    <s v=""/>
    <s v=""/>
    <s v=""/>
    <s v=""/>
    <s v=""/>
    <s v=""/>
    <s v=""/>
    <s v=""/>
    <s v=""/>
    <s v=""/>
    <s v=""/>
    <s v=""/>
    <s v=""/>
    <s v=""/>
    <s v=""/>
    <s v=""/>
    <s v=""/>
    <s v=""/>
    <s v="10/10/2025"/>
    <n v="-9"/>
    <x v="1"/>
    <x v="1"/>
  </r>
  <r>
    <s v="TEN-1931"/>
    <s v="2025"/>
    <x v="2"/>
    <s v="PwC"/>
    <x v="0"/>
    <x v="62"/>
    <x v="0"/>
    <x v="2"/>
    <s v="Production and Inventory"/>
    <s v="Adjustments &amp; Period-end Close for Production and inventory"/>
    <x v="35"/>
    <s v=""/>
    <s v="PINV-45"/>
    <s v=""/>
    <s v="(Ploiesti) (Performance Solutions) - Management Self-Testing 2025"/>
    <s v="Slow-moving spare parts not reviewed timely; annual review required."/>
    <s v="The review of slow moving, obsolete stock is not properly performed on timely basis. As we are speaking about spare parts inventory, slow moving inventory has to be reviewed at least on annual basis to ensure there is no obsolete risk."/>
    <s v=""/>
    <s v=""/>
    <s v="Plant needs to perform on annual basis a full review of slow moving and obsolete stock together with maintenance department"/>
    <x v="0"/>
    <x v="3"/>
    <s v=""/>
    <s v="Roxana Pilea, Snr Financial Analyst"/>
    <s v="Open"/>
    <s v=""/>
    <x v="2"/>
    <s v=""/>
    <s v=""/>
    <s v="N/A"/>
    <s v="Gupta"/>
    <s v="R&amp;O, V"/>
    <s v=""/>
    <s v=""/>
    <s v=""/>
    <s v=""/>
    <s v=""/>
    <s v=""/>
    <s v=""/>
    <s v=""/>
    <s v=""/>
    <s v=""/>
    <s v=""/>
    <s v=""/>
    <s v=""/>
    <s v=""/>
    <s v=""/>
    <s v=""/>
    <s v=""/>
    <s v=""/>
    <s v="10/10/2025"/>
    <n v="-9"/>
    <x v="1"/>
    <x v="1"/>
  </r>
  <r>
    <s v="TEN-1932"/>
    <s v="2025"/>
    <x v="2"/>
    <s v="PwC"/>
    <x v="0"/>
    <x v="63"/>
    <x v="0"/>
    <x v="8"/>
    <s v="Purchasing and Payables"/>
    <s v="Payments"/>
    <x v="14"/>
    <s v=""/>
    <s v="PAPA-22"/>
    <s v=""/>
    <s v="(Napoleon) (Performance Solutions) - Management Self-Testing 2025"/>
    <s v="Approval not received before purchase is complete"/>
    <s v="Approval not received before purchase is complete"/>
    <s v=""/>
    <s v=""/>
    <s v="Working on including pro-card purchases in the purchase request system in SharePoint for Napoleon.  "/>
    <x v="0"/>
    <x v="10"/>
    <s v=""/>
    <s v="Diane Stahl, Plant Finance Leader"/>
    <s v="Open"/>
    <s v=""/>
    <x v="0"/>
    <s v=""/>
    <s v=""/>
    <s v="N/A"/>
    <s v="Gupta"/>
    <s v="A, E/O, R&amp;O"/>
    <s v=""/>
    <s v=""/>
    <s v=""/>
    <s v=""/>
    <s v=""/>
    <s v=""/>
    <s v=""/>
    <s v=""/>
    <s v=""/>
    <s v=""/>
    <s v=""/>
    <s v=""/>
    <s v=""/>
    <s v=""/>
    <s v=""/>
    <s v=""/>
    <s v=""/>
    <s v=""/>
    <s v="10/10/2025"/>
    <n v="21"/>
    <x v="2"/>
    <x v="0"/>
  </r>
  <r>
    <s v="TEN-1933"/>
    <s v="2025"/>
    <x v="2"/>
    <s v="PwC"/>
    <x v="0"/>
    <x v="63"/>
    <x v="0"/>
    <x v="8"/>
    <s v="Production and Inventory"/>
    <s v="Production and Costing"/>
    <x v="21"/>
    <s v=""/>
    <s v="PINV-49"/>
    <s v=""/>
    <s v="(Napoleon) (Performance Solutions) - Management Self-Testing 2025"/>
    <s v="Missing scrap codes, unsigned labor sheets, incomplete red tag logs."/>
    <s v="There are missing scrap codes on the labor sheets.  There are labor sheets that are not signed/dated.  There are missing number of parts on the red tag log."/>
    <s v=""/>
    <s v=""/>
    <s v="For labor sheets not signed, HR will be sending the unsigned labor sheets to the Operations Manager to get signed by the supervisors. We are currently moving the scrap entry over to the supervisors.  1st shift is now being trained and completing the scrap entry.  Once that is complete, this method will be rolled out to the other shifts.  We are also in the process of setting a process in place and training individuals on how to move inventory into blocked status and scrap from that blocked status.  This will eliminate the fact that the red tag log does not have part numbers listed."/>
    <x v="0"/>
    <x v="10"/>
    <s v=""/>
    <s v="Kay Massel (Human Resources Administrator), Charles Zupan (Operations Manager), &amp; Diane Stahl (Plant Finance Leader)"/>
    <s v="Open"/>
    <s v=""/>
    <x v="0"/>
    <s v=""/>
    <s v=""/>
    <s v="N/A"/>
    <s v="Gupta"/>
    <s v="A, E/O"/>
    <s v=""/>
    <s v=""/>
    <s v=""/>
    <s v=""/>
    <s v=""/>
    <s v=""/>
    <s v=""/>
    <s v=""/>
    <s v=""/>
    <s v=""/>
    <s v=""/>
    <s v=""/>
    <s v=""/>
    <s v=""/>
    <s v=""/>
    <s v=""/>
    <s v=""/>
    <s v=""/>
    <s v="10/10/2025"/>
    <n v="21"/>
    <x v="2"/>
    <x v="0"/>
  </r>
  <r>
    <s v="TEN-1934"/>
    <s v="2025"/>
    <x v="2"/>
    <s v="PwC"/>
    <x v="0"/>
    <x v="63"/>
    <x v="0"/>
    <x v="8"/>
    <s v="Property, Plant, and Equipment"/>
    <s v="Acquisitions and Capital Projects"/>
    <x v="11"/>
    <s v=""/>
    <s v="PPAE-05"/>
    <s v=""/>
    <s v="(Napoleon) (Performance Solutions) - Management Self-Testing 2025"/>
    <s v="Project spending exceeds approved CART; see Fixed Asset List 05/31/2025."/>
    <s v="Some projects have spending that exceeding the approved CART amount.  Refer to the G:\NAPACCT\COMMON\Month End\2025\Capital\Fixed Assets folder and the report is Fixed Asset List 05.31.2025"/>
    <s v=""/>
    <s v=""/>
    <s v="Project leads need to manage and track their forecasting and spend to ensure that they do not exceed original CART amount if there is not a supplemental submitted to cover the difference.  Capital spend meetings are scheduled monthly to communicate where each project is and what has and has not been spent."/>
    <x v="0"/>
    <x v="10"/>
    <s v=""/>
    <s v="Madeline Cordes, Financial Analyst"/>
    <s v="Open"/>
    <s v=""/>
    <x v="0"/>
    <s v=""/>
    <s v=""/>
    <s v="N/A"/>
    <s v="Gupta"/>
    <s v="E/O"/>
    <s v=""/>
    <s v=""/>
    <s v=""/>
    <s v=""/>
    <s v=""/>
    <s v=""/>
    <s v=""/>
    <s v=""/>
    <s v=""/>
    <s v=""/>
    <s v=""/>
    <s v=""/>
    <s v=""/>
    <s v=""/>
    <s v=""/>
    <s v=""/>
    <s v=""/>
    <s v=""/>
    <s v="10/10/2025"/>
    <n v="21"/>
    <x v="2"/>
    <x v="0"/>
  </r>
  <r>
    <s v="TEN-1935"/>
    <s v="2025"/>
    <x v="2"/>
    <s v="PwC"/>
    <x v="0"/>
    <x v="64"/>
    <x v="3"/>
    <x v="6"/>
    <s v="Property, Plant, and Equipment"/>
    <s v="Adjustments &amp; Period-end Close for Property, plant &amp; equipment"/>
    <x v="6"/>
    <s v=""/>
    <s v="PPAE-33"/>
    <s v=""/>
    <s v="(Meadowview) (DRiV)- Management Self-Testing 2025"/>
    <s v="The impairment analysis has not been performed."/>
    <s v="The impairment analysis has not been performed."/>
    <s v=""/>
    <s v=""/>
    <s v="An impairment analysis should be performed at least once a year. The analysis for 2025 will be performed in November."/>
    <x v="0"/>
    <x v="19"/>
    <s v=""/>
    <s v="Teresa Martinho, Accountant"/>
    <s v="Open"/>
    <s v=""/>
    <x v="2"/>
    <s v=""/>
    <s v=""/>
    <s v="N/A"/>
    <s v="Gupta"/>
    <s v="V"/>
    <s v=""/>
    <s v=""/>
    <s v=""/>
    <s v=""/>
    <s v=""/>
    <s v=""/>
    <s v=""/>
    <s v=""/>
    <s v=""/>
    <s v=""/>
    <s v=""/>
    <s v=""/>
    <s v=""/>
    <s v=""/>
    <s v=""/>
    <s v=""/>
    <s v=""/>
    <s v=""/>
    <s v="10/10/2025"/>
    <n v="-24"/>
    <x v="1"/>
    <x v="1"/>
  </r>
  <r>
    <s v="TEN-1936"/>
    <s v="2025"/>
    <x v="2"/>
    <s v="PwC"/>
    <x v="0"/>
    <x v="24"/>
    <x v="0"/>
    <x v="15"/>
    <s v="Leases"/>
    <s v="Lease Accounting Completeness"/>
    <x v="0"/>
    <s v=""/>
    <s v="LEAS-09"/>
    <s v=""/>
    <s v="(Celaya - OE) (Performance Solutions)- Management Self-Testing 2025"/>
    <s v="Lease balances are not supported"/>
    <s v="Lease and car leasing records in SAP do not match, the monthly balances reviewed in the reconciliation have differences datas, the lease information is outdated with the current agreement of the vehicle plant. This variance started since January 2025. "/>
    <s v=""/>
    <s v=""/>
    <s v="Internal action plan is review the monthly record between lease corporate team and celaya team to find the variances and propose the JE corrections to reconciliate the balances. due internal changes, it not been possible to carry out solution, the due date to solve this deficency will be december close 2025."/>
    <x v="0"/>
    <x v="1"/>
    <s v=""/>
    <s v="Alejandro R. "/>
    <s v="Open"/>
    <s v=""/>
    <x v="1"/>
    <s v=""/>
    <s v=""/>
    <s v="N/A"/>
    <s v="Gupta"/>
    <s v="A, C, CO, E/O, P&amp;D, R&amp;O, V"/>
    <s v=""/>
    <s v=""/>
    <s v=""/>
    <s v=""/>
    <s v=""/>
    <s v=""/>
    <s v=""/>
    <s v=""/>
    <s v=""/>
    <s v=""/>
    <s v=""/>
    <s v=""/>
    <s v=""/>
    <s v=""/>
    <s v=""/>
    <s v=""/>
    <s v=""/>
    <s v=""/>
    <s v="10/10/2025"/>
    <n v="-40"/>
    <x v="1"/>
    <x v="1"/>
  </r>
  <r>
    <s v="TEN-1937"/>
    <s v="2025"/>
    <x v="2"/>
    <s v="PwC"/>
    <x v="0"/>
    <x v="24"/>
    <x v="0"/>
    <x v="15"/>
    <s v="Period End Financial Reporting"/>
    <s v="Adjustments &amp; Period-end Close for Period-end Financial Reporting"/>
    <x v="0"/>
    <s v=""/>
    <s v="PEFR-68"/>
    <s v=""/>
    <s v="(Celaya - OE) (Performance Solutions)- Management Self-Testing 2025"/>
    <s v="Reconciliation was not reviewed and approved"/>
    <s v="During review of reconciliations, was founded lease reconciliation without review and without approval on April specifiqly. this reconciliation not is complishment with the policy of the plant. "/>
    <s v=""/>
    <s v=""/>
    <s v="Action plan is request the revision and approval the reconciliation, additional clarify the variances if there are. Applying this action plan we are in complisment with the policy of the plant. This activity must be completed on october 17th, 2025."/>
    <x v="0"/>
    <x v="20"/>
    <s v=""/>
    <s v="Alejandro R. "/>
    <s v="Open"/>
    <s v=""/>
    <x v="0"/>
    <s v=""/>
    <s v=""/>
    <s v="N/A"/>
    <s v="Gupta"/>
    <s v="A, C, CO, E/O, P&amp;D, R&amp;O, V"/>
    <s v=""/>
    <s v=""/>
    <s v=""/>
    <s v=""/>
    <s v=""/>
    <s v=""/>
    <s v=""/>
    <s v=""/>
    <s v=""/>
    <s v=""/>
    <s v=""/>
    <s v=""/>
    <s v=""/>
    <s v=""/>
    <s v=""/>
    <s v=""/>
    <s v=""/>
    <s v=""/>
    <s v="10/10/2025"/>
    <n v="35"/>
    <x v="2"/>
    <x v="0"/>
  </r>
  <r>
    <s v="TEN-1938"/>
    <s v="2025"/>
    <x v="2"/>
    <s v="PwC"/>
    <x v="0"/>
    <x v="24"/>
    <x v="0"/>
    <x v="15"/>
    <s v="Period End Financial Reporting"/>
    <s v="Adjustments &amp; Period-end Close for Period-end Financial Reporting"/>
    <x v="21"/>
    <s v=""/>
    <s v="PEFR-79"/>
    <s v=""/>
    <s v="(Celaya - OE) (Performance Solutions)- Management Self-Testing 2025"/>
    <s v="Unsupported and Ageing balances"/>
    <s v="During accrual reconciliation revision was founded balance accruals without document support and the aging of the balances coming from several years ago, according policy it should keep during one year in booking.   "/>
    <s v=""/>
    <s v=""/>
    <s v="Request the revision of the all accrual reconciliations to clear the balances and leave document support for each record in SAP. After that the balances should keep reconciliates and under revision and control. Reconciliation must be done on november 30th, 2025."/>
    <x v="0"/>
    <x v="3"/>
    <s v=""/>
    <s v="Alejandro R. "/>
    <s v="Open"/>
    <s v=""/>
    <x v="2"/>
    <s v=""/>
    <s v=""/>
    <s v="N/A"/>
    <s v="Gupta"/>
    <s v="A, CO, R&amp;O, V"/>
    <s v=""/>
    <s v=""/>
    <s v=""/>
    <s v=""/>
    <s v=""/>
    <s v=""/>
    <s v=""/>
    <s v=""/>
    <s v=""/>
    <s v=""/>
    <s v=""/>
    <s v=""/>
    <s v=""/>
    <s v=""/>
    <s v=""/>
    <s v=""/>
    <s v=""/>
    <s v=""/>
    <s v="10/10/2025"/>
    <n v="-9"/>
    <x v="1"/>
    <x v="1"/>
  </r>
  <r>
    <s v="TEN-1939"/>
    <s v="2025"/>
    <x v="2"/>
    <s v="PwC"/>
    <x v="0"/>
    <x v="24"/>
    <x v="0"/>
    <x v="15"/>
    <s v="Production and Inventory"/>
    <s v="Production and Costing"/>
    <x v="21"/>
    <s v=""/>
    <s v="PINV-28"/>
    <s v=""/>
    <s v="(Celaya - OE) (Performance Solutions)- Management Self-Testing 2025"/>
    <s v="Approval has not been documented"/>
    <s v=" Some document not have manager approval, lack of control of the approval documents. "/>
    <s v=""/>
    <s v=""/>
    <s v="Analysis and control the master file and keep all approvals updated and completed by each movement not than december 2025."/>
    <x v="0"/>
    <x v="1"/>
    <s v=""/>
    <s v="Alejandro R. "/>
    <s v="Open"/>
    <s v=""/>
    <x v="1"/>
    <s v=""/>
    <s v=""/>
    <s v="N/A"/>
    <s v="Gupta"/>
    <s v="A"/>
    <s v=""/>
    <s v=""/>
    <s v=""/>
    <s v=""/>
    <s v=""/>
    <s v=""/>
    <s v=""/>
    <s v=""/>
    <s v=""/>
    <s v=""/>
    <s v=""/>
    <s v=""/>
    <s v=""/>
    <s v=""/>
    <s v=""/>
    <s v=""/>
    <s v=""/>
    <s v=""/>
    <s v="10/10/2025"/>
    <n v="-40"/>
    <x v="1"/>
    <x v="1"/>
  </r>
  <r>
    <s v="TEN-1940"/>
    <s v="2025"/>
    <x v="2"/>
    <s v="PwC"/>
    <x v="0"/>
    <x v="24"/>
    <x v="0"/>
    <x v="15"/>
    <s v="Production and Inventory"/>
    <s v="Adjustments &amp; Period-end Close for Production and inventory"/>
    <x v="20"/>
    <s v=""/>
    <s v="PINV-44"/>
    <s v=""/>
    <s v="(Celaya - OE) (Performance Solutions)- Management Self-Testing 2025"/>
    <s v="Inventory Adjustments not approved"/>
    <s v="Some document reviewed not approved by management, the revision the document not is appropriate because is missed approvals. "/>
    <s v=""/>
    <s v=""/>
    <s v="The control and analysis of inventory adjustments must be reviewed and approved before being updated in the system, if something is not approved, must be rejected. all the changes approval must be completed not than december 2025."/>
    <x v="0"/>
    <x v="1"/>
    <s v=""/>
    <s v="Carolina Espinoza"/>
    <s v="Open"/>
    <s v=""/>
    <x v="1"/>
    <s v=""/>
    <s v=""/>
    <s v="N/A"/>
    <s v="Gupta"/>
    <s v="V"/>
    <s v=""/>
    <s v=""/>
    <s v=""/>
    <s v=""/>
    <s v=""/>
    <s v=""/>
    <s v=""/>
    <s v=""/>
    <s v=""/>
    <s v=""/>
    <s v=""/>
    <s v=""/>
    <s v=""/>
    <s v=""/>
    <s v=""/>
    <s v=""/>
    <s v=""/>
    <s v=""/>
    <s v="10/10/2025"/>
    <n v="-40"/>
    <x v="1"/>
    <x v="1"/>
  </r>
  <r>
    <s v="TEN-1941"/>
    <s v="2025"/>
    <x v="2"/>
    <s v="PwC"/>
    <x v="0"/>
    <x v="24"/>
    <x v="0"/>
    <x v="15"/>
    <s v="Property, Plant, and Equipment"/>
    <s v="Depreciation, Subsequent Measurement, and Impairment"/>
    <x v="24"/>
    <s v=""/>
    <s v="PPAE-13"/>
    <s v=""/>
    <s v="(Celaya - OE) (Performance Solutions)- Management Self-Testing 2025"/>
    <s v="CWIP not capitalized timely"/>
    <s v="According CWIP revision there are item not capitalized since 2021 year, lack of follow up in this items and missing the useful life analysis for this items. "/>
    <s v=""/>
    <s v=""/>
    <s v="Implement better control and analysis for CWIP, keep a follow up monthly and do an analysis for capitalize all item coming from several year ago, not than december 2025."/>
    <x v="0"/>
    <x v="1"/>
    <s v=""/>
    <s v="Alejandro R. "/>
    <s v="Open"/>
    <s v=""/>
    <x v="1"/>
    <s v=""/>
    <s v=""/>
    <s v="N/A"/>
    <s v="Gupta"/>
    <s v="A, V"/>
    <s v=""/>
    <s v=""/>
    <s v=""/>
    <s v=""/>
    <s v=""/>
    <s v=""/>
    <s v=""/>
    <s v=""/>
    <s v=""/>
    <s v=""/>
    <s v=""/>
    <s v=""/>
    <s v=""/>
    <s v=""/>
    <s v=""/>
    <s v=""/>
    <s v=""/>
    <s v=""/>
    <s v="10/10/2025"/>
    <n v="-40"/>
    <x v="1"/>
    <x v="1"/>
  </r>
  <r>
    <s v="TEN-1942"/>
    <s v="2025"/>
    <x v="2"/>
    <s v="PwC"/>
    <x v="0"/>
    <x v="24"/>
    <x v="0"/>
    <x v="15"/>
    <s v="Property, Plant, and Equipment"/>
    <s v="Adjustments &amp; Period-end Close for Property, plant &amp; equipment"/>
    <x v="7"/>
    <s v=""/>
    <s v="PPAE-32"/>
    <s v=""/>
    <s v="(Celaya - OE) (Performance Solutions)- Management Self-Testing 2025"/>
    <s v="Control was not performed"/>
    <s v="Was requested evidence from inventories the fixed assets, however, not are any evidence or document for support the activity, internal changes in the position and lack of follow up on this activity. "/>
    <s v=""/>
    <s v=""/>
    <s v="Inventory fixed asset is planed will be carried out in march 2026, and all the information must be identify and recorded in the system, any disposal or movement must be approved by management team, and the final file must be control monthly. "/>
    <x v="0"/>
    <x v="11"/>
    <s v=""/>
    <s v="Alejandro R. "/>
    <s v="Open"/>
    <s v=""/>
    <x v="3"/>
    <s v=""/>
    <s v=""/>
    <s v="N/A"/>
    <s v="Gupta"/>
    <s v="A, C, E/O, V"/>
    <s v=""/>
    <s v=""/>
    <s v=""/>
    <s v=""/>
    <s v=""/>
    <s v=""/>
    <s v=""/>
    <s v=""/>
    <s v=""/>
    <s v=""/>
    <s v=""/>
    <s v=""/>
    <s v=""/>
    <s v=""/>
    <s v=""/>
    <s v=""/>
    <s v=""/>
    <s v=""/>
    <s v="10/10/2025"/>
    <n v="-130"/>
    <x v="1"/>
    <x v="1"/>
  </r>
  <r>
    <s v="TEN-1943"/>
    <s v="2025"/>
    <x v="2"/>
    <s v="PwC"/>
    <x v="0"/>
    <x v="24"/>
    <x v="0"/>
    <x v="15"/>
    <s v="Property, Plant, and Equipment"/>
    <s v="Adjustments &amp; Period-end Close for Property, plant &amp; equipment"/>
    <x v="6"/>
    <s v=""/>
    <s v="PPAE-33"/>
    <s v=""/>
    <s v="(Celaya - OE) (Performance Solutions)- Management Self-Testing 2025"/>
    <s v="Unsupported and Ageing balances"/>
    <s v="Lack of follow up with the movement balances, some balances not make mach with the SAP and worksheet, lack of control with some items."/>
    <s v=""/>
    <s v=""/>
    <s v="The information reviewed until september 2025 is implemented and the control and balances are rigths. The montly reconciliation the roll forward is showing a good balances, and the approvals is supported with documents. "/>
    <x v="0"/>
    <x v="10"/>
    <s v=""/>
    <s v="Alejandro R. "/>
    <s v="Open"/>
    <s v=""/>
    <x v="0"/>
    <s v=""/>
    <s v=""/>
    <s v="N/A"/>
    <s v="Gupta"/>
    <s v="V"/>
    <s v=""/>
    <s v=""/>
    <s v=""/>
    <s v=""/>
    <s v=""/>
    <s v=""/>
    <s v=""/>
    <s v=""/>
    <s v=""/>
    <s v=""/>
    <s v=""/>
    <s v=""/>
    <s v=""/>
    <s v=""/>
    <s v=""/>
    <s v=""/>
    <s v=""/>
    <s v=""/>
    <s v="10/10/2025"/>
    <n v="21"/>
    <x v="2"/>
    <x v="0"/>
  </r>
  <r>
    <s v="TEN-1944"/>
    <s v="2025"/>
    <x v="2"/>
    <s v="PwC"/>
    <x v="0"/>
    <x v="24"/>
    <x v="0"/>
    <x v="15"/>
    <s v="Property, Plant, and Equipment"/>
    <s v="Adjustments &amp; Period-end Close for Property, plant &amp; equipment"/>
    <x v="0"/>
    <s v=""/>
    <s v="PPAE-35"/>
    <s v=""/>
    <s v="(Celaya - OE) (Performance Solutions)- Management Self-Testing 2025"/>
    <s v="Unsupported and Negative balances"/>
    <s v="Some balances are in negative, is necessary request a tickt for IT in order to solve it. "/>
    <s v=""/>
    <s v=""/>
    <s v="Some balances are in negative, is necessary request a ticket for IT in order to solve it. Already request to IT to solve the issue, we are waiting for the respond. "/>
    <x v="2"/>
    <x v="1"/>
    <s v=""/>
    <s v="Alejandro R."/>
    <s v="Open"/>
    <s v=""/>
    <x v="1"/>
    <s v=""/>
    <s v=""/>
    <s v="N/A"/>
    <s v="Gupta"/>
    <s v="A, C, CO, E/O, P&amp;D, R&amp;O, V"/>
    <s v=""/>
    <s v=""/>
    <s v=""/>
    <s v=""/>
    <s v=""/>
    <s v=""/>
    <s v=""/>
    <s v=""/>
    <s v=""/>
    <s v=""/>
    <s v=""/>
    <s v=""/>
    <s v=""/>
    <s v=""/>
    <s v=""/>
    <s v=""/>
    <s v=""/>
    <s v=""/>
    <s v="10/10/2025"/>
    <n v="-40"/>
    <x v="1"/>
    <x v="1"/>
  </r>
  <r>
    <s v="TEN-1972"/>
    <s v="2025"/>
    <x v="2"/>
    <s v="PwC"/>
    <x v="0"/>
    <x v="10"/>
    <x v="2"/>
    <x v="9"/>
    <s v="Production and Inventory"/>
    <s v="Production and Costing"/>
    <x v="14"/>
    <s v=""/>
    <s v="PINV-30"/>
    <s v=""/>
    <s v="(Stadtallendorf) (Powertrain)- Management Self-Testing 2025"/>
    <s v="Standard costs effective Dec 31, 2024 lacked required Group Controller approval."/>
    <s v="Newly calculated standard costs must be approved at the Group Controller/Finance Director level to become effective as of December 31st. It was noted that the standard costs that became effective as of December 31st 2024 were not approved from the Group Controller/Finance Director."/>
    <s v=""/>
    <s v=""/>
    <s v="We will ask the Group Controller to approve the standard costs that will be calculated in December 2025 and which will become effective as of December 31, 2025."/>
    <x v="0"/>
    <x v="1"/>
    <s v=""/>
    <s v="Wilhelm Rönninger, Plant Controller"/>
    <s v="Open"/>
    <s v=""/>
    <x v="1"/>
    <s v=""/>
    <s v=""/>
    <s v="N/A"/>
    <s v="Gupta"/>
    <s v="A"/>
    <s v=""/>
    <s v=""/>
    <s v=""/>
    <s v=""/>
    <s v=""/>
    <s v=""/>
    <s v=""/>
    <s v=""/>
    <s v=""/>
    <s v=""/>
    <s v=""/>
    <s v=""/>
    <s v=""/>
    <s v=""/>
    <s v=""/>
    <s v=""/>
    <s v=""/>
    <s v=""/>
    <s v="10/10/2025"/>
    <n v="-40"/>
    <x v="1"/>
    <x v="1"/>
  </r>
  <r>
    <s v="TEN-1978"/>
    <s v="2025"/>
    <x v="2"/>
    <s v="PwC"/>
    <x v="0"/>
    <x v="61"/>
    <x v="2"/>
    <x v="10"/>
    <s v="Revenue and Receivables"/>
    <s v="Invoicing"/>
    <x v="35"/>
    <s v=""/>
    <s v="REVE-17"/>
    <s v=""/>
    <s v="(South Bend) (Powertrain) - Management Self-Testing 2025"/>
    <s v=" Pricing Override Report was not reviewed"/>
    <s v="&quot;The Pricing Override Report was not reviewed and approved on a timely basis and not appropriately signed by the Plant Controller to evidence timely sign-off._x000a__x000a_"/>
    <s v=""/>
    <s v=""/>
    <s v="The sign-off of the Pricing Override Report will be added to the Controller's standard monthly control review schedule.  As part of this process, the Controller will review and investigate any discrepant prices to ensure that they are correct and adequately explained and documented.  The Controller will sign-off on the report evidence completion of this control and the report will be retained in electronic format in the appropriate file directory._x000a_"/>
    <x v="0"/>
    <x v="10"/>
    <s v=""/>
    <s v="Mark MacInnis- Plant Controller/Jeff Fouts - Plant Controller_x000a_"/>
    <s v="Open"/>
    <s v=""/>
    <x v="0"/>
    <s v=""/>
    <s v=""/>
    <s v="N/A"/>
    <s v="Gupta"/>
    <s v="A"/>
    <s v=""/>
    <s v=""/>
    <s v=""/>
    <s v=""/>
    <s v=""/>
    <s v=""/>
    <s v=""/>
    <s v=""/>
    <s v=""/>
    <s v=""/>
    <s v=""/>
    <s v=""/>
    <s v=""/>
    <s v=""/>
    <s v=""/>
    <s v=""/>
    <s v=""/>
    <s v=""/>
    <s v="10/10/2025"/>
    <n v="21"/>
    <x v="2"/>
    <x v="0"/>
  </r>
  <r>
    <s v="TEN-1979"/>
    <s v="2025"/>
    <x v="2"/>
    <s v="PwC"/>
    <x v="0"/>
    <x v="61"/>
    <x v="2"/>
    <x v="10"/>
    <s v="Revenue and Receivables"/>
    <s v="Adjustments &amp; Period-end Close for Revenue &amp; receivables"/>
    <x v="14"/>
    <s v=""/>
    <s v="REVE-63"/>
    <s v=""/>
    <s v="(South Bend) (Powertrain) - Management Self-Testing 2025"/>
    <s v="Review not performed timely"/>
    <s v="Support for the pricing file was for May 2024 Approval did not meet the 10 day workday completion requirement.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 eht reconciliation, is identified and designated on a timely basis.  In addition, the Controller should make certain as part of his review and sign-off that the pricing reports are dated appropriately and cover the period for which the approval is being made._x000a_ IT will be involved to quickly grant access to the reconciliation process documents/systems as expeditiously as possible."/>
    <x v="0"/>
    <x v="10"/>
    <s v=""/>
    <s v="Mark MacInnis- Plant Controller/Jeff Fouts - Plant Controller_x000a_"/>
    <s v="Open"/>
    <s v=""/>
    <x v="0"/>
    <s v=""/>
    <s v=""/>
    <s v="N/A"/>
    <s v="Gupta"/>
    <s v="A"/>
    <s v=""/>
    <s v=""/>
    <s v=""/>
    <s v=""/>
    <s v=""/>
    <s v=""/>
    <s v=""/>
    <s v=""/>
    <s v=""/>
    <s v=""/>
    <s v=""/>
    <s v=""/>
    <s v=""/>
    <s v=""/>
    <s v=""/>
    <s v=""/>
    <s v=""/>
    <s v=""/>
    <s v="10/10/2025"/>
    <n v="21"/>
    <x v="2"/>
    <x v="0"/>
  </r>
  <r>
    <s v="TEN-1980"/>
    <s v="2025"/>
    <x v="2"/>
    <s v="PwC"/>
    <x v="0"/>
    <x v="65"/>
    <x v="0"/>
    <x v="22"/>
    <s v="Revenue and Receivables"/>
    <s v="Order Processing"/>
    <x v="21"/>
    <s v=""/>
    <s v="REVE-03"/>
    <s v=""/>
    <s v="SSC Certification - AR (PS) - Management Self-Testing 2025"/>
    <s v="Approval Sign-off missing"/>
    <s v="No manager approval signature"/>
    <s v=""/>
    <s v=""/>
    <s v="Define Manager sign off process with correct parties"/>
    <x v="0"/>
    <x v="10"/>
    <s v=""/>
    <s v="Amy Osborne"/>
    <s v="Open"/>
    <s v=""/>
    <x v="0"/>
    <s v=""/>
    <s v=""/>
    <s v="N/A"/>
    <s v="Gupta"/>
    <s v="A"/>
    <s v=""/>
    <s v=""/>
    <s v=""/>
    <s v=""/>
    <s v=""/>
    <s v=""/>
    <s v=""/>
    <s v=""/>
    <s v=""/>
    <s v=""/>
    <s v=""/>
    <s v=""/>
    <s v=""/>
    <s v=""/>
    <s v=""/>
    <s v=""/>
    <s v=""/>
    <s v=""/>
    <s v="10/10/2025"/>
    <n v="21"/>
    <x v="2"/>
    <x v="0"/>
  </r>
  <r>
    <s v="TEN-1981"/>
    <s v="2025"/>
    <x v="2"/>
    <s v="PwC"/>
    <x v="0"/>
    <x v="65"/>
    <x v="0"/>
    <x v="22"/>
    <s v="Revenue and Receivables"/>
    <s v="Order Processing"/>
    <x v="14"/>
    <s v=""/>
    <s v="REVE-09"/>
    <s v=""/>
    <s v="SSC Certification - AR (PS) - Management Self-Testing 2025"/>
    <s v="Approval not provided timely"/>
    <s v="Was not approved thru workflow process"/>
    <s v=""/>
    <s v=""/>
    <s v="Define workflow process owners ( due to several transitions along 2024-2025 approval process got lost and was restarted Q2 post stabilization); now process in place with current owners until new owners can be defined "/>
    <x v="0"/>
    <x v="10"/>
    <s v=""/>
    <s v="Amy Osborne"/>
    <s v="Open"/>
    <s v=""/>
    <x v="0"/>
    <s v=""/>
    <s v=""/>
    <s v="N/A"/>
    <s v="Gupta"/>
    <s v="E/O, V"/>
    <s v=""/>
    <s v=""/>
    <s v=""/>
    <s v=""/>
    <s v=""/>
    <s v=""/>
    <s v=""/>
    <s v=""/>
    <s v=""/>
    <s v=""/>
    <s v=""/>
    <s v=""/>
    <s v=""/>
    <s v=""/>
    <s v=""/>
    <s v=""/>
    <s v=""/>
    <s v=""/>
    <s v="10/10/2025"/>
    <n v="21"/>
    <x v="2"/>
    <x v="0"/>
  </r>
  <r>
    <s v="TEN-1982"/>
    <s v="2025"/>
    <x v="2"/>
    <s v="PwC"/>
    <x v="0"/>
    <x v="65"/>
    <x v="0"/>
    <x v="22"/>
    <s v="Revenue and Receivables"/>
    <s v="Bad Debts"/>
    <x v="21"/>
    <s v=""/>
    <s v="REVE-46"/>
    <s v=""/>
    <s v="SSC Certification - AR (PS) - Management Self-Testing 2025"/>
    <s v="Control was not performed"/>
    <s v="Bad Debt reserve analysis not done until June 2025"/>
    <s v=""/>
    <s v=""/>
    <s v="Bad Debt reserve analysis performed effectively after September month-end close"/>
    <x v="0"/>
    <x v="10"/>
    <s v=""/>
    <s v="Lisa Ball / Catalina Boeru / Antonio Guzman"/>
    <s v="Open"/>
    <s v=""/>
    <x v="0"/>
    <s v=""/>
    <s v=""/>
    <s v="N/A"/>
    <s v="Gupta"/>
    <s v="V"/>
    <s v=""/>
    <s v=""/>
    <s v=""/>
    <s v=""/>
    <s v=""/>
    <s v=""/>
    <s v=""/>
    <s v=""/>
    <s v=""/>
    <s v=""/>
    <s v=""/>
    <s v=""/>
    <s v=""/>
    <s v=""/>
    <s v=""/>
    <s v=""/>
    <s v=""/>
    <s v=""/>
    <s v="10/10/2025"/>
    <n v="21"/>
    <x v="2"/>
    <x v="0"/>
  </r>
  <r>
    <s v="TEN-1983"/>
    <s v="2025"/>
    <x v="2"/>
    <s v="PwC"/>
    <x v="0"/>
    <x v="65"/>
    <x v="0"/>
    <x v="22"/>
    <s v="Revenue and Receivables"/>
    <s v="Adjustments &amp; Period-end Close for Revenue &amp; receivables"/>
    <x v="14"/>
    <s v=""/>
    <s v="REVE-62"/>
    <s v=""/>
    <s v="SSC Certification - AR (PS) - Management Self-Testing 2025"/>
    <s v="Payer creation was not sent for approval"/>
    <s v="Payer creation was not sent for approval"/>
    <s v=""/>
    <s v=""/>
    <s v="Review for manager approval at time of changes ( due to several transitions along 2024-2025 approval process got lost and was restarted Q2 post stabilization); now process in place manual approval from direct manager "/>
    <x v="0"/>
    <x v="10"/>
    <s v=""/>
    <s v="Amy Osborne / Olga Chirila / Roxana Popescu"/>
    <s v="Open"/>
    <s v=""/>
    <x v="0"/>
    <s v=""/>
    <s v=""/>
    <s v="N/A"/>
    <s v="Gupta"/>
    <s v="A"/>
    <s v=""/>
    <s v=""/>
    <s v=""/>
    <s v=""/>
    <s v=""/>
    <s v=""/>
    <s v=""/>
    <s v=""/>
    <s v=""/>
    <s v=""/>
    <s v=""/>
    <s v=""/>
    <s v=""/>
    <s v=""/>
    <s v=""/>
    <s v=""/>
    <s v=""/>
    <s v=""/>
    <s v="10/10/2025"/>
    <n v="21"/>
    <x v="2"/>
    <x v="0"/>
  </r>
  <r>
    <s v="TEN-1984"/>
    <s v="2025"/>
    <x v="3"/>
    <s v="PwC"/>
    <x v="0"/>
    <x v="66"/>
    <x v="2"/>
    <x v="10"/>
    <s v="Self-Testing"/>
    <s v=""/>
    <x v="34"/>
    <s v="Major"/>
    <s v=""/>
    <s v=""/>
    <s v="Cardiff (DRiV) -Management Self-Testing Report 2025"/>
    <s v="Self-Testing was not completed by location."/>
    <s v="Background: All locations were required to complete self-testing by July 31, 2025. The location requested an extension up to September 30 2025. However, the self-testing was not completed for the year 2025 at extended timeline also._x000a__x000a_Risk: Absence of self-evaluation of controls increases risk of non-compliance of applicable controls."/>
    <s v="No"/>
    <s v="Self-testing should be completed within due date adhering to the guidelines and instructions communicated to all locations."/>
    <s v="Self-testing for 2026 will be completed as per corporate directed timelines."/>
    <x v="0"/>
    <x v="1"/>
    <s v=""/>
    <s v="Shana Shults (Plant Finance Leader)"/>
    <s v="Open"/>
    <s v=""/>
    <x v="1"/>
    <s v=""/>
    <s v=""/>
    <s v="N/A"/>
    <s v="Gupta"/>
    <s v=""/>
    <s v=""/>
    <s v=""/>
    <s v=""/>
    <s v=""/>
    <s v=""/>
    <s v=""/>
    <s v=""/>
    <s v=""/>
    <s v=""/>
    <s v=""/>
    <s v=""/>
    <s v=""/>
    <s v=""/>
    <s v=""/>
    <s v=""/>
    <s v=""/>
    <d v="2025-09-30T00:00:00"/>
    <d v="2025-10-10T00:00:00"/>
    <s v="10/10/2025"/>
    <n v="-40"/>
    <x v="1"/>
    <x v="1"/>
  </r>
  <r>
    <s v="TEN-1985"/>
    <s v="2025"/>
    <x v="3"/>
    <s v="PwC"/>
    <x v="0"/>
    <x v="67"/>
    <x v="2"/>
    <x v="10"/>
    <s v="Self-Testing"/>
    <s v=""/>
    <x v="34"/>
    <s v="Major"/>
    <s v=""/>
    <s v=""/>
    <s v="Argentina Aftermarket (DRiV) - Management Self-Testing Report 2025"/>
    <s v="Self-Testing was not completed by location."/>
    <s v="Background: All locations were required to complete self-testing by July 31, 2025. The location requested an extension up to September 30 2025. However, the self-testing was not completed for the year 2025 at extended timeline also._x000a__x000a_Risk: Absence of self-evaluation of controls increases risk of non-compliance of applicable controls."/>
    <s v="No"/>
    <s v="Self-testing should be completed within due date adhering to the guidelines and instructions communicated to all locations."/>
    <s v="Self-testing for 2026 will be completed as per corporate directed timelines."/>
    <x v="0"/>
    <x v="1"/>
    <s v=""/>
    <s v="Shana Shults (Plant Finance Leader)"/>
    <s v="Open"/>
    <s v=""/>
    <x v="1"/>
    <s v=""/>
    <s v=""/>
    <s v="N/A"/>
    <s v="Gupta"/>
    <s v=""/>
    <s v=""/>
    <s v=""/>
    <s v=""/>
    <s v=""/>
    <s v=""/>
    <s v=""/>
    <s v=""/>
    <s v=""/>
    <s v=""/>
    <s v=""/>
    <s v=""/>
    <s v=""/>
    <s v=""/>
    <s v=""/>
    <s v=""/>
    <s v=""/>
    <d v="2025-09-30T00:00:00"/>
    <d v="2025-10-10T00:00:00"/>
    <s v="10/10/2025"/>
    <n v="-40"/>
    <x v="1"/>
    <x v="1"/>
  </r>
  <r>
    <s v="TEN-1986"/>
    <s v="2025"/>
    <x v="2"/>
    <s v="PwC"/>
    <x v="0"/>
    <x v="68"/>
    <x v="2"/>
    <x v="10"/>
    <s v="Purchasing and Payables"/>
    <s v="Invoice Processing"/>
    <x v="5"/>
    <s v=""/>
    <s v="PAPA-18"/>
    <s v=""/>
    <s v="(Athens) (Powertrain)- Management Self-Testing 2025"/>
    <s v="The system does not prevent duplicates"/>
    <s v="The system does not prevent duplicates. Share services now enters all invoices in this transition it's been learning curve and delay in cleaning up the duplicates. "/>
    <s v=""/>
    <s v=""/>
    <s v="Weekly report, meeting and cleaning up unmatched live and document control system  is being held with shared services. "/>
    <x v="0"/>
    <x v="10"/>
    <s v=""/>
    <s v="Syd Barnes -  Sr. Accountant/Hector Cordova - Plant Finance Manager/New Person filling this role - Plant Accountant"/>
    <s v="Open"/>
    <s v=""/>
    <x v="0"/>
    <s v=""/>
    <s v=""/>
    <s v="N/A"/>
    <s v="Gupta"/>
    <s v="E/O, R&amp;O"/>
    <s v=""/>
    <s v=""/>
    <s v=""/>
    <s v=""/>
    <s v=""/>
    <s v=""/>
    <s v=""/>
    <s v=""/>
    <s v=""/>
    <s v=""/>
    <s v=""/>
    <s v=""/>
    <s v=""/>
    <s v=""/>
    <s v=""/>
    <s v=""/>
    <s v=""/>
    <s v=""/>
    <s v="10/13/2025"/>
    <n v="21"/>
    <x v="2"/>
    <x v="0"/>
  </r>
  <r>
    <s v="TEN-1987"/>
    <s v="2025"/>
    <x v="2"/>
    <s v="PwC"/>
    <x v="0"/>
    <x v="68"/>
    <x v="2"/>
    <x v="10"/>
    <s v="Purchasing and Payables"/>
    <s v="Payments"/>
    <x v="5"/>
    <s v=""/>
    <s v="PAPA-20"/>
    <s v=""/>
    <s v="(Athens) (Powertrain)- Management Self-Testing 2025"/>
    <s v="Payments do not align with the approved proposal"/>
    <s v="Checks are not handled in Athens. Requires collaboration with Coporate Purchasing and AP SSC to ensure they are reconciling account. Proposal is approved by Director of Purchasing and processed by AP SSC. Initial review for prioritization performed at the site, however, based on cash flow management via Corporate Purchasing, payments are approved and processed per the the Purchasing Team considering the priorities established by the site. This may or may not align with the amount and priorities set for the proposal due to cash management strategy."/>
    <s v=""/>
    <s v=""/>
    <s v="Follow up with AP SSC and Corporate Purchasing to identify a control or action to meet the desired result."/>
    <x v="0"/>
    <x v="10"/>
    <s v=""/>
    <s v="Syd Barnes - Sr. Accountant in collaboration with the Corporate Purchasing and AP Shared Services"/>
    <s v="Open"/>
    <s v=""/>
    <x v="0"/>
    <s v=""/>
    <s v=""/>
    <s v="N/A"/>
    <s v="Gupta"/>
    <s v="A, C, E/O"/>
    <s v=""/>
    <s v=""/>
    <s v=""/>
    <s v=""/>
    <s v=""/>
    <s v=""/>
    <s v=""/>
    <s v=""/>
    <s v=""/>
    <s v=""/>
    <s v=""/>
    <s v=""/>
    <s v=""/>
    <s v=""/>
    <s v=""/>
    <s v=""/>
    <s v=""/>
    <s v=""/>
    <s v="10/13/2025"/>
    <n v="21"/>
    <x v="2"/>
    <x v="0"/>
  </r>
  <r>
    <s v="TEN-1988"/>
    <s v="2025"/>
    <x v="2"/>
    <s v="PwC"/>
    <x v="0"/>
    <x v="68"/>
    <x v="2"/>
    <x v="10"/>
    <s v="Purchasing and Payables"/>
    <s v="Adjustments &amp; Period-end Close for Purchasing &amp; payables"/>
    <x v="0"/>
    <s v=""/>
    <s v="PAPA-44"/>
    <s v=""/>
    <s v="(Athens) (Powertrain)- Management Self-Testing 2025"/>
    <s v="AP Aging and General Ledger totals do not balance."/>
    <s v="Our AP function has been transferred to the AP shared services team.  Interface AP unmatched live has duplicate invoices, paid invoices and receipts unmatched which creates out of balance between aging report and balance sheet balances.   "/>
    <s v=""/>
    <s v=""/>
    <s v="We are working with the shared services team to remove duplicate and invalid transactions from the unmatched live report.   "/>
    <x v="0"/>
    <x v="10"/>
    <s v=""/>
    <s v="Syd Barnes - Sr. Accountant/Hector Cordova - Plant Finance Manager"/>
    <s v="Open"/>
    <s v=""/>
    <x v="0"/>
    <s v=""/>
    <s v=""/>
    <s v="N/A"/>
    <s v="Gupta"/>
    <s v="A, C, CO, E/O, P&amp;D, R&amp;O, V"/>
    <s v=""/>
    <s v=""/>
    <s v=""/>
    <s v=""/>
    <s v=""/>
    <s v=""/>
    <s v=""/>
    <s v=""/>
    <s v=""/>
    <s v=""/>
    <s v=""/>
    <s v=""/>
    <s v=""/>
    <s v=""/>
    <s v=""/>
    <s v=""/>
    <s v=""/>
    <s v=""/>
    <s v="10/13/2025"/>
    <n v="21"/>
    <x v="2"/>
    <x v="0"/>
  </r>
  <r>
    <s v="TEN-1989"/>
    <s v="2025"/>
    <x v="2"/>
    <s v="PwC"/>
    <x v="0"/>
    <x v="68"/>
    <x v="2"/>
    <x v="10"/>
    <s v="Production and Inventory"/>
    <s v="Production and Costing"/>
    <x v="10"/>
    <s v=""/>
    <s v="PINV-28"/>
    <s v=""/>
    <s v="(Athens) (Powertrain)- Management Self-Testing 2025"/>
    <s v="Inventory master file changes are not appropriately reviewed by management"/>
    <s v="The ECRs containing the BOM and Routing changes are not tracked and are not reviewed by the cost accountant. There is not a revision of before and after cost, and the paper can be easily lost. "/>
    <s v=""/>
    <s v=""/>
    <s v="The ECR needs to migrate to ECR tool, which is in PLEX and with this the workflow can be easily approved electronically. The ECR tool will be migrated to PLEX on July month. This was postponed to October as the complexities and training has taken more time than anticipated."/>
    <x v="0"/>
    <x v="10"/>
    <s v=""/>
    <s v="Fabiola Briceno - Sr. Cost Accountant"/>
    <s v="Open"/>
    <s v=""/>
    <x v="0"/>
    <s v=""/>
    <s v=""/>
    <s v="N/A"/>
    <s v="Gupta"/>
    <s v="A"/>
    <s v=""/>
    <s v=""/>
    <s v=""/>
    <s v=""/>
    <s v=""/>
    <s v=""/>
    <s v=""/>
    <s v=""/>
    <s v=""/>
    <s v=""/>
    <s v=""/>
    <s v=""/>
    <s v=""/>
    <s v=""/>
    <s v=""/>
    <s v=""/>
    <s v=""/>
    <s v=""/>
    <s v="10/13/2025"/>
    <n v="21"/>
    <x v="2"/>
    <x v="0"/>
  </r>
  <r>
    <s v="TEN-1991"/>
    <s v="2025"/>
    <x v="2"/>
    <s v="PwC"/>
    <x v="0"/>
    <x v="68"/>
    <x v="2"/>
    <x v="10"/>
    <s v="Property, Plant, and Equipment"/>
    <s v="Adjustments &amp; Period-end Close for Property, plant &amp; equipment"/>
    <x v="6"/>
    <s v=""/>
    <s v="PPAE-33"/>
    <s v=""/>
    <s v="(Athens) (Powertrain)- Management Self-Testing 2025"/>
    <s v="Impairment analysis not performed periodically"/>
    <s v="Due to several issues related to the PPE process, an impairment was not completed in 2024-2025. Now that these issues have been resolve, we anticipate completing an impairment analysis before year end."/>
    <s v=""/>
    <s v=""/>
    <s v="Complete an impairment analysis before year end and schedule an impairment analysis procedure to be completed, annually."/>
    <x v="0"/>
    <x v="1"/>
    <s v=""/>
    <s v="Syd Barnes - Sr. Accountant                                                    Hector Cordova - Plant Finance Manager"/>
    <s v="Open"/>
    <s v=""/>
    <x v="1"/>
    <s v=""/>
    <s v=""/>
    <s v="N/A"/>
    <s v="Gupta"/>
    <s v="V"/>
    <s v=""/>
    <s v=""/>
    <s v=""/>
    <s v=""/>
    <s v=""/>
    <s v=""/>
    <s v=""/>
    <s v=""/>
    <s v=""/>
    <s v=""/>
    <s v=""/>
    <s v=""/>
    <s v=""/>
    <s v=""/>
    <s v=""/>
    <s v=""/>
    <s v=""/>
    <s v=""/>
    <s v="10/13/2025"/>
    <n v="-40"/>
    <x v="1"/>
    <x v="1"/>
  </r>
  <r>
    <s v="TEN-1992"/>
    <s v="2025"/>
    <x v="2"/>
    <s v="PwC"/>
    <x v="0"/>
    <x v="69"/>
    <x v="0"/>
    <x v="0"/>
    <s v="Property, Plant, and Equipment"/>
    <s v="Depreciation, Subsequent Measurement, and Impairment"/>
    <x v="24"/>
    <s v=""/>
    <s v="PPAE-16"/>
    <s v=""/>
    <s v="(Changzhou RC) (Performance Solutions)- Management Self-Testing 2025"/>
    <s v="Timely Capitalization of completed capital projects"/>
    <s v="Assets associated with completed projects haven't been capitalized in timely manner. "/>
    <s v=""/>
    <s v=""/>
    <s v="Regular review with related departments to accelerate the capitalization process. CIP aging over 1 year reduced from last year Jun end $10M to this year Jun end $3.1M._x000a__x000a_Great improvement in past 1 year, keep same process"/>
    <x v="0"/>
    <x v="1"/>
    <s v=""/>
    <s v="Rachel Xiang, Plant Finance Leader"/>
    <s v="Open"/>
    <s v=""/>
    <x v="1"/>
    <s v=""/>
    <s v=""/>
    <s v="N/A"/>
    <s v="Gupta"/>
    <s v="A, C, CO, E/O"/>
    <s v=""/>
    <s v=""/>
    <s v=""/>
    <s v=""/>
    <s v=""/>
    <s v=""/>
    <s v=""/>
    <s v=""/>
    <s v=""/>
    <s v=""/>
    <s v=""/>
    <s v=""/>
    <s v=""/>
    <s v=""/>
    <s v=""/>
    <s v=""/>
    <s v=""/>
    <s v=""/>
    <s v="10/13/2025"/>
    <n v="-40"/>
    <x v="1"/>
    <x v="1"/>
  </r>
  <r>
    <s v="TEN-1993"/>
    <s v="2025"/>
    <x v="2"/>
    <s v="PwC"/>
    <x v="0"/>
    <x v="24"/>
    <x v="0"/>
    <x v="15"/>
    <s v="Production and Inventory"/>
    <s v="Adjustments &amp; Period-end Close for Production and inventory"/>
    <x v="35"/>
    <s v=""/>
    <s v="PINV-39"/>
    <s v=""/>
    <s v="(Celaya - OE) (Performance Solutions)- Management Self-Testing 2025"/>
    <s v="Production inventory metrics review not performed"/>
    <s v="No information was found related to this point. Per discussion with the Cost Supervisor due to internal changes in the position this control was not executed."/>
    <s v=""/>
    <s v=""/>
    <s v="The review of the Production inventory metrics should be performed every month. Per discussion with Cost Supervisor, the control will be executed from December 2025."/>
    <x v="0"/>
    <x v="1"/>
    <s v=""/>
    <s v="Jezabel Rodriguez/Adriana Pacheco"/>
    <s v="Open"/>
    <s v=""/>
    <x v="1"/>
    <s v=""/>
    <s v=""/>
    <s v="N/A"/>
    <s v="Gupta"/>
    <s v="A, C, CO, E/O"/>
    <s v=""/>
    <s v=""/>
    <s v=""/>
    <s v=""/>
    <s v=""/>
    <s v=""/>
    <s v=""/>
    <s v=""/>
    <s v=""/>
    <s v=""/>
    <s v=""/>
    <s v=""/>
    <s v=""/>
    <s v=""/>
    <s v=""/>
    <s v=""/>
    <s v=""/>
    <s v=""/>
    <s v="10/13/2025"/>
    <n v="-40"/>
    <x v="1"/>
    <x v="1"/>
  </r>
  <r>
    <s v="TEN-1994"/>
    <s v="2025"/>
    <x v="2"/>
    <s v="PwC"/>
    <x v="0"/>
    <x v="62"/>
    <x v="0"/>
    <x v="2"/>
    <s v="Payroll"/>
    <s v="Adjustments &amp; Period-end Close for Payroll"/>
    <x v="3"/>
    <s v=""/>
    <s v="PAYR-18"/>
    <s v=""/>
    <s v="(Ploiesti) (Performance Solutions)- Management Self-Testing 2025"/>
    <s v="MIP monthly Accrual is based on AOP level and it is not updated once a manager is leaving or a position was not yet hired. "/>
    <s v="MIP monthly Accrual is based on AOP level and it is not updated once a manager is leaving or a position was not yet hired. "/>
    <s v=""/>
    <s v=""/>
    <s v="The update of MIP monthly accrual should be done on quarterly basis if the situation requires that. A true up should be perform if needed."/>
    <x v="0"/>
    <x v="10"/>
    <s v=""/>
    <s v="Elena Savu (Payroll Specialist)"/>
    <s v="Open"/>
    <s v=""/>
    <x v="0"/>
    <s v=""/>
    <s v=""/>
    <s v="N/A"/>
    <s v="Gupta"/>
    <s v="C, CO, R&amp;O"/>
    <s v=""/>
    <s v=""/>
    <s v=""/>
    <s v=""/>
    <s v=""/>
    <s v=""/>
    <s v=""/>
    <s v=""/>
    <s v=""/>
    <s v=""/>
    <s v=""/>
    <s v=""/>
    <s v=""/>
    <s v=""/>
    <s v=""/>
    <s v=""/>
    <s v=""/>
    <s v=""/>
    <s v="10/13/2025"/>
    <n v="21"/>
    <x v="2"/>
    <x v="0"/>
  </r>
  <r>
    <s v="TEN-1995"/>
    <s v="2025"/>
    <x v="2"/>
    <s v="PwC"/>
    <x v="0"/>
    <x v="62"/>
    <x v="0"/>
    <x v="2"/>
    <s v="Property, Plant, and Equipment"/>
    <s v="Adjustments &amp; Period-end Close for Property, plant &amp; equipment"/>
    <x v="7"/>
    <s v=""/>
    <s v="PPAE-32"/>
    <s v=""/>
    <s v="(Ploiesti) (Performance Solutions)- Management Self-Testing 2025"/>
    <s v="Not performed in December 2024, scheduled to be performed during the year-end inventory count in December 2025."/>
    <s v="To be performed at the year-end inventory count in Dec-2025"/>
    <s v=""/>
    <s v=""/>
    <s v="Fixed assets stock take should be performed by December 25"/>
    <x v="0"/>
    <x v="19"/>
    <s v=""/>
    <s v="Luciana Coman, GL Supervisor"/>
    <s v="Open"/>
    <s v=""/>
    <x v="2"/>
    <s v=""/>
    <s v=""/>
    <s v="N/A"/>
    <s v="Gupta"/>
    <s v="A, C, E/O, V"/>
    <s v=""/>
    <s v=""/>
    <s v=""/>
    <s v=""/>
    <s v=""/>
    <s v=""/>
    <s v=""/>
    <s v=""/>
    <s v=""/>
    <s v=""/>
    <s v=""/>
    <s v=""/>
    <s v=""/>
    <s v=""/>
    <s v=""/>
    <s v=""/>
    <s v=""/>
    <s v=""/>
    <s v="10/24/2025"/>
    <n v="-24"/>
    <x v="1"/>
    <x v="1"/>
  </r>
  <r>
    <s v="TEN-2001"/>
    <s v="2025"/>
    <x v="2"/>
    <s v="PwC"/>
    <x v="0"/>
    <x v="70"/>
    <x v="2"/>
    <x v="9"/>
    <s v="Purchasing and Payables"/>
    <s v="Purchasing and Payables"/>
    <x v="19"/>
    <s v=""/>
    <s v="PAPA-44"/>
    <s v=""/>
    <s v="(Burscheid) (Powertrain)  - Management Self-Testing 2025"/>
    <s v="GL  and Sub-ledger does not agree"/>
    <s v="General ledger does not match with subledger due to 2 different independet systems which are not synchronized correctly. "/>
    <s v=""/>
    <s v=""/>
    <s v="SSC will return to the old system (move from FP1 to RLP)"/>
    <x v="2"/>
    <x v="21"/>
    <s v=""/>
    <s v="GASTON ROESCHLI, Director, Operational Finance BRM"/>
    <s v="Open"/>
    <s v=""/>
    <x v="3"/>
    <s v=""/>
    <s v=""/>
    <s v="N/A"/>
    <s v="Gupta"/>
    <s v="A, C, CO, E/O, P&amp;D, R&amp;O, V"/>
    <s v=""/>
    <s v=""/>
    <s v=""/>
    <s v=""/>
    <s v=""/>
    <s v=""/>
    <s v=""/>
    <s v=""/>
    <s v=""/>
    <s v=""/>
    <s v=""/>
    <s v=""/>
    <s v=""/>
    <s v=""/>
    <s v=""/>
    <s v=""/>
    <s v=""/>
    <s v=""/>
    <s v="10/24/2025"/>
    <n v="-99"/>
    <x v="1"/>
    <x v="1"/>
  </r>
  <r>
    <s v="TEN-2005"/>
    <s v="2025"/>
    <x v="2"/>
    <s v="PwC"/>
    <x v="0"/>
    <x v="63"/>
    <x v="0"/>
    <x v="8"/>
    <s v="Payroll"/>
    <s v="Time Recording"/>
    <x v="3"/>
    <s v=""/>
    <s v="PAYR-03"/>
    <s v=""/>
    <s v="(Napoleon) (Performance Solutions)   - Management Self-Testing 2025"/>
    <s v="Supervisors are not signing every single time card that is submitted by the workers in their departments"/>
    <s v="Supervisors are not signing every single time card that is submitted by the workers in their departments"/>
    <s v=""/>
    <s v=""/>
    <s v="The supervisor enters the time into SAP for payroll.  They also submit a paper timecard which is not being signed regularly.  HR will be sending the unsigned timecards to the Operations Manager to get signatures going forward."/>
    <x v="0"/>
    <x v="10"/>
    <s v=""/>
    <s v="Kay Massel (Human Resources Administrator), Charles Zupan (Operations Manager), &amp; Diane Stahl (Plant Finance Leader)"/>
    <s v="Open"/>
    <s v=""/>
    <x v="0"/>
    <s v=""/>
    <s v=""/>
    <s v="N/A"/>
    <s v="Gupta"/>
    <s v="A, E/O"/>
    <s v=""/>
    <s v=""/>
    <s v=""/>
    <s v=""/>
    <s v=""/>
    <s v=""/>
    <s v=""/>
    <s v=""/>
    <s v=""/>
    <s v=""/>
    <s v=""/>
    <s v=""/>
    <s v=""/>
    <s v=""/>
    <s v=""/>
    <s v=""/>
    <s v=""/>
    <s v=""/>
    <s v="10/24/2025"/>
    <n v="21"/>
    <x v="2"/>
    <x v="0"/>
  </r>
  <r>
    <s v="TEN-2006"/>
    <s v="2025"/>
    <x v="2"/>
    <s v="PwC"/>
    <x v="0"/>
    <x v="63"/>
    <x v="0"/>
    <x v="8"/>
    <s v="Production and Inventory"/>
    <s v="Production and Costing"/>
    <x v="10"/>
    <s v=""/>
    <s v="PINV-28"/>
    <s v=""/>
    <s v="(Napoleon) (Performance Solutions)   - Management Self-Testing 2025"/>
    <s v="Communication not clear and not reaching all people involved in process"/>
    <s v="Communication not clear and not reaching all people involved in process"/>
    <s v=""/>
    <s v=""/>
    <s v="We recently hired an Engineering Manager and we are working with him to get this control in place.  In the meantime, we review the production variance report to look for any variances weekly and we review the sales planned out three months to look for any parts that do not have a standard cost."/>
    <x v="0"/>
    <x v="1"/>
    <s v=""/>
    <s v="Steven Tayler, Manufacturing Engineering manager"/>
    <s v="Open"/>
    <s v=""/>
    <x v="1"/>
    <s v=""/>
    <s v=""/>
    <s v="N/A"/>
    <s v="Gupta"/>
    <s v="A"/>
    <s v=""/>
    <s v=""/>
    <s v=""/>
    <s v=""/>
    <s v=""/>
    <s v=""/>
    <s v=""/>
    <s v=""/>
    <s v=""/>
    <s v=""/>
    <s v=""/>
    <s v=""/>
    <s v=""/>
    <s v=""/>
    <s v=""/>
    <s v=""/>
    <s v=""/>
    <s v=""/>
    <s v="10/24/2025"/>
    <n v="-40"/>
    <x v="1"/>
    <x v="1"/>
  </r>
  <r>
    <s v="TEN-2007"/>
    <s v="2025"/>
    <x v="2"/>
    <s v="PwC"/>
    <x v="0"/>
    <x v="63"/>
    <x v="0"/>
    <x v="8"/>
    <s v="Property, Plant, and Equipment"/>
    <s v="Adjustments &amp; Period-end Close for Property, plant &amp; equipment"/>
    <x v="7"/>
    <s v=""/>
    <s v="PPAE-32"/>
    <s v=""/>
    <s v="(Napoleon) (Performance Solutions)   - Management Self-Testing 2025"/>
    <s v="Last physical inventory for fixed assets was completed in December 2019.  It is supposed to take place every 5 years."/>
    <s v="Last physical inventory for fixed assets was completed in December 2019.  It is supposed to take place every 5 years."/>
    <s v=""/>
    <s v=""/>
    <s v="Physical Inventory of fixed assets needs to be completed Q3/Q4 of 2025"/>
    <x v="0"/>
    <x v="1"/>
    <s v=""/>
    <s v="Madeline Cordes, Financial Analyst"/>
    <s v="Open"/>
    <s v=""/>
    <x v="1"/>
    <s v=""/>
    <s v=""/>
    <s v="N/A"/>
    <s v="Gupta"/>
    <s v="A, C, E/O, V"/>
    <s v=""/>
    <s v=""/>
    <s v=""/>
    <s v=""/>
    <s v=""/>
    <s v=""/>
    <s v=""/>
    <s v=""/>
    <s v=""/>
    <s v=""/>
    <s v=""/>
    <s v=""/>
    <s v=""/>
    <s v=""/>
    <s v=""/>
    <s v=""/>
    <s v=""/>
    <s v=""/>
    <s v="10/24/2025"/>
    <n v="-40"/>
    <x v="1"/>
    <x v="1"/>
  </r>
  <r>
    <s v="TEN-2008"/>
    <s v="2025"/>
    <x v="2"/>
    <s v="PwC"/>
    <x v="0"/>
    <x v="71"/>
    <x v="6"/>
    <x v="18"/>
    <s v="Payroll"/>
    <s v="Adjustments &amp; Period-end Close for Payroll"/>
    <x v="35"/>
    <s v=""/>
    <s v="PAYR-23"/>
    <s v=""/>
    <s v="(Elkhart) (Clean Air)    - Management Self-Testing 2025"/>
    <s v="Payroll master file is not reviewed "/>
    <s v="Reports were not available.  With personnel changes this was left out."/>
    <s v=""/>
    <s v=""/>
    <s v="Report will be ran and audited monthly."/>
    <x v="0"/>
    <x v="3"/>
    <s v=""/>
    <s v="Janet Anthony, Plant Controller"/>
    <s v="Open"/>
    <s v=""/>
    <x v="2"/>
    <s v=""/>
    <s v=""/>
    <s v="N/A"/>
    <s v="Gupta"/>
    <s v="A"/>
    <s v=""/>
    <s v=""/>
    <s v=""/>
    <s v=""/>
    <s v=""/>
    <s v=""/>
    <s v=""/>
    <s v=""/>
    <s v=""/>
    <s v=""/>
    <s v=""/>
    <s v=""/>
    <s v=""/>
    <s v=""/>
    <s v=""/>
    <s v=""/>
    <s v=""/>
    <s v=""/>
    <s v="10/24/2025"/>
    <n v="-9"/>
    <x v="1"/>
    <x v="1"/>
  </r>
  <r>
    <s v="TEN-2009"/>
    <s v="2025"/>
    <x v="2"/>
    <s v="PwC"/>
    <x v="0"/>
    <x v="72"/>
    <x v="0"/>
    <x v="21"/>
    <s v="Leases"/>
    <s v="Lease Accounting Completeness"/>
    <x v="14"/>
    <s v=""/>
    <s v="LEAS-09"/>
    <s v=""/>
    <s v="(Braking America) (Performance Solutions)     - Management Self-Testing 2025"/>
    <s v="Incomplete Review"/>
    <s v="Q2 Lease Validation has not been completed and returned to Corporate Leasing"/>
    <s v=""/>
    <s v=""/>
    <s v="Complete training of financial analyst to take over Lease Validation submission"/>
    <x v="0"/>
    <x v="22"/>
    <s v=""/>
    <s v="Holly York - Operational Finance Leader"/>
    <s v="Open"/>
    <s v=""/>
    <x v="2"/>
    <s v=""/>
    <s v=""/>
    <s v="N/A"/>
    <s v="Gupta"/>
    <s v="A, C, CO, E/O, P&amp;D, R&amp;O, V"/>
    <s v=""/>
    <s v=""/>
    <s v=""/>
    <s v=""/>
    <s v=""/>
    <s v=""/>
    <s v=""/>
    <s v=""/>
    <s v=""/>
    <s v=""/>
    <s v=""/>
    <s v=""/>
    <s v=""/>
    <s v=""/>
    <s v=""/>
    <s v=""/>
    <s v=""/>
    <s v=""/>
    <s v="10/24/2025"/>
    <n v="-21"/>
    <x v="1"/>
    <x v="1"/>
  </r>
  <r>
    <s v="TEN-2010"/>
    <s v="2025"/>
    <x v="2"/>
    <s v="PwC"/>
    <x v="0"/>
    <x v="72"/>
    <x v="0"/>
    <x v="21"/>
    <s v="Purchasing and Payables"/>
    <s v="Adjustments &amp; Period-end Close for Purchasing &amp; payables"/>
    <x v="21"/>
    <s v=""/>
    <s v="PAPA-39"/>
    <s v=""/>
    <s v="(Braking America) (Performance Solutions)     - Management Self-Testing 2025"/>
    <s v="Lack of Documentation"/>
    <s v="Approval process was not formally documented"/>
    <s v=""/>
    <s v=""/>
    <s v="All recons moving to OS reconciliation process"/>
    <x v="0"/>
    <x v="23"/>
    <s v=""/>
    <s v="Holly York - Operational Finance Leader"/>
    <s v="Open"/>
    <s v=""/>
    <x v="0"/>
    <s v=""/>
    <s v=""/>
    <s v="N/A"/>
    <s v="Gupta"/>
    <s v="C, E/O"/>
    <s v=""/>
    <s v=""/>
    <s v=""/>
    <s v=""/>
    <s v=""/>
    <s v=""/>
    <s v=""/>
    <s v=""/>
    <s v=""/>
    <s v=""/>
    <s v=""/>
    <s v=""/>
    <s v=""/>
    <s v=""/>
    <s v=""/>
    <s v=""/>
    <s v=""/>
    <s v=""/>
    <s v="10/24/2025"/>
    <n v="7"/>
    <x v="2"/>
    <x v="0"/>
  </r>
  <r>
    <s v="TEN-2011"/>
    <s v="2025"/>
    <x v="2"/>
    <s v="PwC"/>
    <x v="0"/>
    <x v="72"/>
    <x v="0"/>
    <x v="21"/>
    <s v="Purchasing and Payables"/>
    <s v="Adjustments &amp; Period-end Close for Purchasing &amp; payables"/>
    <x v="21"/>
    <s v=""/>
    <s v="PAPA-44"/>
    <s v=""/>
    <s v="(Braking America) (Performance Solutions)     - Management Self-Testing 2025"/>
    <s v="Lack of Documentation"/>
    <s v="Approval process was not formally documented"/>
    <s v=""/>
    <s v=""/>
    <s v="All recons moving to OS reconciliation process"/>
    <x v="0"/>
    <x v="23"/>
    <s v=""/>
    <s v="Holly York - Operational Finance Leader"/>
    <s v="Open"/>
    <s v=""/>
    <x v="0"/>
    <s v=""/>
    <s v=""/>
    <s v="N/A"/>
    <s v="Gupta"/>
    <s v="A, C, CO, E/O, P&amp;D, R&amp;O, V"/>
    <s v=""/>
    <s v=""/>
    <s v=""/>
    <s v=""/>
    <s v=""/>
    <s v=""/>
    <s v=""/>
    <s v=""/>
    <s v=""/>
    <s v=""/>
    <s v=""/>
    <s v=""/>
    <s v=""/>
    <s v=""/>
    <s v=""/>
    <s v=""/>
    <s v=""/>
    <s v=""/>
    <s v="10/24/2025"/>
    <n v="7"/>
    <x v="2"/>
    <x v="0"/>
  </r>
  <r>
    <s v="TEN-2012"/>
    <s v="2025"/>
    <x v="2"/>
    <s v="PwC"/>
    <x v="0"/>
    <x v="72"/>
    <x v="0"/>
    <x v="21"/>
    <s v="Period End Financial Reporting"/>
    <s v="Consolidation"/>
    <x v="21"/>
    <s v=""/>
    <s v="PEFR-32"/>
    <s v=""/>
    <s v="(Braking America) (Performance Solutions)     - Management Self-Testing 2025"/>
    <s v="Lack of Documentation"/>
    <s v="Approval process was not formally documented"/>
    <s v=""/>
    <s v=""/>
    <s v="All recons moving to OS reconciliation process"/>
    <x v="0"/>
    <x v="23"/>
    <s v=""/>
    <s v="Holly York - Operational Finance Leader"/>
    <s v="Open"/>
    <s v=""/>
    <x v="0"/>
    <s v=""/>
    <s v=""/>
    <s v="N/A"/>
    <s v="Gupta"/>
    <s v="A"/>
    <s v=""/>
    <s v=""/>
    <s v=""/>
    <s v=""/>
    <s v=""/>
    <s v=""/>
    <s v=""/>
    <s v=""/>
    <s v=""/>
    <s v=""/>
    <s v=""/>
    <s v=""/>
    <s v=""/>
    <s v=""/>
    <s v=""/>
    <s v=""/>
    <s v=""/>
    <s v=""/>
    <s v="10/24/2025"/>
    <n v="7"/>
    <x v="2"/>
    <x v="0"/>
  </r>
  <r>
    <s v="TEN-2013"/>
    <s v="2025"/>
    <x v="2"/>
    <s v="PwC"/>
    <x v="0"/>
    <x v="72"/>
    <x v="0"/>
    <x v="21"/>
    <s v="Period End Financial Reporting"/>
    <s v="Adjustments &amp; Period-end Close for Period-end Financial Reporting"/>
    <x v="21"/>
    <s v=""/>
    <s v="PEFR-68"/>
    <s v=""/>
    <s v="(Braking America) (Performance Solutions)     - Management Self-Testing 2025"/>
    <s v="Lack of Documentation"/>
    <s v="Approval process was not formally documented"/>
    <s v=""/>
    <s v=""/>
    <s v="All recons moving to OS reconciliation process"/>
    <x v="0"/>
    <x v="23"/>
    <s v=""/>
    <s v="Holly York - Operational Finance Leader"/>
    <s v="Open"/>
    <s v=""/>
    <x v="0"/>
    <s v=""/>
    <s v=""/>
    <s v="N/A"/>
    <s v="Gupta"/>
    <s v="A, C, CO, E/O, P&amp;D, R&amp;O, V"/>
    <s v=""/>
    <s v=""/>
    <s v=""/>
    <s v=""/>
    <s v=""/>
    <s v=""/>
    <s v=""/>
    <s v=""/>
    <s v=""/>
    <s v=""/>
    <s v=""/>
    <s v=""/>
    <s v=""/>
    <s v=""/>
    <s v=""/>
    <s v=""/>
    <s v=""/>
    <s v=""/>
    <s v="10/24/2025"/>
    <n v="7"/>
    <x v="2"/>
    <x v="0"/>
  </r>
  <r>
    <s v="TEN-2014"/>
    <s v="2025"/>
    <x v="2"/>
    <s v="PwC"/>
    <x v="0"/>
    <x v="50"/>
    <x v="6"/>
    <x v="18"/>
    <s v="Leases"/>
    <s v="Lease Identification"/>
    <x v="35"/>
    <s v=""/>
    <s v="LEAS-01"/>
    <s v=""/>
    <s v="(Grass Lake) (Clean Air)     - Management Self-Testing 2025"/>
    <s v="Periodic review not performed"/>
    <s v="Recons have not been done since last Feb 2025 due to personnel change, lack of knowledge and training and also of access to Visual Lease platform."/>
    <s v=""/>
    <s v=""/>
    <s v="1. require Access to Visual Lease platform_x000a_2. reconcile One Stream vs Visual Lease accounts_x000a_3. Look for discrepancies causes_x000a_4. make sure contracts are updated, all leases expense under Grass Lake are properly reflect in Visual Lease data base_x000a_5. complete Visual Lease recons on monthly basis"/>
    <x v="0"/>
    <x v="1"/>
    <s v=""/>
    <s v="Diana Vazquez, Finance Plant Leader"/>
    <s v="Open"/>
    <s v=""/>
    <x v="1"/>
    <s v=""/>
    <s v=""/>
    <s v="N/A"/>
    <s v="Gupta"/>
    <s v="C, E/O, R&amp;O"/>
    <s v=""/>
    <s v=""/>
    <s v=""/>
    <s v=""/>
    <s v=""/>
    <s v=""/>
    <s v=""/>
    <s v=""/>
    <s v=""/>
    <s v=""/>
    <s v=""/>
    <s v=""/>
    <s v=""/>
    <s v=""/>
    <s v=""/>
    <s v=""/>
    <s v=""/>
    <s v=""/>
    <s v="10/24/2025"/>
    <n v="-40"/>
    <x v="1"/>
    <x v="1"/>
  </r>
  <r>
    <s v="TEN-2015"/>
    <s v="2025"/>
    <x v="2"/>
    <s v="PwC"/>
    <x v="0"/>
    <x v="50"/>
    <x v="6"/>
    <x v="18"/>
    <s v="Leases"/>
    <s v="Lease Identification"/>
    <x v="35"/>
    <s v=""/>
    <s v="LEAS-02"/>
    <s v=""/>
    <s v="(Grass Lake) (Clean Air)     - Management Self-Testing 2025"/>
    <s v="Timely communication to the corporate team"/>
    <s v="Renewals have not been informed to plant and therefore to Visual Lease management, discrepancies have not been identified as monthly recons have not been completed"/>
    <s v=""/>
    <s v=""/>
    <s v="1. require Access to Visual Lease platform_x000a_2. reconcile One Stream vs Visual Lease accounts_x000a_3. Look for discrepancies causes_x000a_4. make sure contracts are updated, all leases expense under Grass Lake are properly reflect in Visual Lease data base_x000a_5. complete Visual Lease recons on monthly basis"/>
    <x v="0"/>
    <x v="1"/>
    <s v=""/>
    <s v="Diana Vazquez, Finance Plant Leader"/>
    <s v="Open"/>
    <s v=""/>
    <x v="1"/>
    <s v=""/>
    <s v=""/>
    <s v="N/A"/>
    <s v="Gupta"/>
    <s v="C, CO"/>
    <s v=""/>
    <s v=""/>
    <s v=""/>
    <s v=""/>
    <s v=""/>
    <s v=""/>
    <s v=""/>
    <s v=""/>
    <s v=""/>
    <s v=""/>
    <s v=""/>
    <s v=""/>
    <s v=""/>
    <s v=""/>
    <s v=""/>
    <s v=""/>
    <s v=""/>
    <s v=""/>
    <s v="10/24/2025"/>
    <n v="-40"/>
    <x v="1"/>
    <x v="1"/>
  </r>
  <r>
    <s v="TEN-2016"/>
    <s v="2025"/>
    <x v="2"/>
    <s v="PwC"/>
    <x v="0"/>
    <x v="50"/>
    <x v="6"/>
    <x v="18"/>
    <s v="Leases"/>
    <s v="Lease Accounting Completeness"/>
    <x v="35"/>
    <s v=""/>
    <s v="LEAS-09"/>
    <s v=""/>
    <s v="(Grass Lake) (Clean Air)     - Management Self-Testing 2025"/>
    <s v="Lack of knowledge of processes within the team"/>
    <s v="lack of knowledge about the existence of the platform and process"/>
    <s v=""/>
    <s v=""/>
    <s v="1. require Access to Visual Lease platform_x000a_2. reconcile One Stream vs Visual Lease accounts_x000a_3. Look for discrepancies causes_x000a_4. make sure contracts are updated, all leases expense under Grass Lake are properly reflect in Visual Lease data base_x000a_5. complete Visual Lease recons on monthly basis"/>
    <x v="0"/>
    <x v="1"/>
    <s v=""/>
    <s v="Diana Vazquez, Finance Plant Leader"/>
    <s v="Open"/>
    <s v=""/>
    <x v="1"/>
    <s v=""/>
    <s v=""/>
    <s v="N/A"/>
    <s v="Gupta"/>
    <s v="A, C, CO, E/O, P&amp;D, R&amp;O, V"/>
    <s v=""/>
    <s v=""/>
    <s v=""/>
    <s v=""/>
    <s v=""/>
    <s v=""/>
    <s v=""/>
    <s v=""/>
    <s v=""/>
    <s v=""/>
    <s v=""/>
    <s v=""/>
    <s v=""/>
    <s v=""/>
    <s v=""/>
    <s v=""/>
    <s v=""/>
    <s v=""/>
    <s v="10/24/2025"/>
    <n v="-40"/>
    <x v="1"/>
    <x v="1"/>
  </r>
  <r>
    <s v="TEN-2017"/>
    <s v="2025"/>
    <x v="2"/>
    <s v="PwC"/>
    <x v="0"/>
    <x v="50"/>
    <x v="6"/>
    <x v="18"/>
    <s v="Payroll"/>
    <s v="Time Recording"/>
    <x v="14"/>
    <s v=""/>
    <s v="PAYR-06"/>
    <s v=""/>
    <s v="(Grass Lake) (Clean Air)     - Management Self-Testing 2025"/>
    <s v="Incomplete Review"/>
    <s v="BS monthly recons were tested, however the t4est is different from control described, also ADP report doesn't detail employee names or numbers to determinate if there is someone inactive getting paid. |"/>
    <s v=""/>
    <s v=""/>
    <s v="1. meet with HR team, to review the whole process and understand how ADP gets payment instructions_x000a_2. put in place a documental process through Teams Approval app, to review, correct and approve weekly hour to be paid._x000a_3. along with HR determinate best way to cross the weekly reviewed file with payment runs recorder by ADP in SAP"/>
    <x v="0"/>
    <x v="8"/>
    <s v=""/>
    <s v="Diana Vazquez (Finance plant leader)_x000a_Emily Herd (HR plant manager)"/>
    <s v="Open"/>
    <s v=""/>
    <x v="3"/>
    <s v=""/>
    <s v=""/>
    <s v="N/A"/>
    <s v="Gupta"/>
    <s v="A, E/O"/>
    <s v=""/>
    <s v=""/>
    <s v=""/>
    <s v=""/>
    <s v=""/>
    <s v=""/>
    <s v=""/>
    <s v=""/>
    <s v=""/>
    <s v=""/>
    <s v=""/>
    <s v=""/>
    <s v=""/>
    <s v=""/>
    <s v=""/>
    <s v=""/>
    <s v=""/>
    <s v=""/>
    <s v="10/24/2025"/>
    <n v="-71"/>
    <x v="1"/>
    <x v="1"/>
  </r>
  <r>
    <s v="TEN-2018"/>
    <s v="2025"/>
    <x v="2"/>
    <s v="PwC"/>
    <x v="0"/>
    <x v="50"/>
    <x v="6"/>
    <x v="18"/>
    <s v="Payroll"/>
    <s v="Payroll Calculations"/>
    <x v="14"/>
    <s v=""/>
    <s v="PAYR-15"/>
    <s v=""/>
    <s v="(Grass Lake) (Clean Air)     - Management Self-Testing 2025"/>
    <s v="Incomplete Review"/>
    <s v="BS monthly recons were tested, however the t4est is different from control described, also ADP report doesn't detail employee names or numbers to determinate if there is someone inactive getting paid. "/>
    <s v=""/>
    <s v=""/>
    <s v="1. meet with HR team, to review the whole process and understand how ADP gets payment instructions_x000a_2. put in place a documental process through Teams Approval app, to review, correct and and approve weekly hour to be paid._x000a_3. along with HR determinate best way to cross the weekly reviewed file with payment runs recorder by ADP in SAP"/>
    <x v="0"/>
    <x v="8"/>
    <s v=""/>
    <s v="Diana Vazquez (Finance plant leader)_x000a_Emily Herd (HR plant manager)"/>
    <s v="Open"/>
    <s v=""/>
    <x v="3"/>
    <s v=""/>
    <s v=""/>
    <s v="N/A"/>
    <s v="Gupta"/>
    <s v="A, R&amp;O"/>
    <s v=""/>
    <s v=""/>
    <s v=""/>
    <s v=""/>
    <s v=""/>
    <s v=""/>
    <s v=""/>
    <s v=""/>
    <s v=""/>
    <s v=""/>
    <s v=""/>
    <s v=""/>
    <s v=""/>
    <s v=""/>
    <s v=""/>
    <s v=""/>
    <s v=""/>
    <s v=""/>
    <s v="10/24/2025"/>
    <n v="-71"/>
    <x v="1"/>
    <x v="1"/>
  </r>
  <r>
    <s v="TEN-2019"/>
    <s v="2025"/>
    <x v="2"/>
    <s v="PwC"/>
    <x v="0"/>
    <x v="73"/>
    <x v="0"/>
    <x v="21"/>
    <s v="Production and Inventory"/>
    <s v="Adjustments &amp; Period-end Close for Production and inventory"/>
    <x v="30"/>
    <s v=""/>
    <s v="PINV-46"/>
    <s v=""/>
    <s v="(Smithville) (Performance Solutions)  - Management Self-Testing 2025"/>
    <s v="Quarterly shrink reserve management review"/>
    <s v=" Shrink reserve has not been calculated as the inventory adjustments have been immaterial.   Going forward, the reserve will be calculated quarterly and reviewed by management."/>
    <s v=""/>
    <s v=""/>
    <s v="Shrink reserve entries will be calculated by Sept. 2025 month-end to be in compliance with the accounting policy."/>
    <x v="0"/>
    <x v="1"/>
    <s v=""/>
    <s v="Christi Pereira, Plant Finance Leader"/>
    <s v="Open"/>
    <s v=""/>
    <x v="1"/>
    <s v=""/>
    <s v=""/>
    <s v="N/A"/>
    <s v="Gupta"/>
    <s v="R&amp;O, V"/>
    <s v=""/>
    <s v=""/>
    <s v=""/>
    <s v=""/>
    <s v=""/>
    <s v=""/>
    <s v=""/>
    <s v=""/>
    <s v=""/>
    <s v=""/>
    <s v=""/>
    <s v=""/>
    <s v=""/>
    <s v=""/>
    <s v=""/>
    <s v=""/>
    <s v=""/>
    <s v=""/>
    <s v="10/24/2025"/>
    <n v="-40"/>
    <x v="1"/>
    <x v="1"/>
  </r>
  <r>
    <s v="TEN-2020"/>
    <s v="2025"/>
    <x v="2"/>
    <s v="PwC"/>
    <x v="0"/>
    <x v="73"/>
    <x v="0"/>
    <x v="21"/>
    <s v="Property, Plant, and Equipment"/>
    <s v="Adjustments &amp; Period-end Close for Property, plant &amp; equipment"/>
    <x v="0"/>
    <s v=""/>
    <s v="PPAE-35"/>
    <s v=""/>
    <s v="(Smithville) (Performance Solutions)  - Management Self-Testing 2025"/>
    <s v="Subledger and ledger entries mismatch"/>
    <s v="Subledger does not agree with the general ledger.  The Purchase Accounting entries were made on the general ledger level but not in the subledger. "/>
    <s v=""/>
    <s v=""/>
    <s v="Send differences to fixed asset and general ledger Shared Services teams for resolution.  Plant level finance does not have access to the SAP FA subledger to make corrections. "/>
    <x v="0"/>
    <x v="1"/>
    <s v=""/>
    <s v="Christi Pereira, Plant Finance Leader"/>
    <s v="Open"/>
    <s v=""/>
    <x v="1"/>
    <s v=""/>
    <s v=""/>
    <s v="N/A"/>
    <s v="Gupta"/>
    <s v="A, C, CO, E/O, P&amp;D, R&amp;O, V"/>
    <s v=""/>
    <s v=""/>
    <s v=""/>
    <s v=""/>
    <s v=""/>
    <s v=""/>
    <s v=""/>
    <s v=""/>
    <s v=""/>
    <s v=""/>
    <s v=""/>
    <s v=""/>
    <s v=""/>
    <s v=""/>
    <s v=""/>
    <s v=""/>
    <s v=""/>
    <s v=""/>
    <s v="10/24/2025"/>
    <n v="-40"/>
    <x v="1"/>
    <x v="1"/>
  </r>
  <r>
    <s v="TEN-2021"/>
    <s v="2025"/>
    <x v="2"/>
    <s v="PwC"/>
    <x v="0"/>
    <x v="74"/>
    <x v="2"/>
    <x v="10"/>
    <s v="Property, Plant, and Equipment"/>
    <s v="Adjustments &amp; Period-end Close for Property, plant &amp; equipment"/>
    <x v="7"/>
    <s v=""/>
    <s v="PPAE-33"/>
    <s v=""/>
    <s v="((Puebla - Bearings) (Powertrain)  - Management Self-Testing 2025"/>
    <s v="Control has not been executed"/>
    <s v="Not recently activity. Last example was on November 22th, 2024.    "/>
    <s v=""/>
    <s v=""/>
    <s v="This activity will be performed with due date November 24th . And every quarter in order to identify inactive or idle assets "/>
    <x v="0"/>
    <x v="24"/>
    <s v=""/>
    <s v="R. Sorcia, Cost Analyst"/>
    <s v="Open"/>
    <s v=""/>
    <x v="2"/>
    <s v=""/>
    <s v=""/>
    <s v="N/A"/>
    <s v="Gupta"/>
    <s v="V"/>
    <s v=""/>
    <s v=""/>
    <s v=""/>
    <s v=""/>
    <s v=""/>
    <s v=""/>
    <s v=""/>
    <s v=""/>
    <s v=""/>
    <s v=""/>
    <s v=""/>
    <s v=""/>
    <s v=""/>
    <s v=""/>
    <s v=""/>
    <s v=""/>
    <s v=""/>
    <s v=""/>
    <s v="10/24/2025"/>
    <n v="-3"/>
    <x v="1"/>
    <x v="1"/>
  </r>
  <r>
    <s v="TEN-2022"/>
    <s v="2025"/>
    <x v="2"/>
    <s v="PwC"/>
    <x v="0"/>
    <x v="75"/>
    <x v="0"/>
    <x v="15"/>
    <s v="Period End Financial Reporting"/>
    <s v="Consolidation"/>
    <x v="0"/>
    <s v=""/>
    <s v="PEFR-32"/>
    <s v=""/>
    <s v="(Rosario) (Performance Solutions)   - Management Self-Testing 2025"/>
    <s v="Reconciliation not performed timely"/>
    <s v="Approval date after 10th business day according to policy 0-40"/>
    <s v=""/>
    <s v=""/>
    <s v="Reconciliation policy 0-040 compliance "/>
    <x v="0"/>
    <x v="23"/>
    <s v=""/>
    <s v="Jorgelina Bessone, Accounting Manager"/>
    <s v="Open"/>
    <s v=""/>
    <x v="0"/>
    <s v=""/>
    <s v=""/>
    <s v="N/A"/>
    <s v="Gupta"/>
    <s v="A"/>
    <s v=""/>
    <s v=""/>
    <s v=""/>
    <s v=""/>
    <s v=""/>
    <s v=""/>
    <s v=""/>
    <s v=""/>
    <s v=""/>
    <s v=""/>
    <s v=""/>
    <s v=""/>
    <s v=""/>
    <s v=""/>
    <s v=""/>
    <s v=""/>
    <s v=""/>
    <s v=""/>
    <s v="10/24/2025"/>
    <n v="7"/>
    <x v="2"/>
    <x v="0"/>
  </r>
  <r>
    <s v="TEN-2023"/>
    <s v="2025"/>
    <x v="2"/>
    <s v="PwC"/>
    <x v="0"/>
    <x v="61"/>
    <x v="2"/>
    <x v="10"/>
    <s v="Leases"/>
    <s v="Lease Accounting Completeness"/>
    <x v="0"/>
    <s v=""/>
    <s v="LEAS-09"/>
    <s v=""/>
    <s v="(South Bend) (Powertrain) - Management Self-Testing 2025"/>
    <s v="Reconciliation not performed timely"/>
    <s v="Reconcilement has not been prepared, reviewed or approved in a timely manner.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_x000a_IT will be involved to quickly grant access to the reconciliation process documents/systems as expeditiously as possible._x000a_"/>
    <x v="2"/>
    <x v="10"/>
    <s v=""/>
    <s v="Rich Fox, Accountant"/>
    <s v="Open"/>
    <s v=""/>
    <x v="0"/>
    <s v=""/>
    <s v=""/>
    <s v="N/A"/>
    <s v="Gupta"/>
    <s v="A, C, CO, E/O, P&amp;D, R&amp;O, V"/>
    <s v=""/>
    <s v=""/>
    <s v=""/>
    <s v=""/>
    <s v=""/>
    <s v=""/>
    <s v=""/>
    <s v=""/>
    <s v=""/>
    <s v=""/>
    <s v=""/>
    <s v=""/>
    <s v=""/>
    <s v=""/>
    <s v=""/>
    <s v=""/>
    <s v=""/>
    <s v=""/>
    <s v="10/24/2025"/>
    <n v="21"/>
    <x v="2"/>
    <x v="0"/>
  </r>
  <r>
    <s v="TEN-2024"/>
    <s v="2025"/>
    <x v="2"/>
    <s v="PwC"/>
    <x v="0"/>
    <x v="61"/>
    <x v="2"/>
    <x v="10"/>
    <s v="Period End Financial Reporting"/>
    <s v="Adjustments &amp; Period-end Close for Period-end Financial Reporting"/>
    <x v="0"/>
    <s v=""/>
    <s v="PEFR-68"/>
    <s v=""/>
    <s v="(South Bend) (Powertrain) - Management Self-Testing 2025"/>
    <s v="Reconciliation not performed timely"/>
    <s v=" Approval did not meet the 10 day work day completion requirement._x000a_"/>
    <s v=""/>
    <s v=""/>
    <s v="Approval did not meet the 10 work-day deadline requirement because the Controller was absent attending to a family emergency.  The action plan is to make certain the position of Controller is staffed with a full-time staff member, or that a backup, with access and authorization to complete the reconciliation, is identified and designated on a timely basis.  The review will consist of executing a report in SAP known as the &quot;Compact Document Journal&quot; and comparing this report to the list of journal entries._x000a_IT will be involved to quickly grant access to the reconciliation process documents/systems as expeditiously as possible."/>
    <x v="2"/>
    <x v="10"/>
    <s v=""/>
    <s v="Rich Fox, Accountant"/>
    <s v="Open"/>
    <s v=""/>
    <x v="0"/>
    <s v=""/>
    <s v=""/>
    <s v="N/A"/>
    <s v="Gupta"/>
    <s v="A, C, CO, E/O, P&amp;D, R&amp;O, V"/>
    <s v=""/>
    <s v=""/>
    <s v=""/>
    <s v=""/>
    <s v=""/>
    <s v=""/>
    <s v=""/>
    <s v=""/>
    <s v=""/>
    <s v=""/>
    <s v=""/>
    <s v=""/>
    <s v=""/>
    <s v=""/>
    <s v=""/>
    <s v=""/>
    <s v=""/>
    <s v=""/>
    <s v="10/24/2025"/>
    <n v="21"/>
    <x v="2"/>
    <x v="0"/>
  </r>
  <r>
    <s v="TEN-2031"/>
    <s v="2025"/>
    <x v="2"/>
    <s v="PwC"/>
    <x v="0"/>
    <x v="76"/>
    <x v="5"/>
    <x v="23"/>
    <s v="Period End Financial Reporting"/>
    <s v="Process-Wide Considerations"/>
    <x v="14"/>
    <s v=""/>
    <s v="PEFR-06"/>
    <s v=""/>
    <s v="(Cambridge - Ignition) (Powertrain)   - Management Self-Testing 2025"/>
    <s v="Incomplete Review"/>
    <s v="Master data reports have been printed but not consistently signed off on. "/>
    <s v=""/>
    <s v=""/>
    <s v="This step will be added to a closing checklist and moving forward they will be saved in Adobe PDF and sent for E-signature to Controller, Sadie Yontz."/>
    <x v="0"/>
    <x v="3"/>
    <s v=""/>
    <s v="Sadie Yontz, Plant Finance Leader_x000a__x0009_ and Bonnie Warne, Senior Financial Analyst"/>
    <s v="Open"/>
    <s v=""/>
    <x v="2"/>
    <s v=""/>
    <s v=""/>
    <s v="N/A"/>
    <s v="Gupta"/>
    <s v="A"/>
    <s v=""/>
    <s v=""/>
    <s v=""/>
    <s v=""/>
    <s v=""/>
    <s v=""/>
    <s v=""/>
    <s v=""/>
    <s v=""/>
    <s v=""/>
    <s v=""/>
    <s v=""/>
    <s v=""/>
    <s v=""/>
    <s v=""/>
    <s v=""/>
    <s v=""/>
    <s v=""/>
    <s v="10/24/2025"/>
    <n v="-9"/>
    <x v="1"/>
    <x v="1"/>
  </r>
  <r>
    <s v="TEN-2033"/>
    <s v="2025"/>
    <x v="2"/>
    <s v="PwC"/>
    <x v="0"/>
    <x v="76"/>
    <x v="5"/>
    <x v="23"/>
    <s v="Period End Financial Reporting"/>
    <s v="Adjustments &amp; Period-end Close for Period-end Financial Reporting"/>
    <x v="22"/>
    <s v=""/>
    <s v="PEFR-19"/>
    <s v=""/>
    <s v="(Cambridge - Ignition) (Powertrain)   - Management Self-Testing 2025"/>
    <s v="Lack of Documentation &amp; Incomplete review"/>
    <s v="There has not been a proper review or maintenance of a journal entry checklist, entries could be at risk for being missed."/>
    <s v=""/>
    <s v=""/>
    <s v="There will be a central checklist that will include required journal entries to be made, individual will initial and date when JE is completed and posted in Plex. Controller review the list and sign off monthly for approval using Adobe E Sign. There will be a comparison of the ledger in Plex to the JE sign off sheet to make sure all entries are accounted for in ledger."/>
    <x v="0"/>
    <x v="3"/>
    <s v=""/>
    <s v="Sadie Yontz, Plant Finance Leader"/>
    <s v="Open"/>
    <s v=""/>
    <x v="2"/>
    <s v=""/>
    <s v=""/>
    <s v="N/A"/>
    <s v="Gupta"/>
    <s v="C, CO"/>
    <s v=""/>
    <s v=""/>
    <s v=""/>
    <s v=""/>
    <s v=""/>
    <s v=""/>
    <s v=""/>
    <s v=""/>
    <s v=""/>
    <s v=""/>
    <s v=""/>
    <s v=""/>
    <s v=""/>
    <s v=""/>
    <s v=""/>
    <s v=""/>
    <s v=""/>
    <s v=""/>
    <s v="10/24/2025"/>
    <n v="-9"/>
    <x v="1"/>
    <x v="1"/>
  </r>
  <r>
    <s v="TEN-2034"/>
    <s v="2025"/>
    <x v="2"/>
    <s v="PwC"/>
    <x v="0"/>
    <x v="76"/>
    <x v="5"/>
    <x v="23"/>
    <s v="Production and Inventory"/>
    <s v="Production and Costing"/>
    <x v="14"/>
    <s v=""/>
    <s v="PINV-28"/>
    <s v=""/>
    <s v="(Cambridge - Ignition) (Powertrain)   - Management Self-Testing 2025"/>
    <s v="Incomplete Review"/>
    <s v="Master data reports have been printed but not consistently signed off on. "/>
    <s v=""/>
    <s v=""/>
    <s v="This step will be added to a closing checklist and moving forward they will be saved in Adobe PDF and sent for E-signature to Controller, Sadie Yontz."/>
    <x v="0"/>
    <x v="3"/>
    <s v=""/>
    <s v="Sadie Yontz, Plant Finance Leader_x000a__x0009_ and Bonnie Warne, Senior Financial Analyst"/>
    <s v="Open"/>
    <s v=""/>
    <x v="2"/>
    <s v=""/>
    <s v=""/>
    <s v="N/A"/>
    <s v="Gupta"/>
    <s v="A"/>
    <s v=""/>
    <s v=""/>
    <s v=""/>
    <s v=""/>
    <s v=""/>
    <s v=""/>
    <s v=""/>
    <s v=""/>
    <s v=""/>
    <s v=""/>
    <s v=""/>
    <s v=""/>
    <s v=""/>
    <s v=""/>
    <s v=""/>
    <s v=""/>
    <s v=""/>
    <s v=""/>
    <s v="10/24/2025"/>
    <n v="-9"/>
    <x v="1"/>
    <x v="1"/>
  </r>
  <r>
    <s v="TEN-2035"/>
    <s v="2025"/>
    <x v="2"/>
    <s v="PwC"/>
    <x v="0"/>
    <x v="76"/>
    <x v="5"/>
    <x v="23"/>
    <s v="Revenue and Receivables"/>
    <s v="Invoicing"/>
    <x v="14"/>
    <s v=""/>
    <s v="REVE-17"/>
    <s v=""/>
    <s v="(Cambridge - Ignition) (Powertrain)   - Management Self-Testing 2025"/>
    <s v="Incomplete Review"/>
    <s v="These reports were sent monthly as a part of the closing process up until March 2025. Since then, due to leadership struggles, attrition, and workload, the review has fallen away. "/>
    <s v=""/>
    <s v=""/>
    <s v="Bonnie Warne will start sending the master data changes file again monthly to the Plant Controller, Sadie Yontz, for review and approval. We will add it to the month end closing checklist for October and future months."/>
    <x v="0"/>
    <x v="3"/>
    <s v=""/>
    <s v="Sadie Yontz, Plant Finance Leader_x000a__x0009_ and Bonnie Warne, Senior Financial Analyst"/>
    <s v="Open"/>
    <s v=""/>
    <x v="2"/>
    <s v=""/>
    <s v=""/>
    <s v="N/A"/>
    <s v="Gupta"/>
    <s v="A"/>
    <s v=""/>
    <s v=""/>
    <s v=""/>
    <s v=""/>
    <s v=""/>
    <s v=""/>
    <s v=""/>
    <s v=""/>
    <s v=""/>
    <s v=""/>
    <s v=""/>
    <s v=""/>
    <s v=""/>
    <s v=""/>
    <s v=""/>
    <s v=""/>
    <s v=""/>
    <s v=""/>
    <s v="10/24/2025"/>
    <n v="-9"/>
    <x v="1"/>
    <x v="1"/>
  </r>
  <r>
    <s v="TEN-2036"/>
    <s v="2025"/>
    <x v="2"/>
    <s v="PwC"/>
    <x v="0"/>
    <x v="77"/>
    <x v="1"/>
    <x v="3"/>
    <s v="Period End Financial Reporting"/>
    <s v="Process-Wide Considerations"/>
    <x v="21"/>
    <s v=""/>
    <s v="PEFR-05"/>
    <s v=""/>
    <s v="(Bucharest) (Corporate) - Management Self-Testing 2025"/>
    <s v="Access logs not available for review after approval is granted"/>
    <s v="Access logs not available for review after approval is granted"/>
    <s v=""/>
    <s v=""/>
    <s v="Going forward we will be retaining screenshots of the approval provided in the system on a real-time basis."/>
    <x v="0"/>
    <x v="1"/>
    <s v=""/>
    <s v="Georgiana Pavel, Site Finance Controller"/>
    <s v="Open"/>
    <s v=""/>
    <x v="1"/>
    <s v=""/>
    <s v=""/>
    <s v="N/A"/>
    <s v="Gupta"/>
    <s v="E/O"/>
    <s v=""/>
    <s v=""/>
    <s v=""/>
    <s v=""/>
    <s v=""/>
    <s v=""/>
    <s v=""/>
    <s v=""/>
    <s v=""/>
    <s v=""/>
    <s v=""/>
    <s v=""/>
    <s v=""/>
    <s v=""/>
    <s v=""/>
    <s v=""/>
    <s v=""/>
    <s v=""/>
    <s v="10/28/2025"/>
    <n v="-40"/>
    <x v="1"/>
    <x v="1"/>
  </r>
  <r>
    <s v="TEN-2037"/>
    <s v="2025"/>
    <x v="2"/>
    <s v="PwC"/>
    <x v="0"/>
    <x v="78"/>
    <x v="1"/>
    <x v="24"/>
    <s v="Period End Financial Reporting"/>
    <s v="Process-Wide Considerations"/>
    <x v="21"/>
    <s v=""/>
    <s v="PEFR-05"/>
    <s v=""/>
    <s v="(Bucharest) (DRIV) - Management Self-Testing 2025"/>
    <s v="Access logs not available for review after approval is granted"/>
    <s v="Access logs not available for review after approval is granted"/>
    <s v=""/>
    <s v=""/>
    <s v="Going forward we will be retaining screenshots of the approval provided in the system on a real-time basis."/>
    <x v="0"/>
    <x v="1"/>
    <s v=""/>
    <s v="Georgiana Pavel, Site Finance Controller"/>
    <s v="Open"/>
    <s v=""/>
    <x v="1"/>
    <s v=""/>
    <s v=""/>
    <s v="N/A"/>
    <s v="Gupta"/>
    <s v="E/O"/>
    <s v=""/>
    <s v=""/>
    <s v=""/>
    <s v=""/>
    <s v=""/>
    <s v=""/>
    <s v=""/>
    <s v=""/>
    <s v=""/>
    <s v=""/>
    <s v=""/>
    <s v=""/>
    <s v=""/>
    <s v=""/>
    <s v=""/>
    <s v=""/>
    <s v=""/>
    <s v=""/>
    <s v="10/28/2025"/>
    <n v="-40"/>
    <x v="1"/>
    <x v="1"/>
  </r>
  <r>
    <s v="TEN-2038"/>
    <s v="2025"/>
    <x v="2"/>
    <s v="PwC"/>
    <x v="0"/>
    <x v="24"/>
    <x v="0"/>
    <x v="15"/>
    <s v="Revenue and Receivables"/>
    <s v="Customer Returns, Discounts, and Allowances"/>
    <x v="35"/>
    <s v=""/>
    <s v="REVE-41"/>
    <s v=""/>
    <s v="(Celaya - OE) (Performance Solutions)- Management Self-Testing 2025"/>
    <s v="Review not performed"/>
    <s v="Will be review in November, because we need the process in the company. "/>
    <s v=""/>
    <s v=""/>
    <s v="Action plan will be tested in November, because we need involve on the process to review it.  "/>
    <x v="0"/>
    <x v="3"/>
    <s v=""/>
    <s v="Alejandro R., Financial Analyst"/>
    <s v="Open"/>
    <s v=""/>
    <x v="2"/>
    <s v=""/>
    <s v=""/>
    <s v="N/A"/>
    <s v="Gupta"/>
    <s v="R&amp;O, V"/>
    <s v=""/>
    <s v=""/>
    <s v=""/>
    <s v=""/>
    <s v=""/>
    <s v=""/>
    <s v=""/>
    <s v=""/>
    <s v=""/>
    <s v=""/>
    <s v=""/>
    <s v=""/>
    <s v=""/>
    <s v=""/>
    <s v=""/>
    <s v=""/>
    <s v=""/>
    <s v=""/>
    <s v="10/28/2025"/>
    <n v="-9"/>
    <x v="1"/>
    <x v="1"/>
  </r>
  <r>
    <s v="TEN-2039"/>
    <s v="2025"/>
    <x v="2"/>
    <s v="PwC"/>
    <x v="0"/>
    <x v="24"/>
    <x v="0"/>
    <x v="15"/>
    <s v="Revenue and Receivables"/>
    <s v="Customer Funded Tooling"/>
    <x v="35"/>
    <s v=""/>
    <s v="REVE-48"/>
    <s v=""/>
    <s v="(Celaya - OE) (Performance Solutions)- Management Self-Testing 2025"/>
    <s v="Review not performed"/>
    <s v="Will be review in November, because we need the process in the company. "/>
    <s v=""/>
    <s v=""/>
    <s v="Action plan will be tested in November, because we need involve on the process to review it.  "/>
    <x v="0"/>
    <x v="3"/>
    <s v=""/>
    <s v="Alejandro R., Financial Analyst"/>
    <s v="Open"/>
    <s v=""/>
    <x v="2"/>
    <s v=""/>
    <s v=""/>
    <s v="N/A"/>
    <s v="Gupta"/>
    <s v="A, C, E/O"/>
    <s v=""/>
    <s v=""/>
    <s v=""/>
    <s v=""/>
    <s v=""/>
    <s v=""/>
    <s v=""/>
    <s v=""/>
    <s v=""/>
    <s v=""/>
    <s v=""/>
    <s v=""/>
    <s v=""/>
    <s v=""/>
    <s v=""/>
    <s v=""/>
    <s v=""/>
    <s v=""/>
    <s v="10/28/2025"/>
    <n v="-9"/>
    <x v="1"/>
    <x v="1"/>
  </r>
  <r>
    <s v="TEN-2041"/>
    <s v="2025"/>
    <x v="2"/>
    <s v="PwC"/>
    <x v="0"/>
    <x v="76"/>
    <x v="5"/>
    <x v="23"/>
    <s v="Property, Plant, and Equipment"/>
    <s v="Adjustments &amp; Period-end Close for Property, plant &amp; equipment"/>
    <x v="35"/>
    <s v=""/>
    <s v="PPAE-33"/>
    <s v=""/>
    <s v="(Cambridge - Ignition) (Powertrain)   - Management Self-Testing 2025"/>
    <s v="Review not performed"/>
    <s v="There has not been a regular review for impairment on assets in the most recent year, which does not align with the quarterly requirement as dictated by policy. "/>
    <s v=""/>
    <s v=""/>
    <s v="We will be an impairment review to our finance meetings on a quarterly basis. This will involve finance meeting with the operations team to review the list of assets and determine if impairment is necessary. This will be added on to our quarterly close check list as required reporting. "/>
    <x v="0"/>
    <x v="25"/>
    <s v=""/>
    <s v="Sadie Yontz, Plant Finance Leader"/>
    <s v="Open"/>
    <s v=""/>
    <x v="3"/>
    <s v=""/>
    <s v=""/>
    <s v="N/A"/>
    <s v="Gupta"/>
    <s v="V"/>
    <s v=""/>
    <s v=""/>
    <s v=""/>
    <s v=""/>
    <s v=""/>
    <s v=""/>
    <s v=""/>
    <s v=""/>
    <s v=""/>
    <s v=""/>
    <s v=""/>
    <s v=""/>
    <s v=""/>
    <s v=""/>
    <s v=""/>
    <s v=""/>
    <s v=""/>
    <s v=""/>
    <s v="10/28/2025"/>
    <n v="-70"/>
    <x v="1"/>
    <x v="1"/>
  </r>
  <r>
    <s v="TEN-2042"/>
    <s v="2025"/>
    <x v="0"/>
    <s v="PwC"/>
    <x v="1"/>
    <x v="79"/>
    <x v="6"/>
    <x v="25"/>
    <s v="Information Technology General Controls (ITGC)"/>
    <s v="SAP access"/>
    <x v="12"/>
    <s v="Major"/>
    <s v=""/>
    <s v=""/>
    <s v="Shanghai - Clean Air - Full Scope 2025"/>
    <s v="SAP user access management requires improvement"/>
    <s v="Per analytics review of 111 SAP user accounts, identified the following control deficiencies:_x000a_Nanjing：_x000a_SAP Password Sharing: According to global &lt;Access Control Policy&gt;, each user must be assigned a unique sign-on ID and password to ensure individual accountability. Sharing user IDs and passwords is strictly prohibited. Per on-site inspection, noted that 1 SAP account from QA supervisor were shared to 3 QA inspectors. _x000a__x000a_Shanghai：_x000a_SOD SAP User Access: By comparing SAP access rights with employees' R&amp;R, noted that the Cashier, responsible for payment process, is granted with SAP vendor master create/change/delete access rights. Though no changes made by the Cashier._x000a_Untimely Deletion of Resign Employee’s SAP Access: 1 SAP accounts for a terminated employee was not revoked timely after departure._x000a_"/>
    <s v="No"/>
    <s v="Reinforce training and communication on access security policies, with emphasis on individual accountability and the risks of password sharing. _x000a_Clarify and strengthen the responsibilities of Role Approvers and Role Owners in access request reviews and periodic certifications, including validation against job functions and SOD rules. _x000a_Implement a checklist to ensure HR consistently submits request ticket to global IT team for access deactivation._x000a_"/>
    <s v="During employee onboarding training, the topics of &quot;one username per ID number&quot; and &quot;passwords must not be shared&quot; should be delivered to employee._x000a_SOD review and separate authority and responsibility and complete for 2 SAP account for 2 QA inspectors._x000a_HR regularly update the employee list with SAP user name. Finance check the consistency between the list with the SAP system.  The result was reviewed by HR._x000a_"/>
    <x v="2"/>
    <x v="26"/>
    <s v=""/>
    <s v="Emma Meng (Senior HR Manager)"/>
    <s v="Open"/>
    <s v=""/>
    <x v="2"/>
    <s v=""/>
    <s v=""/>
    <s v="Not Completed"/>
    <s v="Chawla"/>
    <s v=""/>
    <s v=""/>
    <s v=""/>
    <s v=""/>
    <s v=""/>
    <s v=""/>
    <s v=""/>
    <s v=""/>
    <s v=""/>
    <s v=""/>
    <s v=""/>
    <s v=""/>
    <s v=""/>
    <s v=""/>
    <s v=""/>
    <s v=""/>
    <s v=""/>
    <d v="2025-08-08T00:00:00"/>
    <d v="2025-09-26T00:00:00"/>
    <s v="10/31/2025"/>
    <n v="-7"/>
    <x v="1"/>
    <x v="1"/>
  </r>
  <r>
    <s v="TEN-2043"/>
    <s v="2025"/>
    <x v="0"/>
    <s v="PwC"/>
    <x v="1"/>
    <x v="79"/>
    <x v="6"/>
    <x v="25"/>
    <s v="Physical Security"/>
    <s v="Surveillance Camera Management ​_x000a_Door / Badge Access"/>
    <x v="2"/>
    <s v="Moderate"/>
    <s v=""/>
    <s v=""/>
    <s v="Shanghai - Clean Air - Full Scope 2025"/>
    <s v="Plant safety management requires improvement"/>
    <s v="Ningbo:_x000a_Inadequate Site Security: Ningbo Plant is not an independent site, which shares the campus with other external companies. However, noted that the raw materials are stored in an outdoor area with no anti-theft measures, and security at the campus gate did not inspect any departing vehicles._x000a__x000a_Gaps in CCTV Surveillance: Ningbo Plant performs CCTV footage checks monthly. Per review of footage, noted that 3 out of the 38 surveillance cameras (Name with FG area, Hot-end #3, Hot-end #4) were non-functional between May 21 and June 15, resulting in a 25-day coverage gap. _x000a__x000a_Fire Safety Hazard: The production waste warehouse is disorganized and obstructs access to firefighting equipment, posing a direct fire safety risk._x000a__x000a_Nanjing：_x000a_Access control of Catalyst Warehouse Required Improvement: Nanjing Plant shares the campus with other external companies. Per the Warehouse Supervisor, the entrance gate of the Catalyst Warehouse shall remain closed except during catalyst movements, to safeguard the high-value stock (USD 200 per unit, USD 77k stored in the warehouse as of July 22, 2025). _x000a__x000a_However, a review of CCTV footage revealed that the entrance gate remained open for two 48-hour stretches (from May 18 to May 20 and from June 20 to June 22), despite logistic and production staffs being nearby. _x000a__x000a_Shanghai：_x000a_Delayed Badge Access Revocation: Badge access for three terminated employees was not revoked for 388, 238, and 88 days, despite HR SOPs requiring timely deactivation. No entry or exit logs were recorded after their final working day, indicating no known post-employment access. However, the delayed revocation remains a control weakness, as timely removal is not consistently enforced._x000a_"/>
    <s v="No"/>
    <s v="1) Reconfigure warehouse layouts and subject materials stored in open area to daily CCTV check or increase patrols to identify theft risks timely._x000a_2) Upgrade firefighting installations in the scrap warehouse in accordance with the fire-safety regulations._x000a_3) Organize training to employees on reinforcing the fire- and theft-prevention awareness._x000a__x000a_1) Delete the access of terminated employees._x000a_2) Organize training to enhance employees’ awareness of the risks of theft. _x000a_3) Strictly follow the employee resignation process and conduct periodical review, ensure that the resigned employee’s access is deleted prior to the last working day._x000a_"/>
    <s v="Ningbo: _x000a_The surveillance  cameras should be repaired promptly. Security person will provide sufficient inspection  while camera is under repairment._x000a_Move the fire extinguisher outside the scrap warehouse._x000a_Nanjing：_x000a_Keep warehouse locked other than using_x000a__x000a_Shanghai：_x000a_In the actual process of resignation, after closing the account in advance as required, sign for confirmation; _x000a_EHS, HR, and IT review the authorization list together every month._x000a_"/>
    <x v="2"/>
    <x v="27"/>
    <s v=""/>
    <s v="Ningbo: Gou Biao (Plant Manager)_x000a_Nanjing: Su Zhenguo (Plant Manager)_x000a_Shanghai: Coco Ding (Operation Manager)"/>
    <s v="Open"/>
    <s v=""/>
    <x v="0"/>
    <s v=""/>
    <s v=""/>
    <s v="Not Completed"/>
    <s v="Chawla"/>
    <s v=""/>
    <s v=""/>
    <s v=""/>
    <s v=""/>
    <s v=""/>
    <s v=""/>
    <s v=""/>
    <s v=""/>
    <s v=""/>
    <s v=""/>
    <s v=""/>
    <s v=""/>
    <s v=""/>
    <s v=""/>
    <s v=""/>
    <s v=""/>
    <s v=""/>
    <d v="2025-08-08T00:00:00"/>
    <d v="2025-09-26T00:00:00"/>
    <s v="10/31/2025"/>
    <n v="37"/>
    <x v="2"/>
    <x v="0"/>
  </r>
  <r>
    <s v="TEN-2044"/>
    <s v="2025"/>
    <x v="0"/>
    <s v="PwC"/>
    <x v="1"/>
    <x v="79"/>
    <x v="6"/>
    <x v="25"/>
    <s v="Payroll"/>
    <s v="Payroll register review"/>
    <x v="32"/>
    <s v="Moderate"/>
    <s v="PAYR-14"/>
    <s v=""/>
    <s v="Shanghai - Clean Air - Full Scope 2025"/>
    <s v="Deficiency in Segregation of Duties within Payroll Register Review Process"/>
    <s v="The local plants utilize the Platinum system for employee timekeeping and payroll calculation. However, the local C&amp;B SOP does not define roles and responsibilities has resulted in inadequate control over the payroll review and approval process._x000a__x000a_In the current practice, the local Plant HR Specialists are responsible for exporting attendance records and transmitting to the Shared Service Center (SSC) C&amp;B Specialist. The SSC C&amp;B Specialist subsequently processes the payroll calculation in Platinum, exports the resulting payroll register to Excel, and returns this file to the same Plant HR Specialists for final review and approval. _x000a__x000a_This end-to-end involvement of the same Plant HR Specialists indicates that the individuals who provide the source data also perform the final validation, with no independent second-level review."/>
    <s v="No"/>
    <s v="1) Update the local C&amp;B policy to clearly define the R&amp;R in payroll register review and approval process._x000a_2) Implement a second-level approver to review and formally approve the payroll register before it is finalized, ensuing an independent check is performed."/>
    <s v="HRM takes C&amp;B calculation review."/>
    <x v="0"/>
    <x v="4"/>
    <s v=""/>
    <s v="Emma Meng (Senior HR Manager)"/>
    <s v="Open"/>
    <s v=""/>
    <x v="0"/>
    <s v=""/>
    <s v=""/>
    <s v="Not Completed"/>
    <s v="Chawla"/>
    <s v="A, C, CO, E/O, V"/>
    <s v=""/>
    <s v=""/>
    <s v=""/>
    <s v=""/>
    <s v=""/>
    <s v=""/>
    <s v=""/>
    <s v=""/>
    <s v=""/>
    <s v=""/>
    <s v=""/>
    <s v=""/>
    <s v=""/>
    <s v=""/>
    <s v=""/>
    <s v=""/>
    <d v="2025-08-08T00:00:00"/>
    <d v="2025-09-26T00:00:00"/>
    <s v="10/31/2025"/>
    <n v="52"/>
    <x v="2"/>
    <x v="0"/>
  </r>
  <r>
    <s v="TEN-2045"/>
    <s v="2025"/>
    <x v="0"/>
    <s v="PwC"/>
    <x v="1"/>
    <x v="79"/>
    <x v="6"/>
    <x v="25"/>
    <s v="Production and Inventory"/>
    <s v="Inventory Management"/>
    <x v="33"/>
    <s v="Moderate"/>
    <s v=""/>
    <s v=""/>
    <s v="Shanghai - Clean Air - Full Scope 2025"/>
    <s v="Inventory Management Requires Improvement"/>
    <s v="Ningbo:_x000a_Defective Products Stored for Over a Year Without Disposal: During the plant tour, noted that 11 out of 22 defective WIPs (RMB 300, 0.05m³) have remained in an isolated rejected finished goods warehouse for over one year without timely disposition, indicating inefficiencies in non-confirming material handling and reduce inventory turnover._x000a__x000a_Lack of Clear Segregation for Inspection Area: The incoming material inspection area is not physically segregated from the raw material warehouse, increasing the risk of uninspected materials being mistaken for approved stock, potentially leading to quality failures."/>
    <s v="No"/>
    <s v="1) Organize refresher training to relevant employees to enhance warehouse management awareness._x000a_2) Redesign the plant layout and establish a physically quarantine area for incoming material inspection."/>
    <s v="Process the defective products within 30 days in strict accordance with the SOP._x000a_Build physically quarantine area for incoming material inspection."/>
    <x v="0"/>
    <x v="26"/>
    <s v=""/>
    <s v="Gou Biao (Plant Manager)"/>
    <s v="Open"/>
    <s v=""/>
    <x v="2"/>
    <s v=""/>
    <s v=""/>
    <s v="Not Completed"/>
    <s v="Chawla"/>
    <s v=""/>
    <s v=""/>
    <s v=""/>
    <s v=""/>
    <s v=""/>
    <s v=""/>
    <s v=""/>
    <s v=""/>
    <s v=""/>
    <s v=""/>
    <s v=""/>
    <s v=""/>
    <s v=""/>
    <s v=""/>
    <s v=""/>
    <s v=""/>
    <s v=""/>
    <d v="2025-08-08T00:00:00"/>
    <d v="2025-09-26T00:00:00"/>
    <s v="10/31/2025"/>
    <n v="-7"/>
    <x v="1"/>
    <x v="1"/>
  </r>
  <r>
    <s v="TEN-2046"/>
    <s v="2025"/>
    <x v="0"/>
    <s v="PwC"/>
    <x v="1"/>
    <x v="79"/>
    <x v="6"/>
    <x v="25"/>
    <s v="Documentation"/>
    <s v="Policies and SOPs require enhancement"/>
    <x v="21"/>
    <s v="Moderate"/>
    <s v=""/>
    <s v=""/>
    <s v="Shanghai - Clean Air - Full Scope 2025"/>
    <s v="Key Local Policies and SOPs Need Improvement"/>
    <s v="Upon going through local policies and SOPs, covering areas in sales, purchase, inventory/ warehouse management, production, quality, payroll, finance and EH&amp;S, noted that:_x000a_Payroll: The C&amp;B SOP lacks defined roles, responsibilities, and process documentation. A critical SOD weakness exists as Plant HR Specialists provide attendance data and perform final payroll approval without independent review. (See Obsn 3)_x000a__x000a_Procurement : SOPs are incomplete—procedures for service-related purchases are undefined, covering only direct materials and MRO. _x000a__x000a_Sales and Account Receivables: The SOPs lack formal documentation for customer credit calculation, changes, and periodic review of payment terms. Credit criteria are currently maintained in editable Excel files with written management approval. While credits and terms are reviewed annually by management with no deviations identified, the process lacks structured, standardized controls."/>
    <s v="No"/>
    <s v="1) Develop local guidelines for undefined areas between the existing global framework policy and local practices, which should include expectations, roles and responsibilities, scope, detailed procedures, policy reference, etc._x000a_2) Review the policies and SOPs periodically to assess the need to update documents"/>
    <s v="Payroll:  Defined roles, responsibilities, and process in C&amp;B SOP for payroll approval review._x000a_ Procurement : Update the in-direct purchasing   procedure documentation, define the service-related purchasing process._x000a__x000a_Sales and Account Receivables:  Create and update SOP of customer credit management and payment terms periodic review."/>
    <x v="0"/>
    <x v="26"/>
    <s v=""/>
    <s v="Emma Meng (Senior HR Manager)_x000a_Xu Xiang (Senior Purchasing Manager&amp; Logistics Leader, Manufacturing)_x000a_Alex Pan (Sales Director)"/>
    <s v="Open"/>
    <s v=""/>
    <x v="2"/>
    <s v=""/>
    <s v=""/>
    <s v="Not Completed"/>
    <s v="Chawla"/>
    <s v=""/>
    <s v=""/>
    <s v=""/>
    <s v=""/>
    <s v=""/>
    <s v=""/>
    <s v=""/>
    <s v=""/>
    <s v=""/>
    <s v=""/>
    <s v=""/>
    <s v=""/>
    <s v=""/>
    <s v=""/>
    <s v=""/>
    <s v=""/>
    <s v=""/>
    <d v="2025-08-08T00:00:00"/>
    <d v="2025-09-26T00:00:00"/>
    <s v="10/31/2025"/>
    <n v="-7"/>
    <x v="1"/>
    <x v="1"/>
  </r>
  <r>
    <s v="TEN-2051"/>
    <s v="2025"/>
    <x v="0"/>
    <s v="PwC"/>
    <x v="1"/>
    <x v="39"/>
    <x v="3"/>
    <x v="7"/>
    <s v="Property, Plant, and Equipment"/>
    <s v="Fixed Asset Tagging"/>
    <x v="7"/>
    <s v="Moderate"/>
    <s v=""/>
    <s v=""/>
    <s v="Smyrna - DRiV - Full Scope 2025"/>
    <s v="Issues in the process of tagging Fixed assets "/>
    <s v="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 Management noted it was not feasible or practical to tag these assets (racking, auto store, etc.), however alternatives should be explored such as barcode or RFID tagging for difficult-to-access assets.​_x000a__x000a_A list of the plant's fixed assets was obtained and a sample of 5 assets, were selected  to verify the existence of these assets. Noted the following exceptions:​_x000a__x000a_3 assets were found physically, but were not tagged, (~US$4.4M)​_x000a__x000a_For the second part of the test, ten assets from the plant floor were traced to the fixed asset inventory listing. Noted the following exceptions:​_x000a__x000a_5 assets had a tag number different from the one registered in the system. (~US$ 72k)"/>
    <s v="No"/>
    <s v="Reconcile and tag all currently capitalized but untagged assets.​_x000a__x000a_Evaluate alternatives like barcode or RFID tagging for difficult-to-access assets. Ensure consistent tag-data reconciliation and update system records with serial/model references where tagging is not feasible.​"/>
    <s v="All feasible assets are tagged in the prior years by the Maintenance Manager and kept with a separate asset listing by the Maintenance Manager, but the Finance asset listing is associated to serial numbers of the equipment vs the “newer” equipment tags.  The finance team will update their listing with the appropriate asset tags to harmonize the two asset listings."/>
    <x v="2"/>
    <x v="4"/>
    <s v=""/>
    <s v="Aaron Southworth (Plant Controller​)"/>
    <s v="Open"/>
    <s v=""/>
    <x v="0"/>
    <s v=""/>
    <s v=""/>
    <s v="Not Completed"/>
    <s v="Chawla"/>
    <s v=""/>
    <s v=""/>
    <s v=""/>
    <s v=""/>
    <s v=""/>
    <s v=""/>
    <s v=""/>
    <s v=""/>
    <s v=""/>
    <s v=""/>
    <s v=""/>
    <s v=""/>
    <s v=""/>
    <s v=""/>
    <s v=""/>
    <s v=""/>
    <s v=""/>
    <d v="2025-06-16T00:00:00"/>
    <d v="2025-09-26T00:00:00"/>
    <s v="10/31/2025"/>
    <n v="52"/>
    <x v="2"/>
    <x v="0"/>
  </r>
  <r>
    <s v="TEN-2052"/>
    <s v="2025"/>
    <x v="0"/>
    <s v="PwC"/>
    <x v="0"/>
    <x v="80"/>
    <x v="6"/>
    <x v="18"/>
    <s v="Production and Inventory"/>
    <s v="Cycle Counts"/>
    <x v="20"/>
    <s v="Moderate"/>
    <s v="PINV-01"/>
    <s v=""/>
    <s v="Marshall - Clean Air - Full Scope 2025"/>
    <s v="Non-blind cycle counts and operational inefficiencies "/>
    <s v="Cycle counts are performed daily; however, they are not performed blind, as counters can view expected quantities prior to counting. ​_x000a__x000a_Cycle count adjustments were not posted timely during January–June 2024, with entries only processed once per month potentially resulting in cutoff issues.​_x000a__x000a_​In the testing period gross inventory adjustments as a result of counts were $14.8M (15 month period), consisting of 5,786-line item adjustments. $11.2M of the gross adjustments were posted in November of 2024 as a result of the full physical inventory performed at the facility. Of the $14.8 M, $11.3M (9.7 in November) was related to movement between locations, the remaining $3.5M was the result of write-offs and write-ups. The resulting differences would hit inventory reserves (shrink).​"/>
    <s v="No"/>
    <s v="Implement blind counts by adjusting procedures where counters cannot view expected quantities prior to recording results. ​_x000a__x000a_Ensure inventory adjustments are reviewed by management during month-end close for appropriateness. "/>
    <s v="Review Corporate cycle count protocol to incorporate blind counts into our process."/>
    <x v="0"/>
    <x v="10"/>
    <s v=""/>
    <s v="Shawn Coffman (Materials Manager)"/>
    <s v="Open"/>
    <s v=""/>
    <x v="0"/>
    <s v=""/>
    <s v=""/>
    <s v="Not Completed"/>
    <s v="Chawla"/>
    <s v="A, C, E/O"/>
    <s v=""/>
    <s v=""/>
    <s v=""/>
    <s v=""/>
    <s v=""/>
    <s v=""/>
    <s v=""/>
    <s v=""/>
    <s v=""/>
    <s v=""/>
    <s v=""/>
    <s v=""/>
    <s v=""/>
    <s v=""/>
    <s v=""/>
    <s v=""/>
    <d v="2025-07-25T00:00:00"/>
    <d v="2025-09-29T00:00:00"/>
    <s v="10/31/2025"/>
    <n v="21"/>
    <x v="2"/>
    <x v="0"/>
  </r>
  <r>
    <s v="TEN-2053"/>
    <s v="2025"/>
    <x v="0"/>
    <s v="PwC"/>
    <x v="1"/>
    <x v="80"/>
    <x v="6"/>
    <x v="18"/>
    <s v="Period End Financial Reporting"/>
    <s v="Governance and Oversight"/>
    <x v="35"/>
    <s v="Moderate"/>
    <s v=""/>
    <s v=""/>
    <s v="Marshall - Clean Air - Full Scope 2025"/>
    <s v="Lack of communication and monitoring activities performed on behalf of the_x000a_plant by Shared Service Centers or Corporate"/>
    <s v="There was a general lack of knowledge and visibility into procedures being_x000a_performed at the Corporate team for the business unit or Shared Service Centers_x000a_(SSC) on behalf of the plant, including who was performing the activities and when_x000a_ownership of the activities change. ​_x000a__x000a_The procedures performed on the plants behalf relate to cash flow management_x000a_(cash receipts &amp; payment processing), master data is also controlled and_x000a_maintained offsite as the SAP PTA master data changes impact all locations on the_x000a_system. This does not impact financial reporting capabilities. ​_x000a__x000a_Procedures performed on behalf of the plant: ​_x000a_-Accounts Receivable​_x000a_-Opening/Closing of Bank Account(s) ​_x000a_-Salary Payroll​_x000a_-Bonuses and Commissions​_x000a_-Vendor and Customer Masterfile data​_x000a_-Pricing Files ​_x000a_-Creation and modification of purchase orders and scheduling agreements​_x000a_-Customer Service, sales orders, and accounts receivable management​_x000a_-Purchase Card Monitoring​_x000a_-Bank Reconciliations ​_x000a_-Accounts Payable Payment Processing (Vendor Payments) ​"/>
    <s v="No"/>
    <s v="Better Communication of all Accounting and Controlling issues. Discuss in periodic Controller meetings, document notable changes for all processing key activities_x000a_Develop process between plant and shared services to provide data. "/>
    <s v="Better Communication of all Accounting and Controlling issues. Discuss in periodic Controller meetings, document notable changes for all processing key activities​_x000a__x000a_Develop process between plant and shared services to provide data. "/>
    <x v="0"/>
    <x v="10"/>
    <s v=""/>
    <s v="John Coppage (Regional Controller);  Craig Bersudar (Corp. Accounting); Chris Roberts (Finance Director, Commercial &amp; Costing)"/>
    <s v="Open"/>
    <s v=""/>
    <x v="0"/>
    <s v=""/>
    <s v=""/>
    <s v="Not Completed"/>
    <s v="Chawla"/>
    <s v=""/>
    <s v=""/>
    <s v=""/>
    <s v=""/>
    <s v=""/>
    <s v=""/>
    <s v=""/>
    <s v=""/>
    <s v=""/>
    <s v=""/>
    <s v=""/>
    <s v=""/>
    <s v=""/>
    <s v=""/>
    <s v=""/>
    <s v=""/>
    <s v=""/>
    <d v="2025-07-25T00:00:00"/>
    <d v="2025-09-29T00:00:00"/>
    <s v="10/31/2025"/>
    <n v="21"/>
    <x v="2"/>
    <x v="0"/>
  </r>
  <r>
    <s v="TEN-2054"/>
    <s v="2025"/>
    <x v="0"/>
    <s v="PwC"/>
    <x v="1"/>
    <x v="80"/>
    <x v="6"/>
    <x v="18"/>
    <s v="Property, Plant, and Equipment"/>
    <s v="Fixed Asset Tagging"/>
    <x v="7"/>
    <s v="Moderate"/>
    <s v=""/>
    <s v=""/>
    <s v="Marshall - Clean Air - Full Scope 2025"/>
    <s v="Inconsistent Physical Asset Tagging and Register Maintenance"/>
    <s v="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 Management noted it was not feasible or practical to tag these assets (racking, auto store, etc.), however alternatives should be explored such as barcode or RFID tagging for difficult-to-access assets._x000a__x000a_A list of the plant's fixed assets was obtained and a sample of 20 were selected (total USD $) to verify the book to floor existence. Noted the following exceptions: _x000a__x000a_1 asset (valued at $113k USD) had been physically transferred from Marshall to Ligonier, while being maintained on Marshall's fixed asset register. The asset has an accumulated depreciation of $103k. The asset had been transferred in 2023 with no approvals or documentation maintained. _x000a_2 assets (valued at $118k USD) were not tagged in areas visible  to identify, and therefore the existence of the tag could not be validated. 1 of the assets was tagged in the middle of the machine work center, and unsafe to view. _x000a_1 asset (valued at $91.k USD), a rack to maintain inventory, was deemed as infeasible to tag_x000a_1 asset (valued at $5.3k USD) was not physically tagged. The tag was not maintained with the PO or Invoice Documentation. "/>
    <s v="No"/>
    <s v="Perform full Asset audit in 2026, per Corporate policy._x000a_"/>
    <s v="Perform full Asset audit in 2026, per Corporate policy."/>
    <x v="0"/>
    <x v="28"/>
    <s v=""/>
    <s v="Alan Schneider (Plant Controller), Eric LaForge (Plant Accountant)"/>
    <s v="Open"/>
    <s v=""/>
    <x v="3"/>
    <s v=""/>
    <s v=""/>
    <s v="Not Completed"/>
    <s v="Chawla"/>
    <s v=""/>
    <s v=""/>
    <s v=""/>
    <s v=""/>
    <s v=""/>
    <s v=""/>
    <s v=""/>
    <s v=""/>
    <s v=""/>
    <s v=""/>
    <s v=""/>
    <s v=""/>
    <s v=""/>
    <s v=""/>
    <s v=""/>
    <s v=""/>
    <s v=""/>
    <d v="2025-07-25T00:00:00"/>
    <d v="2025-09-29T00:00:00"/>
    <s v="10/31/2025"/>
    <n v="-313"/>
    <x v="1"/>
    <x v="1"/>
  </r>
  <r>
    <s v="TEN-2055"/>
    <s v="2025"/>
    <x v="0"/>
    <s v="PwC"/>
    <x v="1"/>
    <x v="80"/>
    <x v="6"/>
    <x v="18"/>
    <s v="Physical Security"/>
    <s v="Physical Security"/>
    <x v="2"/>
    <s v="Moderate"/>
    <s v=""/>
    <s v=""/>
    <s v="Marshall - Clean Air - Full Scope 2025"/>
    <s v="Precious Metals Access"/>
    <s v="Precious metals used in catalytic converters are stored in a secured cage within the plant. Access to the cage is restricted with badge access. However, several forklifts that are unsecured with open access have a &quot;garage door&quot; opener that can be used to grant access to the cage. _x000a__x000a_The value of precious metals stored within the cage at the time of the audit was approximately 9 million dollars, or 50% of the current inventory balance."/>
    <s v="No"/>
    <s v="Work order submitted to remove switches on Fork lifts, and replace with badge only access to the precious metals cage. "/>
    <s v="Work order submitted to remove switches on Fork lifts, and replace with badge only access to the precious metals cage. "/>
    <x v="0"/>
    <x v="3"/>
    <s v=""/>
    <s v="Shawn Coffman (Materials Manager)"/>
    <s v="Open"/>
    <s v=""/>
    <x v="2"/>
    <s v=""/>
    <s v=""/>
    <s v="Not Completed"/>
    <s v="Chawla"/>
    <s v=""/>
    <s v=""/>
    <s v=""/>
    <s v=""/>
    <s v=""/>
    <s v=""/>
    <s v=""/>
    <s v=""/>
    <s v=""/>
    <s v=""/>
    <s v=""/>
    <s v=""/>
    <s v=""/>
    <s v=""/>
    <s v=""/>
    <s v=""/>
    <s v=""/>
    <d v="2025-07-25T00:00:00"/>
    <d v="2025-09-29T00:00:00"/>
    <s v="10/31/2025"/>
    <n v="-9"/>
    <x v="1"/>
    <x v="1"/>
  </r>
  <r>
    <s v="TEN-2059"/>
    <s v="2025"/>
    <x v="0"/>
    <s v="PwC"/>
    <x v="1"/>
    <x v="81"/>
    <x v="2"/>
    <x v="10"/>
    <s v="Purchasing and Payables"/>
    <s v="Ordering"/>
    <x v="5"/>
    <s v="Moderate"/>
    <s v=""/>
    <s v=""/>
    <s v="Araras - Powertrain - Full Scope 2025"/>
    <s v="Procurement Oversight Issues"/>
    <s v="Lack of approval evidence in SAP_x000a_From the list of the top ten locally sourced vendors, one purchase order was selected for each vendor. For each, supporting documentation was requested, including: Request for Quotation (RFQ), competitive bids, purchase order, and invoice.A sample of 10 items, totaling approximately R$2,4m (~US$ 445k), was tested based on the defined procedure, which involved selecting one purchase order from each of the top 10 vendors. The following gaps were identified during the review:_x000a_3 items were processed through Mercado Eletrônico (an electronic bidding and contracting platform), but due to SAP errors during GO LIVE (February 2024) there is no evidence of PO approval in the system totaling R$ 32k (~US$ 5.8k)._x000a_Lack of formal review in inputs under Scheduling Agreements_x000a_Scheduling agreements are currently used for the procurement of raw materials. Unlike standard purchase orders (POs), these agreements do not require independent approval and primarily function as pricing arrangements. This lack of formal approval introduces a risk that purchases may be executed without appropriate oversight or control._x000a__x000a_Quantities entered into these agreements are provided by the Logistics team, based on Electronic Data Interchange (EDI) information received from clients. Additionally, the unit price is updated monthly to reflect fluctuations in the aluminum market and foreign exchange (FX) rates. However, this price update process is not subject to any review or approval, increasing the risk of errors, unauthorized changes, or pricing inconsistencies"/>
    <s v="No"/>
    <s v="1. Review and correct SAP approval workflow configurations to ensure purchase requisitions and orders follow the correct approval path without errors or delays. 2. Implement a control that requires independent approval for purchase releases under scheduling agreements."/>
    <s v="1) Role of SAP approval was fixed - Go live post action._x000a_2) Formalize the scheduling agreement approvals – define the process. 3) Formalize approval for Monthly fluctuations based on LME market – define the process."/>
    <x v="2"/>
    <x v="3"/>
    <s v=""/>
    <s v="Camila Lido (Purchasing Manager)"/>
    <s v="Open"/>
    <s v=""/>
    <x v="2"/>
    <s v=""/>
    <s v=""/>
    <s v="Not Completed"/>
    <s v="Chawla"/>
    <s v=""/>
    <s v=""/>
    <s v=""/>
    <s v=""/>
    <s v=""/>
    <s v=""/>
    <s v=""/>
    <s v=""/>
    <s v=""/>
    <s v=""/>
    <s v=""/>
    <s v=""/>
    <s v=""/>
    <s v=""/>
    <s v=""/>
    <s v=""/>
    <s v=""/>
    <d v="2025-08-18T00:00:00"/>
    <d v="2025-10-13T00:00:00"/>
    <s v="10/31/2025"/>
    <n v="-9"/>
    <x v="1"/>
    <x v="1"/>
  </r>
  <r>
    <s v="TEN-2060"/>
    <s v="2025"/>
    <x v="0"/>
    <s v="PwC"/>
    <x v="1"/>
    <x v="81"/>
    <x v="2"/>
    <x v="10"/>
    <s v="Production and Inventory"/>
    <s v="Scrap Sales"/>
    <x v="33"/>
    <s v="Moderate"/>
    <s v=""/>
    <s v=""/>
    <s v="Araras - Powertrain - Full Scope 2025"/>
    <s v="Absence of Scrap Sales Contracts"/>
    <s v="Scrap Sales Conducted Without Formal Agreements_x000a_There is no formal contract in place for all two scrap vendors (Latasa Reciclagem and Global Steel). _x000a__x000a_Plant measures scrap in kilograms (kg). Once the minimum quantity is reached — based on criteria related to freight cost — the buyer is responsible for collecting the material directly from the plant and covering the transportation costs. The materials are initially weighed at the plant and later confirmed by the buyer. The price per kilogram is agreed via email, although ideally, this agreement should be formalized through a contract._x000a__x000a_In 2024, 1,191,576 kg of scrap were sold which corresponds to an average of 5,756 kg/month. In terms of revenue, this amounted to R$8,9m (~US$ 1,6M), with monthly average of R$43k (~US$ 7,8k)._x000a_In 2025, from January to June, 672,272 kg of scrap were sold which corresponds to an average of 5,293 kg/month. In terms of revenue, this amounted to R$ 5m (~US$ 924k), with monthly average of R$40k (~US$ 7,2k)._x000a__x000a_There are 9 types of metal scrap in Araras due to differences in material purity. The prices range from R$1.20/kg (~US$0.22/kg) to R$20 (~US$ 3.63/kg)."/>
    <s v="No"/>
    <s v="1. Develop and formalize SOPs for managing scrap contracts including responsible roles, documentation requirements and policy reference. 2. Formalize contractual agreements between Powertrain plants in Brazil with suppliers that clearly define terms, pricing, service levels, and responsibilities. These contracts should be duly signed and approved by the appropriate authorization levels and securely stored. 3. Develop and implement a structured training and awareness program for all relevant staff."/>
    <s v="1. Formalize scrap sales process and nominate responsibilities. 2. Formalize contractual agreement"/>
    <x v="0"/>
    <x v="19"/>
    <s v=""/>
    <s v="Camila Lido (Purchasing Manager)"/>
    <s v="Open"/>
    <s v=""/>
    <x v="2"/>
    <s v=""/>
    <s v=""/>
    <s v="Not Completed"/>
    <s v="Chawla"/>
    <s v=""/>
    <s v=""/>
    <s v=""/>
    <s v=""/>
    <s v=""/>
    <s v=""/>
    <s v=""/>
    <s v=""/>
    <s v=""/>
    <s v=""/>
    <s v=""/>
    <s v=""/>
    <s v=""/>
    <s v=""/>
    <s v=""/>
    <s v=""/>
    <s v=""/>
    <d v="2025-08-18T00:00:00"/>
    <d v="2025-10-13T00:00:00"/>
    <s v="10/31/2025"/>
    <n v="-24"/>
    <x v="1"/>
    <x v="1"/>
  </r>
  <r>
    <s v="TEN-2061"/>
    <s v="2025"/>
    <x v="0"/>
    <s v="PwC"/>
    <x v="0"/>
    <x v="81"/>
    <x v="2"/>
    <x v="10"/>
    <s v="Property, Plant, and Equipment"/>
    <s v="Fixed Assets Inventory"/>
    <x v="6"/>
    <s v="Moderate"/>
    <s v="PPAE-32"/>
    <s v="PPAE-32"/>
    <s v="Araras - Powertrain - Full Scope 2025"/>
    <s v="Issues in the Process of Tagging Fixed Assets"/>
    <s v="Inadequate Tagging Controls for Fixed Assets_x000a_The company has established a policy to tag all assets located within its facilities. This policy involves systematically labeling each asset to ensure precise tracking and efficient management. Additionally, this approach helps in maintaining accurate records, reducing the risk of asset loss or misplacement, and improves maintenance processes._x000a__x000a_A list of the plant's fixed assets was obtained, and a sample of 20 assets was selected, 15 samples were used  to verify the existence of these assets. Noted the following exceptions:_x000a_3 assets were physically found but had the tag number from Omega not SAP (go live was in Feb/24) (machines fully depreciated)._x000a_2 assets were physically found but had the tag number from Omega not SAP and their tag numbers were partially obscured by paint. (machines fully depreciated)._x000a_1 asset was physically found with Omega tag number, but it was located inside a bunker outside the production area. This machine is used for a specific operation process, and it was removed from the plant following the discontinuation of a project with Stellantis in August 2024 and physically relocated on September 30, 2024. In May 2025, negotiations for its sale began but were unsuccessful. The asset remains available for sale and the controller is currently evaluating auctioning options and the most appropriate disposal strategy, with a potential sale deadline of December 31, 2025._x000a_Additionally, 8 assets were not found physically. The local team did not know where the machines were in the plant (machines fully depreciated)._x000a__x000a_For the second part of the test, five assets from the plant floor were traced to the fixed asset inventory listing:_x000a_2 assets was physically found without tags. (R$ 18k ~ US$3,3k)_x000a_3 assets were physically found but had the tag number from Omega. (machines fully depreciated)"/>
    <s v="No"/>
    <s v="1. Define and implement an SOPs outlining post-capitalization tagging responsibilities._x000a_2. Reconcile and tag all currently capitalized but untagged assets."/>
    <s v="Physical inventory to be performed in Q1 2026 which will include completeness review of fixed asset register and ensuring all fixed assets on the floor are present in the register."/>
    <x v="2"/>
    <x v="11"/>
    <s v=""/>
    <s v="André Cerbi (Plant Finance Lead) /Levi Cruz (Plant Manager)/ Marcos Castro (Finance Director)"/>
    <s v="Open"/>
    <s v=""/>
    <x v="3"/>
    <s v=""/>
    <s v=""/>
    <s v="Not Completed"/>
    <s v="Chawla"/>
    <s v="A, C, E/O, V"/>
    <s v=""/>
    <s v=""/>
    <s v=""/>
    <s v=""/>
    <s v=""/>
    <s v=""/>
    <s v=""/>
    <s v=""/>
    <s v=""/>
    <s v=""/>
    <s v=""/>
    <s v=""/>
    <s v=""/>
    <s v=""/>
    <s v=""/>
    <s v=""/>
    <d v="2025-08-18T00:00:00"/>
    <d v="2025-10-13T00:00:00"/>
    <s v="10/31/2025"/>
    <n v="-130"/>
    <x v="1"/>
    <x v="1"/>
  </r>
  <r>
    <s v="TEN-2062"/>
    <s v="2025"/>
    <x v="0"/>
    <s v="PwC"/>
    <x v="1"/>
    <x v="81"/>
    <x v="2"/>
    <x v="10"/>
    <s v="Master Data"/>
    <s v="Material Master Management"/>
    <x v="10"/>
    <s v="Moderate"/>
    <s v=""/>
    <s v=""/>
    <s v="Araras - Powertrain - Full Scope 2025"/>
    <s v="Inconsistencies in Material Master Data"/>
    <s v="Shared descriptions associate to different codes leading to data inconsistencies_x000a_An analysis was performed on the material master data, covering both direct and indirect materials, to identify potential duplications based on identical descriptions or codes. The review revealed that approximately 18% of the material codes are being used inaccurately, indicating a medium volume of duplicate or similar material descriptions and codes. The key findings from this analysis are summarized below:_x000a__x000a_1) 9,874 materials are registered in SAP._x000a_2) 8,182 unique combinations of codes and descriptions were identified._x000a_3) 1,642 recurring descriptions where:_x000a_3.1) 347 codes are active and 401 codes are deleted._x000a_3.2) 944 material codes associated with 181 recurring descriptions, (the same description is assigned to more than one code):"/>
    <s v="No"/>
    <s v="1. Configure SAP to prevent duplicate entries by checking for existing descriptions or codes during material creation. _x000a_2. Conduct a Master Data cleansing initiative to identify and consolidate duplicate material codes and delete obsolete or redundant records."/>
    <s v="1. Perform trainings and update SOPs. 2. Improve material description and remove inactive or duplicate items from the system."/>
    <x v="2"/>
    <x v="3"/>
    <s v=""/>
    <s v="Paulo Riceto (Engineering Manager - Direct materials) / Fernando Bizerra (Plant Finance Lead - Indirect Materials)"/>
    <s v="Open"/>
    <s v=""/>
    <x v="2"/>
    <s v=""/>
    <s v=""/>
    <s v="Not Completed"/>
    <s v="Chawla"/>
    <s v=""/>
    <s v=""/>
    <s v=""/>
    <s v=""/>
    <s v=""/>
    <s v=""/>
    <s v=""/>
    <s v=""/>
    <s v=""/>
    <s v=""/>
    <s v=""/>
    <s v=""/>
    <s v=""/>
    <s v=""/>
    <s v=""/>
    <s v=""/>
    <s v=""/>
    <d v="2025-08-18T00:00:00"/>
    <d v="2025-10-13T00:00:00"/>
    <s v="10/31/2025"/>
    <n v="-9"/>
    <x v="1"/>
    <x v="1"/>
  </r>
  <r>
    <s v="TEN-2066"/>
    <s v="2025"/>
    <x v="0"/>
    <s v="Genpact ERC"/>
    <x v="1"/>
    <x v="9"/>
    <x v="0"/>
    <x v="8"/>
    <s v="Purchasing and Payables"/>
    <s v="Vendor Invoices &amp; Goods Receipt"/>
    <x v="5"/>
    <s v="Major"/>
    <s v=""/>
    <s v=""/>
    <s v="Reynosa, PS (NVH) - Full Scope 2025"/>
    <s v="Weak controls noted in ERP for processing of Vendor Invoices_x000a_&amp;_x000a_Anomalies noted in Reviewing/Recording Goods Receipt"/>
    <s v="1. There are 3 types of procurements – Direct Material, Maintenance Repairs &amp; Operations (MRO) and Indirect Services. All 3 types of procurements are handled by the Plant Procurement Team. In case of changes in prices, vendors informs Procurement Team via email. Accordingly, PO is modified by the Procurement Team in SAP._x000a__x000a_On review of Scheduling Agreements (SAs) created during the period July 2024 to February 2025, we noted that out of 25 SAs which were created, total 8 SAs had the “ERS” (Evaluated Receipt Settlement) option enabled. This configuration bypasses the standard three‑way match (PO–GRN–invoice) in SAP. A total procurement of MXN 242.27 Mn (USD 12.9 Mn) was done against these 8 SAs without any three‑way match._x000a__x000a_2. On receipt of material at the plant gate, inward of material is done by the warehousing team basis the vendor invoice and delivery note. Discrepancies between actual quantity and invoice quantity, if any, are intimated to the material planning team for corrective action._x000a__x000a_Inadequate Verification of Received Quantities_x000a_Our review of the goods‑receipt process revealed that warehouse staff posts full Goods Receipt Notes (GRNs) for the invoiced quantity despite lesser physical quantity received. Invoices are stamped for 100% delivery and no formal notification of short‑receipts is sent to Accounts Payable, resulting in payment of entire invoiced quantity._x000a__x000a_On review of inwards for the sample months of March 2025 &amp; April 2025, we noted 84 shipments (out of 301 shipments) exhibiting a shortfall of 89,758 units (USD 57K, that is, ~25% of invoiced quantity). On further discussion, we noted such mismatches were part of inter-company (Napoleon Plant) &amp; US shipments._x000a__x000a_GRN Reuse &amp; Inaccurate Inventory Movement in SAP_x000a_During our walkthrough of the SAP inventory‑movement process, we noted that when an initial goods receipt (GRN) is posted for a partial delivery, any subsequent receipt against the same PO line is not recorded as a new GRN. Instead, the system simply converts the “blocked” quantity from the original GRN into “unrestricted” stock. This approach masks the actual receipt date, overwrites a distinct audit log for the follow‑on delivery, and bypasses SAP’s standard inbound controls."/>
    <s v="No"/>
    <s v="Disable ERS for all non‑catalog or high‑value SAs, forcing invoices through the three‑way match_x000a_For all POs above a defined materiality threshold (e.g. USD 1,000 per line), mandate 100% unit‑count verification at the dock before GRN posting._x000a_For lower‑value shipments, implement a statistical sample check (e.g. 10% of cartons) to confirm accuracy._x000a_Modify the system so that each receipt—initial or follow‑on is posted as a distinct GRN against the PO line, with its own date and quantity."/>
    <s v="The plant management will work with Accounts Payable team to investigate old SA invoices processed without ERS and going forward team will disable ERS option manually for invoices to be processed through three-way match._x000a_Further, we will explore opportunity with Global SAP team to block SAP functionality for enabling ERS option._x000a__x000a_The plant management will investigate shipments from vendors with a shortfall and book credit notes to resolve these cases._x000a_Further going forward, GRN shall be done in SAP only for the actual quantities received physically."/>
    <x v="2"/>
    <x v="3"/>
    <s v=""/>
    <s v="Miguel Jose Palomino, Warehouse Manager_x000a_Nubia Patricia Sanchez, Plant Controller _x000a_Michael Prashaw, Global SAP Manager_x000a_Juan Carrillo, DM Purchase Manager_x000a_Maria Avila, MRO Purchase Supervisor"/>
    <s v="Open"/>
    <s v=""/>
    <x v="2"/>
    <s v=""/>
    <s v=""/>
    <s v="Not Completed"/>
    <s v="Chawla"/>
    <s v=""/>
    <s v=""/>
    <s v=""/>
    <s v=""/>
    <s v=""/>
    <s v=""/>
    <s v=""/>
    <s v=""/>
    <s v=""/>
    <s v=""/>
    <s v=""/>
    <s v=""/>
    <s v=""/>
    <s v=""/>
    <s v=""/>
    <s v=""/>
    <s v=""/>
    <d v="2025-05-01T00:00:00"/>
    <d v="2025-09-01T00:00:00"/>
    <s v="11/03/2025"/>
    <n v="-9"/>
    <x v="1"/>
    <x v="1"/>
  </r>
  <r>
    <s v="TEN-2067"/>
    <s v="2025"/>
    <x v="0"/>
    <s v="Genpact ERC"/>
    <x v="1"/>
    <x v="9"/>
    <x v="0"/>
    <x v="8"/>
    <s v="Property, Plant, and Equipment"/>
    <s v="Fixed Assets Spend"/>
    <x v="11"/>
    <s v="Major"/>
    <s v="PPAE-06"/>
    <s v=""/>
    <s v="Reynosa, PS (NVH) - Full Scope 2025"/>
    <s v="Variances noted in Budget vs Actual spent of Fixed Assets"/>
    <s v="At the beginning of every project, Corporate Team prepares a budget in excel for Fixed Assets purchases to be made by the plant team. This budget is approved at the Corporate level. Once approved, the plant team makes purchases against the budget_x000a_On analysis of Fixed Assets Budget vs Actual spent for FY 2024, we noted the following anomalies:_x000a_Total budget for Fixed Assets in 2024 was MXN 56.55 Mn (USD 2.9 Mn), but actual spend was MXN 140.4 Mn (USD 7.2 Mn), thereby leading to excess spent against budget of MXN 83.85 Mn (USD 4.3 Mn). No exceptional approvals (over email) were available for the same._x000a_Noted 2 projects where even though the project was rejected in CART system, an amount of MXN 3.6 Mn (USD 185K) had been spent on the projects. Moreover, no exceptional approvals (over email) were available for the same._x000a_Noted 3 projects where even though the project was under approval stage in CART, an amount of MXN 8.4 Mn (USD 430K) had been spent on the projects. No exceptional approvals (over email) were available for the same."/>
    <s v="No"/>
    <s v="Budget for all projects should be updated in system (CART). Whenever spend requests are created against a budget, the same should be auto-deducted and user should be able to raise new requests within the pending budget only."/>
    <s v="All projects are not only in excel, but each CAR is also in SAP according with the CART system information, each purchase requisition is now approved only when the CAR is fully approved in system,  if there is any change on the approvers, we create a ticket immediately to have all set on time. Reynosa staff was already notified about it. "/>
    <x v="0"/>
    <x v="3"/>
    <s v=""/>
    <s v="Ricardo Garcia, Finance Analyst"/>
    <s v="Open"/>
    <s v=""/>
    <x v="2"/>
    <s v=""/>
    <s v=""/>
    <s v="Not Completed"/>
    <s v="Chawla"/>
    <s v="E/O"/>
    <s v=""/>
    <s v=""/>
    <s v=""/>
    <s v=""/>
    <s v=""/>
    <s v=""/>
    <s v=""/>
    <s v=""/>
    <s v=""/>
    <s v=""/>
    <s v=""/>
    <s v=""/>
    <s v=""/>
    <s v=""/>
    <s v=""/>
    <s v=""/>
    <d v="2025-05-01T00:00:00"/>
    <d v="2025-09-01T00:00:00"/>
    <s v="11/03/2025"/>
    <n v="-9"/>
    <x v="1"/>
    <x v="1"/>
  </r>
  <r>
    <s v="TEN-2068"/>
    <s v="2025"/>
    <x v="0"/>
    <s v="Genpact ERC"/>
    <x v="1"/>
    <x v="9"/>
    <x v="0"/>
    <x v="8"/>
    <s v="Production and Inventory"/>
    <s v="Inventory Ageing &amp; Disposal"/>
    <x v="31"/>
    <s v="Major"/>
    <s v=""/>
    <s v=""/>
    <s v="Reynosa, PS (NVH) - Full Scope 2025"/>
    <s v="Absence of policy guidelines on segregation/disposal of long-aged inventory "/>
    <s v="Currently, Ageing of inventory is tracked by goods receipt date (GR date) of a material and last movement of goods for production and shipping. Moreover, Excess and Obsolete Reserve is created for all inventory in SAP and is tracked by past 2 years usage and future demands. _x000a__x000a_During review of Inventory report as on 22nd April 2025 (Total Inventory - MXN 278 Mn (USD 14.1 Mn)) extracted from SAP (T-code SQ01), we noted the following:_x000a_Inventory of MXN 35.5 Mn (USD 1.8 Mn) was procured before  2023 (as old as 2007), yet items had been classified as active stock—and there was no physical segregation of stock by movement. However, E&amp;O reserve has been created for the same._x000a__x000a_There are additional inventory items of MXN 12 Mn (USD 620K) older than 2021 which were classified as active stock and included in the Inventory Valuation report. On further inquiry, we noted that even-though E&amp;O reserve is created for these obsolete materials, however, no disposal or write‑off plan exists for the same"/>
    <s v="No"/>
    <s v="Establish Segregation Criteria: Define clear thresholds (e.g., &gt; 2 years = obsolete; 6–24 months = slow‑moving; &lt; 6 months = fast‑moving) in existing E&amp;O Policy._x000a_Define Obsolescence Criteria: Establish a policy (e.g., &gt; 3 years without movement)._x000a_Warehouse Segregation: Physically demarcate and label storage zones for obsolete, slow‑moving and fast‑moving stock_x000a_Disposal Plan &amp; Write‑Down: Develop and document a disposal or write‑off process (e.g., quarterly), with dual‑approval for any adjustments to inventory valuation."/>
    <s v="The plant management will evaluate the design and work on implementation of a local policy to segregate the material based on its use for production requirements._x000a_This document will be used to support the request for additional inclusion of material in the excess and obsolete reserve in addition to the material contemplated by the existing corporate policy._x000a_Furthermore, we will evaluate the possibility of disposal of obsolete inventory."/>
    <x v="0"/>
    <x v="3"/>
    <s v=""/>
    <s v="Mike Filiposki, BU Finance Leader_x000a_Ian Burns, Performance Controller_x000a_Miguel Jose Palomino, Warehouse Manager"/>
    <s v="Open"/>
    <s v=""/>
    <x v="2"/>
    <s v=""/>
    <s v=""/>
    <s v="Not Completed"/>
    <s v="Chawla"/>
    <s v=""/>
    <s v=""/>
    <s v=""/>
    <s v=""/>
    <s v=""/>
    <s v=""/>
    <s v=""/>
    <s v=""/>
    <s v=""/>
    <s v=""/>
    <s v=""/>
    <s v=""/>
    <s v=""/>
    <s v=""/>
    <s v=""/>
    <s v=""/>
    <s v=""/>
    <d v="2025-05-01T00:00:00"/>
    <d v="2025-09-01T00:00:00"/>
    <s v="11/03/2025"/>
    <n v="-9"/>
    <x v="1"/>
    <x v="1"/>
  </r>
  <r>
    <s v="TEN-2069"/>
    <s v="2025"/>
    <x v="0"/>
    <s v="Genpact ERC"/>
    <x v="1"/>
    <x v="9"/>
    <x v="0"/>
    <x v="8"/>
    <s v="Customer Tooling"/>
    <s v="Customer Tooling"/>
    <x v="35"/>
    <s v="Major"/>
    <s v="REVE-48"/>
    <s v=""/>
    <s v="Reynosa, PS (NVH) - Full Scope 2025"/>
    <s v="Discrepancies noted in spends related to Customer Tooling"/>
    <s v="For all customer tooling arrangements, a purchase order is received from the customer. All purchases/ spends are made against the respective customer PO. A new/ modified PO is obtained from customer in cases where the spend amount surpasses the original PO amount._x000a_During our review of customer tooling report as on 14-Apr-25, we noted that there were total 72 instances of customer tooling and total spend was MXN 65.8 Mn (USD 3.37 Mn)."/>
    <s v="No"/>
    <s v="Configure SAP to restrict spend more than customer PO amount, to avoid risk of under-recovery/ dispute from customer."/>
    <s v="We will improve the process and perform a periodic review to identify and resolve highlighted cases._x000a__x000a_We will work with IT team to restrict SAP configuration."/>
    <x v="2"/>
    <x v="3"/>
    <s v=""/>
    <s v="Nadia Melisa Osornio, Finance Analyst_x000a_Michael Prashaw, Global SAP Manager"/>
    <s v="Open"/>
    <s v=""/>
    <x v="2"/>
    <s v=""/>
    <s v=""/>
    <s v="Not Completed"/>
    <s v="Chawla"/>
    <s v="A, C, E/O"/>
    <s v=""/>
    <s v=""/>
    <s v=""/>
    <s v=""/>
    <s v=""/>
    <s v=""/>
    <s v=""/>
    <s v=""/>
    <s v=""/>
    <s v=""/>
    <s v=""/>
    <s v=""/>
    <s v=""/>
    <s v=""/>
    <s v=""/>
    <s v=""/>
    <d v="2025-05-01T00:00:00"/>
    <d v="2025-09-01T00:00:00"/>
    <s v="11/03/2025"/>
    <n v="-9"/>
    <x v="1"/>
    <x v="1"/>
  </r>
  <r>
    <s v="TEN-2070"/>
    <s v="2025"/>
    <x v="0"/>
    <s v="Genpact ERC"/>
    <x v="1"/>
    <x v="9"/>
    <x v="0"/>
    <x v="8"/>
    <s v="Production and Inventory"/>
    <s v="Inventory Accounting"/>
    <x v="27"/>
    <s v="Moderate"/>
    <s v="PINV-03"/>
    <s v=""/>
    <s v="Reynosa, PS (NVH) - Full Scope 2025"/>
    <s v="Incorrect accounting of inventory variances in SAP"/>
    <s v="Inward inventory is recorded in warehouse team in SAP as per the order released to vendor. In case of excess material received, excess stock is returned to vendor, and inventory is accounted for ordered quantity. In case of any shortages, inventory is accounted for the actual quantities received._x000a__x000a_During review of Inventory report as on 22nd April 2025 (Total Inventory - MXN 278 Mn (USD 14.1 Mn)) extracted from SAP (T-code SQ01), we noted the following:_x000a__x000a_Negative stock of MXN 15.27 Mn (USD 775K) recorded in SAP. Further inquiry revealed that, during the Annual Physical Inventory Verification, excess items found in the warehouse were posted in SAP using negative‐quantity entries rather than correcting the underlying stock records._x000a__x000a_Materials accounted with 0 value in SAP. On discussion, we noted that these instances are prototypes, samples received from vendors and materials transferred from intercompany accounted in SAP without GRN’s."/>
    <s v="No"/>
    <s v="Standardize Adjustment Procedures: Develop and train staff on a formal process to investigate and correct inventory variances—using positive‐quantity adjustment transactions tied to documented count sheets._x000a_Inventory levels shall be monitored and reviewed regularly, and necessary adjustments shall be performed to avoid future negative stock._x000a_SAP configuration to prohibit negative stock shall be enabled._x000a_Sample materials shall not be included in the inventory.  Adequate segregation shall be in place to separate sample inventory from regular inventory._x000a_Periodic review of shall be performed to investigate sample inventory received at 0 value."/>
    <s v="We will work with the materials team to develop a final report that only shows real variances; this modified report should be available for the next API process this year._x000a_Going forward, adequate segregation shall be in place for inventories basis movement._x000a_Further, we will also perform periodic review to investigate sample inventories at 0 values."/>
    <x v="0"/>
    <x v="1"/>
    <s v=""/>
    <s v="Cesar Gilberto Avendano, Materials Manager_x000a_Nadia Melisa Osornio, Finance Analyst_x000a_Ian Burns, Performance Controller"/>
    <s v="Open"/>
    <s v=""/>
    <x v="1"/>
    <s v=""/>
    <s v=""/>
    <s v="Not Completed"/>
    <s v="Chawla"/>
    <s v="A"/>
    <s v=""/>
    <s v=""/>
    <s v=""/>
    <s v=""/>
    <s v=""/>
    <s v=""/>
    <s v=""/>
    <s v=""/>
    <s v=""/>
    <s v=""/>
    <s v=""/>
    <s v=""/>
    <s v=""/>
    <s v=""/>
    <s v=""/>
    <s v=""/>
    <d v="2025-05-01T00:00:00"/>
    <d v="2025-09-01T00:00:00"/>
    <s v="11/03/2025"/>
    <n v="-40"/>
    <x v="1"/>
    <x v="1"/>
  </r>
  <r>
    <s v="TEN-2071"/>
    <s v="2025"/>
    <x v="0"/>
    <s v="Genpact ERC"/>
    <x v="1"/>
    <x v="9"/>
    <x v="0"/>
    <x v="8"/>
    <s v="Purchasing and Payables"/>
    <s v="Fixed Assets CWIP"/>
    <x v="39"/>
    <s v="Moderate"/>
    <s v="PPAE-16"/>
    <s v=""/>
    <s v="Reynosa, PS (NVH) - Full Scope 2025"/>
    <s v="Anomalies noted in Capital Work in Progress (CWIP)"/>
    <s v="All costs incurred until an asset is completed and ready for use are categorized as CWIP. Once the asset is completed and ready for use, the CWIP amount is transferred to the relevant asset account by the Corporate Team (basis inputs received from Plant Finance Team), and depreciation calculation is then initiated for the asset._x000a_On review of CWIP files for the period August 2024 to March 2025, we noted that there was no process to review the expected capitalization dates given by Engineering/ Finance team:_x000a_In 45 projects, the date of capitalization was pushed continuously in more than 3 quarterly review meetings (Total spend till Feb’25 ~ MXN 322 Mn/USD 16.52 Mn) without logical reasons._x000a_In 11 projects, no amount has been spent in 2024 &amp; 2025. However, these projects have still not been capitalized as on 28-Feb-25. Total amount spent in 2023 – MXN 301 Mn (USD 15.45 Mn)_x000a_In May 2024 CWIP file: Noted 13 out of 63 projects which are not capitalized as on date. (Expected date of capitalization was of prior period - May 2024)"/>
    <s v="No"/>
    <s v="Establish maker-checker mechanism over CWIP project monitoring, to ensure timeliness and accuracy of the projects."/>
    <s v="We will have a detailed review of CWIP report with the Project Managers to have most accurate capitalization dates._x000a_We will have a discussion with the Corporate Team regarding the projects where no amount has been spent in the past 2 years and still not capitalized. Once we have an update regarding the put-to-use date of the said machineries, we will take necessary action on these CWIP projects."/>
    <x v="0"/>
    <x v="3"/>
    <s v=""/>
    <s v="Nadia Melisa Osornio, Finance Analyst"/>
    <s v="Open"/>
    <s v=""/>
    <x v="2"/>
    <s v=""/>
    <s v=""/>
    <s v="Not Completed"/>
    <s v="Chawla"/>
    <s v="A, C, CO, E/O"/>
    <s v=""/>
    <s v=""/>
    <s v=""/>
    <s v=""/>
    <s v=""/>
    <s v=""/>
    <s v=""/>
    <s v=""/>
    <s v=""/>
    <s v=""/>
    <s v=""/>
    <s v=""/>
    <s v=""/>
    <s v=""/>
    <s v=""/>
    <s v=""/>
    <d v="2025-05-01T00:00:00"/>
    <d v="2025-09-01T00:00:00"/>
    <s v="11/03/2025"/>
    <n v="-9"/>
    <x v="1"/>
    <x v="1"/>
  </r>
  <r>
    <s v="TEN-2072"/>
    <s v="2025"/>
    <x v="0"/>
    <s v="Genpact ERC"/>
    <x v="0"/>
    <x v="9"/>
    <x v="0"/>
    <x v="8"/>
    <s v="Production and Inventory"/>
    <s v="Scrap Agreement"/>
    <x v="21"/>
    <s v="Moderate"/>
    <s v=""/>
    <s v=""/>
    <s v="Reynosa, PS (NVH) - Full Scope 2025"/>
    <s v="Absence of agreement and lack of vendor selection process of Scrap Vendor"/>
    <s v="Scrap generated at Reynosa is sold to a single scrap vendor (Silver). The existing scrap vendor is in business with Reynosa Plant since year 2021. Daily, plant scrap team dumps the scrap in containers and ships the scrap to vendor’s site._x000a_Tenneco’s plant cannot produce a fully executed contract with its scrap‑recycling vendor for either of the last two periods examined. Single vendor empaneled for scrap sale. _x000a_No signed agreement , Lack of governance and documentation over scrap market rates by the Procurement team."/>
    <s v="Yes"/>
    <s v="Suspend further scrap shipments until the 2025 contract is fully countersigned; ensure invoices reference the executed agreement number_x000a_Implement a scrap auctioning initiative to select the most competitive scrap dealer_x000a_The procurement team to vet the monthly rates offered by the scrap dealer"/>
    <s v="Local purchasing team will implement a scrap auctioning initiative to select most competitive vendor. _x000a_Furthermore, we shall bind an agreement with the existing scrap vendor."/>
    <x v="0"/>
    <x v="3"/>
    <s v=""/>
    <s v="Maria Avila, Purchasing Supervisor"/>
    <s v="Open"/>
    <s v=""/>
    <x v="2"/>
    <s v=""/>
    <s v=""/>
    <s v="Not Completed"/>
    <s v="Chawla"/>
    <s v=""/>
    <s v=""/>
    <s v=""/>
    <s v=""/>
    <s v=""/>
    <s v=""/>
    <s v=""/>
    <s v=""/>
    <s v=""/>
    <s v=""/>
    <s v=""/>
    <s v=""/>
    <s v=""/>
    <s v=""/>
    <s v=""/>
    <s v=""/>
    <s v=""/>
    <d v="2025-05-01T00:00:00"/>
    <d v="2025-09-01T00:00:00"/>
    <s v="11/03/2025"/>
    <n v="-9"/>
    <x v="1"/>
    <x v="1"/>
  </r>
  <r>
    <s v="TEN-2073"/>
    <s v="2025"/>
    <x v="0"/>
    <s v="Genpact ERC"/>
    <x v="0"/>
    <x v="9"/>
    <x v="0"/>
    <x v="8"/>
    <s v="Production and Inventory"/>
    <s v="Scrap Receipts"/>
    <x v="21"/>
    <s v="Moderate"/>
    <s v=""/>
    <s v=""/>
    <s v="Reynosa, PS (NVH) - Full Scope 2025"/>
    <s v="Discrepancies noted in Scrap Receipts"/>
    <s v="Scrap generated at Reynosa is sold to a single scrap vendor (Silver). Daily, plant scrap team dumps the scrap in containers and ships the scrap to vendor’s site. Once the scrap is delivered to scrap vendor, a debit memo is issued, and scrap revenue is recognized. _x000a_We obtained population of scrap sale from SAP for the period March 2024 to March 2025 worth MXN 1.4 Mn (USD 72K) and selected 20 sample scrap invoices generated for sale. During review of 20 sample scrap invoices (debit memos) worth MXN 466K (USD 24K) along with backup supporting, we noted below discrepancies:_x000a_1. Delay in issuing debit memos ranging up to 82 days - Count - 15, Impact - 385K MXN_x000a_2. Tenneco stamp missing in gate pass for scrap exit. Count - 11, Impact - 247K MXN_x000a_3. Scrap vendor’s sign missing in gate pass for scrap exit. Count - 10, Impact - 224K MXN_x000a_4. Scrap Manager (Tenneco) Authorization missing in gate pass for scrap exit. Count - 10, Impact - 225K MXN_x000a_5. Operator sign missing in gate pass for scrap exit, Count - 12, Impact - 282K MXN"/>
    <s v="No"/>
    <s v="Standardized procedure pertaining to scrap documentation must be defined and staff shall be trained to adhere to the procedures."/>
    <s v="We will prepare detailed standardized procedure consisting of checks and documentations to be maintained for scrap management and shall circular to the team._x000a_Further, we shall also perform a periodic review to ensure all necessary supporting documents are maintained."/>
    <x v="0"/>
    <x v="3"/>
    <s v=""/>
    <s v="Nadia Melisa Osornio, Finance Analyst_x000a_Jarib Yasser Montes, Finance Accountant"/>
    <s v="Open"/>
    <s v=""/>
    <x v="2"/>
    <s v=""/>
    <s v=""/>
    <s v="Not Completed"/>
    <s v="Chawla"/>
    <s v=""/>
    <s v=""/>
    <s v=""/>
    <s v=""/>
    <s v=""/>
    <s v=""/>
    <s v=""/>
    <s v=""/>
    <s v=""/>
    <s v=""/>
    <s v=""/>
    <s v=""/>
    <s v=""/>
    <s v=""/>
    <s v=""/>
    <s v=""/>
    <s v=""/>
    <d v="2025-05-01T00:00:00"/>
    <d v="2025-09-01T00:00:00"/>
    <s v="11/03/2025"/>
    <n v="-9"/>
    <x v="1"/>
    <x v="1"/>
  </r>
  <r>
    <s v="TEN-2074"/>
    <s v="2025"/>
    <x v="0"/>
    <s v="Genpact ERC"/>
    <x v="1"/>
    <x v="9"/>
    <x v="0"/>
    <x v="8"/>
    <s v="Payroll"/>
    <s v="Access Cards Issuance"/>
    <x v="32"/>
    <s v="Moderate"/>
    <s v="PAYR-03"/>
    <s v=""/>
    <s v="Reynosa, PS (NVH) - Full Scope 2025"/>
    <s v="Delay in deactivation of access cards issued to terminated/resigned employees"/>
    <s v="Salaried (Non-Union) and Hourly (Union) Employees at Reynosa plant punch access cards to record entry and exit in plant premises. Attendance of Hourly (Union) employees is calculated as per entry and exit recorded by punching access cards. IT Securities and HR team monitor access cards issued and manually deactivate access cards if an employee is terminated/resigned in AltraxNG application._x000a__x000a_During our review of the process around issuance, periodic monitoring and deactivation of access cards, we noted the following:_x000a__x000a_1. Noted 10 terminated/resigned employees whose access cards are not deactivated_x000a_2. Noted 3 employees who are assigned multiple (2-3) active access cards._x000a_3. Further, we noted AltraxNG application is not integrated with active directory, hence, last working dates of terminated/resigned employees is not updated on real time basis."/>
    <s v="No"/>
    <s v="Automate deactivating access cards: Configure AltraxNG to automatically deactivate access cards of terminated/resigned employees._x000a_Periodic Review: Institute a periodic review of access cards issued to employees to update status on real time basis._x000a_Integrate AltraxNG with active directory capture real time updates of last working dates."/>
    <s v="New process established with HR to receive weekly all the employees terminated, for badge deletions._x000a_Restored fines for theft or loss to reduce recurrent replacements_x000a_AxTraxNG Software upgraded V27.7.1.9  V27.7.1.20  &amp; Firmware  expecting improvements to automate the employees updates (still is not available)"/>
    <x v="2"/>
    <x v="3"/>
    <s v=""/>
    <s v="Emma Castro, HR Manager_x000a_Carlos Becerril, IT Manager"/>
    <s v="Open"/>
    <s v=""/>
    <x v="2"/>
    <s v=""/>
    <s v=""/>
    <s v="Not Completed"/>
    <s v="Chawla"/>
    <s v="A, E/O"/>
    <s v=""/>
    <s v=""/>
    <s v=""/>
    <s v=""/>
    <s v=""/>
    <s v=""/>
    <s v=""/>
    <s v=""/>
    <s v=""/>
    <s v=""/>
    <s v=""/>
    <s v=""/>
    <s v=""/>
    <s v=""/>
    <s v=""/>
    <s v=""/>
    <d v="2025-05-01T00:00:00"/>
    <d v="2025-09-01T00:00:00"/>
    <s v="11/03/2025"/>
    <n v="-9"/>
    <x v="1"/>
    <x v="1"/>
  </r>
  <r>
    <s v="TEN-2075"/>
    <s v="2025"/>
    <x v="0"/>
    <s v="Genpact ERC"/>
    <x v="0"/>
    <x v="9"/>
    <x v="0"/>
    <x v="8"/>
    <s v="Production and Inventory"/>
    <s v="Inventory Physical Verification"/>
    <x v="20"/>
    <s v="Moderate"/>
    <s v="PINV-01"/>
    <s v=""/>
    <s v="Reynosa, PS (NVH) - Full Scope 2025"/>
    <s v="Discrepancies noted in Inventory as per Physical Stock Vs SAP"/>
    <s v="As per Physical Count Policy,_x000a_A complete full physical inventory verification must be performed at least once each calendar year._x000a_To perform cycle counts, a location must meet the requirements of one of the following tow alternatives – ABC Cycle Counting and Row Audit Cycle Counting._x000a__x000a_Inventory team at Reynosa plant performed Annual Physical Inventory (API) verification on 23rd November 2024. Additionally, we independently selected 30 samples during plant visit and performed a physical count of inventory at Reynosa Plant warehouse on 28th April 2025._x000a__x000a_During physical count of 30 sample inventory items (raw materials, finished goods and CWIP) at the all Plants (Reynosa), with a total book value of MXN 804K (USD 41K), we noted discrepancies in 21/30 samples: details below - _x000a_13 items (MXN 186K (USD 9.5K)) recorded in SAP but not found in the warehouse._x000a_5 items (MXN 85K (USD 4.3K)) located in a different warehouse zone than SAP records._x000a_3 items (MXN 69K (USD 3.5K)) located in an unnamed/ untagged storage bin in warehouse."/>
    <s v="No"/>
    <s v="Enhance Location Controls: Update warehouse bin‑location mapping in SAP, require staff to scan bin and item barcodes at receipt, put‑away and picking_x000a_Educate/Train staff to record movement of inventory accurately in SAP on a real time basis._x000a_Inventory team shall investigate the differences and shall perform necessary adjustments."/>
    <s v="As a practice, physical verification of critical inventory items will be conducted on a monthly basis. Items with major discrepancies will be investigated and requisite corrective action will be taken to sort out the differences."/>
    <x v="0"/>
    <x v="3"/>
    <s v=""/>
    <s v="Miguel Jose Palomino, Warehouse Manager"/>
    <s v="Open"/>
    <s v=""/>
    <x v="2"/>
    <s v=""/>
    <s v=""/>
    <s v="Not Completed"/>
    <s v="Chawla"/>
    <s v="A, C, E/O"/>
    <s v=""/>
    <s v=""/>
    <s v=""/>
    <s v=""/>
    <s v=""/>
    <s v=""/>
    <s v=""/>
    <s v=""/>
    <s v=""/>
    <s v=""/>
    <s v=""/>
    <s v=""/>
    <s v=""/>
    <s v=""/>
    <s v=""/>
    <s v=""/>
    <d v="2025-05-01T00:00:00"/>
    <d v="2025-09-01T00:00:00"/>
    <s v="11/03/2025"/>
    <n v="-9"/>
    <x v="1"/>
    <x v="1"/>
  </r>
  <r>
    <s v="TEN-2076"/>
    <s v="2025"/>
    <x v="0"/>
    <s v="Genpact ERC"/>
    <x v="1"/>
    <x v="9"/>
    <x v="0"/>
    <x v="8"/>
    <s v="Payroll"/>
    <s v="Payroll Disbursement"/>
    <x v="3"/>
    <s v="Moderate"/>
    <s v=""/>
    <s v=""/>
    <s v="Reynosa, PS (NVH) - Full Scope 2025"/>
    <s v="Anomalies noted in processing and review of bank payout file"/>
    <s v="Currently payroll (weekly for hourly and bi-weekly for salaried employees) is processed in SAP PTAx and a bank payout file in txt format is generated at the end of payroll run. _x000a__x000a_On review of process over generation of bank payout file for the sample month of January’25, we noted that – _x000a_Payroll team generates and uploads the SAP-PTAx bank file on the Citi portal and self-reviews it prior to disbursement and the review is not performed by plant Treasury team._x000a_Moreover, the bank payout file is transmitted in clear text, without encryption or password protection."/>
    <s v="No"/>
    <s v="Document and enforce a “maker–checker” policy that separates file preparation (Payroll) from approval and execution (Treasury)._x000a_Delegate bank-file upload and payment authorization exclusively to the Treasury team._x000a_Mandate encryption or secure delivery of payroll files; prohibit clear-text transfers"/>
    <s v="Starting June 2025, Treasury will be responsible for uploading payout file directly on the bank portal. Furthermore, payout file will be password protected to ensure additional security."/>
    <x v="0"/>
    <x v="3"/>
    <s v=""/>
    <s v="Mario Gudino, Payroll Manager"/>
    <s v="Open"/>
    <s v=""/>
    <x v="2"/>
    <s v=""/>
    <s v=""/>
    <s v="Not Completed"/>
    <s v="Chawla"/>
    <s v=""/>
    <s v=""/>
    <s v=""/>
    <s v=""/>
    <s v=""/>
    <s v=""/>
    <s v=""/>
    <s v=""/>
    <s v=""/>
    <s v=""/>
    <s v=""/>
    <s v=""/>
    <s v=""/>
    <s v=""/>
    <s v=""/>
    <s v=""/>
    <s v=""/>
    <d v="2025-05-01T00:00:00"/>
    <d v="2025-09-01T00:00:00"/>
    <s v="11/03/2025"/>
    <n v="-9"/>
    <x v="1"/>
    <x v="1"/>
  </r>
  <r>
    <s v="TEN-2077"/>
    <s v="2025"/>
    <x v="0"/>
    <s v="Genpact ERC"/>
    <x v="1"/>
    <x v="9"/>
    <x v="0"/>
    <x v="8"/>
    <s v="Environmental Health and Safety (EH&amp;S)"/>
    <s v="Physical Security Controls"/>
    <x v="2"/>
    <s v="Moderate"/>
    <s v=""/>
    <s v=""/>
    <s v="Reynosa, PS (NVH) - Full Scope 2025"/>
    <s v="Weaknesses noted in the plant’s physical security controls"/>
    <s v="During our physical visit at Reynosa plant, we visited security checkpoints (dated 22nd April 2025) and reviewed the gate entry and exit process. _x000a__x000a_Non‑functional cameras in high‑risk zones - 3 of 180 cameras (2 %) were inoperative—located in the Finished‑Goods inventory and shipping yard, areas with high theft/ pilferage risk. _x000a__x000a_Partial metal‑detector coverage - Walk‑through detectors are not installed at the hourly‑employee as well as salaried pedestrian gate._x000a__x000a_Lack of demarcation: Walkthrough pathways in production area (Plant 1 &amp; 2) were not demarcated to segregate movement among employees and Forklifts."/>
    <s v="Yes"/>
    <s v="Install vehicle‑gate guard booths with handheld metal detectors and configure walk‑through detectors at all pedestrian entrances, including salaried and visitor lanes_x000a_Restore &amp; Expand CCTV Coverage: Repair/replace the inoperative cameras and add cameras to cover hourly‑employee entry/exit lanes; integrate feeds into the central monitoring room._x000a_Walkthrough pathways shall be maintained and demarcated with adequate signage."/>
    <s v="A new practice for entry and exit to plant premises will be implemented, by ensuring visitors and employees’ entry/exit will be done through the thorough checks._x000a_Additionally, all cars/vehicles entering/exiting the premises will be screened while reviewing the current security assessment with external service provider._x000a_Further, non-operational cameras will be repaired and shall be replaced if needed._x000a_Also, walkthrough pathways shall be maintained regularly to avoid risk of hazards."/>
    <x v="0"/>
    <x v="3"/>
    <s v=""/>
    <s v="Cinthia Yuriana Ramirez, EHS Manager_x000a_Roberto Israel Ortiz, Global Security Head"/>
    <s v="Open"/>
    <s v=""/>
    <x v="2"/>
    <s v=""/>
    <s v=""/>
    <s v="Not Completed"/>
    <s v="Chawla"/>
    <s v=""/>
    <s v=""/>
    <s v=""/>
    <s v=""/>
    <s v=""/>
    <s v=""/>
    <s v=""/>
    <s v=""/>
    <s v=""/>
    <s v=""/>
    <s v=""/>
    <s v=""/>
    <s v=""/>
    <s v=""/>
    <s v=""/>
    <s v=""/>
    <s v=""/>
    <d v="2025-05-01T00:00:00"/>
    <d v="2025-09-01T00:00:00"/>
    <s v="11/03/2025"/>
    <n v="-9"/>
    <x v="1"/>
    <x v="1"/>
  </r>
  <r>
    <s v="TEN-2078"/>
    <s v="2025"/>
    <x v="0"/>
    <s v="Genpact ERC"/>
    <x v="0"/>
    <x v="9"/>
    <x v="0"/>
    <x v="8"/>
    <s v="Property, Plant, and Equipment"/>
    <s v="Fixed Assets Physical Verification"/>
    <x v="7"/>
    <s v="Moderate"/>
    <s v="PPAE-32"/>
    <s v=""/>
    <s v="Reynosa, PS (NVH) - Full Scope 2025"/>
    <s v="Discrepancies noted in Fixed Assets as per Physical Count Vs SAP"/>
    <s v="As per Fixed Assets policy -_x000a_100% verification of Fixed Assets must be completed once in every 5 years. _x000a_Physical verification of Fixed Assets was last conducted at Reynosa plant in August 2020. The next physical count of Fixed Assets is due in 2025. During our Physical Verification of 28 Fixed Assets samples (26 – Fixed assets &amp; 2 CWIP) conducted on 28-Apr-25, we noted the following anomalies:_x000a_Incorrect capitalization of Fixed Assets – 4 assets of book value MXN 8.48 Mn (USD 435K) noted where the costs were incurred for services (freight, designing, layout, material handling), however, were incorrectly capitalized as fixed assets (5013996, 5014162, 5014172, 5014200)._x000a_2 out of 2 CWIP samples of Book Value – MXN -1.38 Mn (USD -70K) noted which were put to use but not capitalized._x000a_Asset found physically, but asset Tag/ equipment or machine name not found – 25 out of 26 sample fixed assets were noted with missing asset tags. Due to missing asset tags, we were not able to verify the identity of sample assets."/>
    <s v="No"/>
    <s v="Enhance Location Mapping Controls: Update real time location for inter/intra plant movements in SAP._x000a_Perform a periodic review to ensure asset tags are pasted on each fixed asset and initiate corrective actions for discrepancies, as required."/>
    <s v="Necessary instructions and guidelines will be provided to Plant staff for compliances around asset movement and capitalization._x000a_Additionally, a periodic review for sample asset movements will be conducted to ensure asset tags are pasted on each asset."/>
    <x v="0"/>
    <x v="1"/>
    <s v=""/>
    <s v="Nadia Melisa Osornio, Finance Analyst"/>
    <s v="Open"/>
    <s v=""/>
    <x v="1"/>
    <s v=""/>
    <s v=""/>
    <s v="Not Completed"/>
    <s v="Chawla"/>
    <s v="A, C, E/O, V"/>
    <s v=""/>
    <s v=""/>
    <s v=""/>
    <s v=""/>
    <s v=""/>
    <s v=""/>
    <s v=""/>
    <s v=""/>
    <s v=""/>
    <s v=""/>
    <s v=""/>
    <s v=""/>
    <s v=""/>
    <s v=""/>
    <s v=""/>
    <s v=""/>
    <d v="2025-05-01T00:00:00"/>
    <d v="2025-09-01T00:00:00"/>
    <s v="11/03/2025"/>
    <n v="-40"/>
    <x v="1"/>
    <x v="1"/>
  </r>
  <r>
    <s v="TEN-2079"/>
    <s v="2025"/>
    <x v="0"/>
    <s v="Genpact ERC"/>
    <x v="1"/>
    <x v="9"/>
    <x v="0"/>
    <x v="8"/>
    <s v="Purchasing and Payables"/>
    <s v="Order Purchasing"/>
    <x v="5"/>
    <s v="Moderate"/>
    <s v=""/>
    <s v=""/>
    <s v="Reynosa, PS (NVH) - Full Scope 2025"/>
    <s v="Absence of review around Creation/ Modification of PO"/>
    <s v="Purchase Orders (PO) are created/ modified in SAP by the Procurement Team. In case of price fluctuations, Procurement Team makes changes in SAP in the existing PO, rather than creating a new PO._x000a__x000a_During our process walkthrough of PO creation/ modification, we noted that SAP does not enforce a maker‑checker (dual‑approval) mechanism for purchase order creation or modification. Users in the Procurement team have unrestricted rights to change critical PO fields—such as _x000a_quantity, _x000a_price, _x000a_vendor_x000a_payment terms_x000a_without any independent review/ approval."/>
    <s v="No"/>
    <s v="Configure SAP to require a secondary, independent approver for all new POs and any modifications to price, quantity, vendor or payment terms._x000a_Conduct a one-time SOD assessment and restrict modification rights to designated approvers only._x000a_Configure SAP with release strategy for approvals of PO creation and modification."/>
    <s v="We will ensure that all modifications to Purchase Orders are re-released by the approvers in system/ via email/ physical copy."/>
    <x v="0"/>
    <x v="3"/>
    <s v=""/>
    <s v="Maria Avila, MRO Purchase Supervisor"/>
    <s v="Open"/>
    <s v=""/>
    <x v="2"/>
    <s v=""/>
    <s v=""/>
    <s v="Not Completed"/>
    <s v="Chawla"/>
    <s v=""/>
    <s v=""/>
    <s v=""/>
    <s v=""/>
    <s v=""/>
    <s v=""/>
    <s v=""/>
    <s v=""/>
    <s v=""/>
    <s v=""/>
    <s v=""/>
    <s v=""/>
    <s v=""/>
    <s v=""/>
    <s v=""/>
    <s v=""/>
    <s v=""/>
    <d v="2025-05-01T00:00:00"/>
    <d v="2025-09-01T00:00:00"/>
    <s v="11/03/2025"/>
    <n v="-9"/>
    <x v="1"/>
    <x v="1"/>
  </r>
  <r>
    <s v="TEN-2080"/>
    <s v="2025"/>
    <x v="0"/>
    <s v="Genpact ERC"/>
    <x v="1"/>
    <x v="9"/>
    <x v="0"/>
    <x v="8"/>
    <s v="Documentation"/>
    <s v="Standard Operating Procedures"/>
    <x v="31"/>
    <s v="Moderate"/>
    <s v=""/>
    <s v=""/>
    <s v="Reynosa, PS (NVH) - Full Scope 2025"/>
    <s v="Incomplete Standard Operating procedures (SOPs) documented "/>
    <s v="During our review and walkthrough of all plant processes, we noted that SOPs were available in internal Sharepoint for any of the key processes. _x000a__x000a_IA obtained 10 sample SOP’s (across processes such as Inventory, HR, Fixed Assets, EHS, Inspection, Quality Control) and during our review, we noted the below discrepancies:_x000a_Key sections such as Key controls, Tools and ERP, KPI/SLA/DOA, Key MIS &amp; Reporting Frameworks, etc. were missing in all 10 sample SOP’s._x000a_Further, 1 sample SOP (Materials) was not reviewed for 3 years."/>
    <s v="No"/>
    <s v="Benchmark SOPs against industry best in class standards: Standard Operating procedures (SOPs) should be modified to include all the key elements _x000a_Update SOPs for key areas , train employees and implement usage"/>
    <s v="We shall revisit the drafted procedures and benchmark with industry best practice._x000a_We will also ensure all the procedures are reviewed periodically."/>
    <x v="0"/>
    <x v="1"/>
    <s v=""/>
    <s v="Nubia Patricia Sanchez, Plant Controller"/>
    <s v="Open"/>
    <s v=""/>
    <x v="1"/>
    <s v=""/>
    <s v=""/>
    <s v="Not Completed"/>
    <s v="Chawla"/>
    <s v=""/>
    <s v=""/>
    <s v=""/>
    <s v=""/>
    <s v=""/>
    <s v=""/>
    <s v=""/>
    <s v=""/>
    <s v=""/>
    <s v=""/>
    <s v=""/>
    <s v=""/>
    <s v=""/>
    <s v=""/>
    <s v=""/>
    <s v=""/>
    <s v=""/>
    <d v="2025-05-01T00:00:00"/>
    <d v="2025-09-01T00:00:00"/>
    <s v="11/03/2025"/>
    <n v="-40"/>
    <x v="1"/>
    <x v="1"/>
  </r>
  <r>
    <s v="TEN-2081"/>
    <s v="2025"/>
    <x v="0"/>
    <s v="Genpact- ERC"/>
    <x v="0"/>
    <x v="82"/>
    <x v="6"/>
    <x v="25"/>
    <s v="Customer Tooling"/>
    <s v="Accounting of customer tooling"/>
    <x v="41"/>
    <s v="Major"/>
    <s v="REVE-48"/>
    <s v=""/>
    <s v="Chonburi (CA - Full Scope) 2025"/>
    <s v="Incorrect Accounting for Customer-Owned Tooling under Piece Price Projects"/>
    <s v=" Tenneco’s policy mandates that tooling reimbursed via piece price should be _x000a_accounted for in Customer-Owned Tooling a/c (Non-Current Assets -One-stream _x000a_a/c - 1700.150) and periodically amortized basis volume of sales_x000a_ _x000a_On detailed review, we noted Customer-owned tooling costs are being recorded _x000a_in Fixed Asset Register (and periodically depreciated as regular Fixed Assets) _x000a_instead of recording the same in Customer-Owned Tooling a/c (Non-Current _x000a_Assets) and amortization of it via Sales, summary of Customer Owned Tooling _x000a_balance in Fixed Assets (as on 31st Jul’25) is tabulated below for reference                                                                                                                                                                                                                                                                                                                                                                           As per Tenneco’s Tooling Policy, when the customer is invoiced, the reimbursement _x000a_component should be excluded from revenue and reclassified to 1100.123 _x000a_(Customer-Owned Tooling Receivables). Any gains on such tooling should be _x000a_recognized progressively as parts are produced and invoiced_x000a__x000a_On detailed review, we noted Sales invoices are being raised at full value, _x000a_inclusive of the piece price reimbursement, rather than excluding the _x000a_reimbursement component and reclassifying it to 1100.123 (Customer-Owned _x000a_Tooling Receivables)."/>
    <s v="No"/>
    <s v="Review the Fixed Asset Register (FAR) and de capitalize tooling costs that have been incorrectly recorded as Tenneco-owned assets, ensuring alignment with policy requirements for customer-owned tooling._x000a__x000a_Introduce a periodic review process at the plant or regional level to ensure alignment with corporate policy. Implement a process to reclassify the reimbursement component of sales invoices to the appropriate account (1100.123 –Customer-Owned Tooling Receivables) rather than recognizing it as regular trade receivables and revenue."/>
    <s v="Create standard operating procedure for CA Thailand Customer-owned Tooling Policy_x000a__x000a_Check the customer owned tooling amortization tracking by model, match with the toolings in FAR to calculate the financial impact and propose the adjustments.  Create standard operating procedure _x000a_for CA Thailand Customer-owned _x000a_Tooling Policy_x000a__x000a_Adjust the future sale transctions to _x000a_the tune of per piece tooling _x000a_reimursements in lines with the  _x000a_policy requirements "/>
    <x v="0"/>
    <x v="3"/>
    <s v=""/>
    <s v="Jamikorn Hodsoda, Plant Controller"/>
    <s v="Open"/>
    <s v=""/>
    <x v="2"/>
    <s v=""/>
    <s v=""/>
    <s v="Not Completed"/>
    <s v="Chawla"/>
    <s v="A, C, E/O"/>
    <s v=""/>
    <s v=""/>
    <s v=""/>
    <s v=""/>
    <s v=""/>
    <s v=""/>
    <s v=""/>
    <s v=""/>
    <s v=""/>
    <s v=""/>
    <s v=""/>
    <s v=""/>
    <s v=""/>
    <s v=""/>
    <s v=""/>
    <s v=""/>
    <d v="2026-03-08T00:00:00"/>
    <d v="2027-02-08T00:00:00"/>
    <s v="11/03/2025"/>
    <n v="-9"/>
    <x v="1"/>
    <x v="1"/>
  </r>
  <r>
    <s v="TEN-2082"/>
    <s v="2025"/>
    <x v="0"/>
    <s v="Genpact- ERC"/>
    <x v="0"/>
    <x v="82"/>
    <x v="6"/>
    <x v="25"/>
    <s v="Customer Tooling"/>
    <s v="Maintenance of tooling records"/>
    <x v="41"/>
    <s v="Major"/>
    <s v="REVE-48"/>
    <s v=""/>
    <s v="Chonburi (CA - Full Scope) 2025"/>
    <s v=" Incomplete and Unreliable Tooling Records"/>
    <s v=" The plant relies on the Master Equipment &amp; Tooling (MET) listing as the primary _x000a_operational record for tooling. This listing is intended to capture both customer_x000a_owned and Tenneco-owned tooling and should be periodically updated and _x000a_reconciled with the Fixed Asset Register (FAR). However, we noted that no defined _x000a_process currently exists for systematic updating and validation of the MET listing._x000a__x000a_As a result, the records are often outdated, contain inaccurate ownership _x000a_information, and cannot be consistently reconciled with the FAR due to the absence _x000a_of a common identifier._x000a__x000a_A physical verification of 15 sampled tooling assets based on the FAR dated 30 June _x000a_2025 highlighted the following issues:_x000a_a) 1/15 assets–The asset code physically tagged on the asset differed from the _x000a_code recorded in the FAR (NBV –57K USD (1.8 Mn THB) )_x000a_b) 2/15 assets–Scrapped assets continued to remain in the FAR without supporting _x000a_scrap documentation (NBV –38K USD (1.2 Mn THB) )_x000a_ c) 7/15 assets–Assets lacked physical tags as per the FAR (tags deteriorated or _x000a_absent). In some cases, multiple physical subsets existed but were recorded as a _x000a_single unit in the FAR, complicating reconciliation (NBV – 76K USD (2.42 Mn THB)) _x000a_d) 3/15 assets (RT-50 project)–Categorized in the FAR on a project basis _x000a_comprising 21 sub-parts (NBV – 110K USD (3.57 Mn THB)), of which only 4 could _x000a_be traced on-ground. The remaining sub-parts could not be verified due to _x000a_incomplete location details in the MET listing. These parts were not tagged by _x000a_description or FAR code, only by project code, making physical verification _x000a_challenging."/>
    <s v="No"/>
    <s v="Establish a formal process for periodic updating, validation, and reconciliation of the MET listing with the FAR, supported by clear accountability. _x000a__x000a_Strengthen asset tagging practices to ensure that each tooling asset carries a unique and durable identifier that aligns with FAR codes."/>
    <s v="Review the long-time-purchasing _x000a_items and ask for updated _x000a_quotations to refresh the market _x000a_price level._x000a__x000a_Periodically monitor, at least once a _x000a_year, the market price level of MRO _x000a_purchasing item_x000a__x000a_Provide training to the team"/>
    <x v="0"/>
    <x v="3"/>
    <s v=""/>
    <s v="Jamikorn Hodsoda, Plant Controller"/>
    <s v="Open"/>
    <s v=""/>
    <x v="2"/>
    <s v=""/>
    <s v=""/>
    <s v="Not Completed"/>
    <s v="Chawla"/>
    <s v="A, C, E/O"/>
    <s v=""/>
    <s v=""/>
    <s v=""/>
    <s v=""/>
    <s v=""/>
    <s v=""/>
    <s v=""/>
    <s v=""/>
    <s v=""/>
    <s v=""/>
    <s v=""/>
    <s v=""/>
    <s v=""/>
    <s v=""/>
    <s v=""/>
    <s v=""/>
    <d v="2026-03-08T00:00:00"/>
    <d v="2027-02-08T00:00:00"/>
    <s v="11/03/2025"/>
    <n v="-9"/>
    <x v="1"/>
    <x v="1"/>
  </r>
  <r>
    <s v="TEN-2083"/>
    <s v="2025"/>
    <x v="0"/>
    <s v="Genpact- ERC"/>
    <x v="1"/>
    <x v="82"/>
    <x v="6"/>
    <x v="25"/>
    <s v="Purchasing and Payables"/>
    <s v="Vendor Selection"/>
    <x v="5"/>
    <s v="Major"/>
    <s v=""/>
    <s v=""/>
    <s v="Chonburi (CA - Full Scope) 2025"/>
    <s v="Non-adherence to laid out procedures for Vendor Selection"/>
    <s v=" There are 3 types of procurements – Direct Material, Maintenance Repairs &amp; _x000a_Operations (MRO)and Indirect Services. All 3 types of procurements are handled by _x000a_the Plant Procurement Team. Procurement team compares quotation of minimum 3 _x000a_vendors for a new purchase adhering to Tenneco Procurement Policy and obtain _x000a_approvals prior to finalization of a vendor._x000a__x000a_During review of sample (30) POs (Total Procurement –800K USD/ 25.5 Mn THB) _x000a_supporting document obtained for the period October 2024 to June 2025, we noted _x000a_below discrepancies:_x000a_a) 11 POs  (66K USD/ 2.1 Mn THB) issued basis single vendor quote. Further, no _x000a_justification and approval was obtained for single source procurement._x000a_b) 1 PO (570K USD /18 Mn THB) was issued in advance (November 2024) prior to _x000a_obtaining quotes from vendor (December 2024). _x000a_C) 1 PO (2K USD /80K THB) issued to vendor with rate more than quotation rate. _x000a_Quote rate –190 THB, PO Rate –400 THB. ~ Excess purchase of 1.3K USD/ 42K _x000a_THB."/>
    <s v="No"/>
    <s v="Enforce compliance with vendor selection procedures (e.g., tendering, vendor evaluation, and approval matrix). _x000a__x000a_Periodically monitor and review vendor selection cases through compliance checks. _x000a__x000a_Provide training and awareness to procurement teams on policies and ethical considerations"/>
    <s v="Review the long-time-purchasing _x000a_items and ask for updated _x000a_quotations to refresh the market _x000a_price level._x000a__x000a_Periodically monitor, at least once a _x000a_year, the market price level of MRO _x000a_purchasing item._x000a__x000a_Provide training to the team"/>
    <x v="0"/>
    <x v="3"/>
    <s v=""/>
    <s v="Charnarong Akarasriswad, Purchasing  _x000a_Manager"/>
    <s v="Open"/>
    <s v=""/>
    <x v="2"/>
    <s v=""/>
    <s v=""/>
    <s v="Not Completed"/>
    <s v="Chawla"/>
    <s v=""/>
    <s v=""/>
    <s v=""/>
    <s v=""/>
    <s v=""/>
    <s v=""/>
    <s v=""/>
    <s v=""/>
    <s v=""/>
    <s v=""/>
    <s v=""/>
    <s v=""/>
    <s v=""/>
    <s v=""/>
    <s v=""/>
    <s v=""/>
    <s v=""/>
    <d v="2026-03-08T00:00:00"/>
    <d v="2027-02-08T00:00:00"/>
    <s v="11/03/2025"/>
    <n v="-9"/>
    <x v="1"/>
    <x v="1"/>
  </r>
  <r>
    <s v="TEN-2084"/>
    <s v="2025"/>
    <x v="0"/>
    <s v="Genpact- ERC"/>
    <x v="1"/>
    <x v="82"/>
    <x v="6"/>
    <x v="25"/>
    <s v="Production and Inventory"/>
    <s v="Inventory Valuation"/>
    <x v="28"/>
    <s v="Moderate"/>
    <s v="PPAE-26"/>
    <s v=""/>
    <s v="Chonburi (CA - Full Scope) 2025"/>
    <s v=" Absence of policy guidelines on segregation/disposal of long-aged inventory "/>
    <s v="Currently, ageing of inventory is tracked by goods receipt date (GR date) of a material and last movement of goods for production and shipping. Moreover, Excess and Obsolete Reserve is created for all inventory in SAP and is tracked by past 2 years usage and future demands._x000a_ _x000a_During review of Inventory report as on 14thAugust 2025 (Total Inventory - USD 2.4 _x000a_Mn)/ THB 75 Mn extracted from SAP, we noted the following:_x000a_a) Inventory of USD60K/ THB 1.9 Mnwas procured before  2023 (as old as 2015), _x000a_there was no physical segregation of stock by movement. However, E&amp;O reserve _x000a_has been created for the same._x000a__x000a_b) There are additional inventory items of USD28K/ THB 900K older than 2021 which _x000a_had no physical movement. On further inquiry, we noted that even-though E&amp;O _x000a_reserve is created for these obsolete materials, however, no disposal or write-off _x000a_plan exists for the same_x000a_"/>
    <s v="No"/>
    <s v="Establish Segregation Criteria: Define clear thresholds (e.g., &gt; 2 years = obsolete; 6 24months = slow-moving; 3 years without movement). _x000a__x000a_Define Obsolescence Criteria: Establish a policy (e.g., &gt; 3 years without movement)._x000a__x000a_Disposal Plan &amp; Write-Down: Develop and document a disposal or write-off process (e.g., quarterly), with dual-approval for any adjustments to inventory valuation"/>
    <s v="There is a plan to Dispose of obsolete _x000a_stock twice a Year already , schedule _x000a_for March and November._x000a__x000a_Identified obsolete materials will be _x000a_disposed off in November."/>
    <x v="0"/>
    <x v="3"/>
    <s v=""/>
    <s v="Wichairat Bookaranee, Logistics _x000a_Manager"/>
    <s v="Open"/>
    <s v=""/>
    <x v="2"/>
    <s v=""/>
    <s v=""/>
    <s v="Not Completed"/>
    <s v="Chawla"/>
    <s v="C, E/O, R&amp;O"/>
    <s v=""/>
    <s v=""/>
    <s v=""/>
    <s v=""/>
    <s v=""/>
    <s v=""/>
    <s v=""/>
    <s v=""/>
    <s v=""/>
    <s v=""/>
    <s v=""/>
    <s v=""/>
    <s v=""/>
    <s v=""/>
    <s v=""/>
    <s v=""/>
    <d v="2026-03-08T00:00:00"/>
    <d v="2027-02-08T00:00:00"/>
    <s v="11/03/2025"/>
    <n v="-9"/>
    <x v="1"/>
    <x v="1"/>
  </r>
  <r>
    <s v="TEN-2085"/>
    <s v="2025"/>
    <x v="0"/>
    <s v="Genpact- ERC"/>
    <x v="1"/>
    <x v="82"/>
    <x v="6"/>
    <x v="25"/>
    <s v="Purchasing and Payables"/>
    <s v="Procure to Pay"/>
    <x v="5"/>
    <s v="Moderate"/>
    <s v=""/>
    <s v=""/>
    <s v="Chonburi (CA - Full Scope) 2025"/>
    <s v="Weak controls in SAP (TA2 instance) around procurement activities_x000a_ "/>
    <s v=" PR is created by user department in SAP (TA2 instance) and is approved by Plant _x000a_Manager prior to PO creation. PO created further, routes for an automated workflow _x000a_in SAP as per defined Delegation of Authority (DOA). Further, GRN is posted for the _x000a_materials received and invoice is posted in SAP for the quantities received physically _x000a_prior to payment._x000a_ During review of PR-PO creation/approval, material codes creation, GRN posting, _x000a_invoice processing &amp; posting process, we noted below anomalies:_x000a__x000a_ PR-PO creation &amp; approvals:_x000a_SAP allows PO to be created without PR bypassing approval of department HOD _x000a_and Plant Manager &amp; SAP further allows to create back-dated PR. Further, it was _x000a_noted that there is no linkage between PR &amp; PO_x000a__x000a_Material codes creation:_x000a_a) Same material codes (11) created with multiple material descriptions. (Total _x000a_Procurement –11K USD/335K THB)._x000a_b) Same material descriptions (5) created against multiple material codes. (Total _x000a_Procurement -1.5K USD /45K THB)._x000a__x000a_Invoice processing and posting:_x000a_SAP allows to post invoice prior to GRN &amp; PO creation. On analysis of Invoice _x000a_report, GRN report &amp; PO report extracted from SAP, we noted:_x000a_a) 10(280K USD /9 Mn THB) invoices noted where invoice was created prior to PO _x000a_date. Further we noted, these are service invoices and commercials were agreed _x000a_earlier, and PO was created post facto.  _x000a_b) 4invoices (1K USD /30K THB) posted prior to invoice document date._x000a_c) 1invoice (1K USD /23K THB) posted prior to GRN._x000a__x000a_GRN posting process:_x000a_SAP allows to punch GRN of more quantity than PO quantity."/>
    <s v="No"/>
    <s v="Configure SAP to mandate linkage of PO with PR and configuration shall prohibit creation of PO without a PR. _x000a__x000a_Configure SAP to restrict duplicate material descriptions to be created for same material codes._x000a__x000a_Configure SAP to block invoices created prior to _x000a_PO creation and must prohibit posting of GRN of _x000a_more quantity than PO."/>
    <s v="Consult with SAP team to configure SAP to strengthen SAP controls. We will ensure human errors will be minimized and SAP configuration will be enabled to avoid identified instances."/>
    <x v="2"/>
    <x v="1"/>
    <s v=""/>
    <s v="Charnarong Akarasriswad, Purchasing  _x000a_Manager _x000a_Michael Prashaw, Global SAP Manager"/>
    <s v="Open"/>
    <s v=""/>
    <x v="1"/>
    <s v=""/>
    <s v=""/>
    <s v="Not Completed"/>
    <s v="Chawla"/>
    <s v=""/>
    <s v=""/>
    <s v=""/>
    <s v=""/>
    <s v=""/>
    <s v=""/>
    <s v=""/>
    <s v=""/>
    <s v=""/>
    <s v=""/>
    <s v=""/>
    <s v=""/>
    <s v=""/>
    <s v=""/>
    <s v=""/>
    <s v=""/>
    <s v=""/>
    <d v="2026-03-08T00:00:00"/>
    <d v="2027-02-08T00:00:00"/>
    <s v="11/03/2025"/>
    <n v="-40"/>
    <x v="1"/>
    <x v="1"/>
  </r>
  <r>
    <s v="TEN-2086"/>
    <s v="2025"/>
    <x v="0"/>
    <s v="Genpact- ERC"/>
    <x v="1"/>
    <x v="82"/>
    <x v="6"/>
    <x v="25"/>
    <s v="Purchasing and Payables"/>
    <s v="Segregation of Duties"/>
    <x v="12"/>
    <s v="Moderate"/>
    <s v=""/>
    <s v=""/>
    <s v="Chonburi (CA - Full Scope) 2025"/>
    <s v="Segregation of duties conflict noted in purchasing activities"/>
    <s v="Access rights of each module in SAP (TA2) instances is assigned to individual users _x000a_after a ticket is raised by Plant Controller. Global SAP team assigned roles and _x000a_access as per the approved ticket._x000a_ During review of Scheduling Agreement (SA) creation, invoice posting and payments _x000a_process and review of access rights listing, we noted below discrepancies:_x000a__x000a_a) Access to change/modify scheduling agreements in SAP is provided to Purchase _x000a_Associate &amp; Purchase Manager resulting in segregation of duties conflict._x000a_ b) Access to mass change line items of scheduling agreements in SAP is provided _x000a_to non-relevant employees such as Sales, Marketing &amp; Production planning _x000a_individuals._x000a_ c)  Access to edit critical PO fields (such as quantity &amp; rates) in SAP is provided to _x000a_invoice processor._x000a_ d) Access to run payment proposal in SAP and to process payments on Citi portal is _x000a_provided to invoice processor._x000a_ e) PR created is routed for approval of department HOD &amp; Plant Manager for release _x000a_in SAP. However, we noted Purchase Associate (who creates PO) has access to _x000a_edit critical fields in PR and post edit, PR is not routed through the approval _x000a_workflow._x000a_ f) DOA for high value indirect material PO approval still includes name of Ex-Plant _x000a_Manager as the 3rd level of authority which is fulfilled by the current plant _x000a_controller. Further on review, we noted that access of Ex-Plant Manager is not _x000a_terminated."/>
    <s v="No"/>
    <s v="Periodic review must be performed on user access and roles in SAP to deactivate/eliminate access of non-relevant individuals. _x000a__x000a_SAP access of terminated employees must be immediately deactivated."/>
    <s v="Remove Sarun/former finance controller from PO approval person in SAP._x000a__x000a_Periodic review of user access and roles in SAP shall be performed._x000a__x000a_Consult SAP IT team to deactivate access rights of employees having non-relevant access."/>
    <x v="2"/>
    <x v="3"/>
    <s v=""/>
    <s v="Jamikorn Hodsoda, Plant Controller_x000a_Michael Prashaw, Global SAP Manager"/>
    <s v="Open"/>
    <s v=""/>
    <x v="2"/>
    <s v=""/>
    <s v=""/>
    <s v="Not Completed"/>
    <s v="Chawla"/>
    <s v=""/>
    <s v=""/>
    <s v=""/>
    <s v=""/>
    <s v=""/>
    <s v=""/>
    <s v=""/>
    <s v=""/>
    <s v=""/>
    <s v=""/>
    <s v=""/>
    <s v=""/>
    <s v=""/>
    <s v=""/>
    <s v=""/>
    <s v=""/>
    <s v=""/>
    <d v="2026-03-08T00:00:00"/>
    <d v="2027-02-08T00:00:00"/>
    <s v="11/03/2025"/>
    <n v="-9"/>
    <x v="1"/>
    <x v="1"/>
  </r>
  <r>
    <s v="TEN-2087"/>
    <s v="2025"/>
    <x v="0"/>
    <s v="Genpact- ERC"/>
    <x v="0"/>
    <x v="82"/>
    <x v="6"/>
    <x v="25"/>
    <s v="Property, Plant, and Equipment"/>
    <s v="Fixed Assets Physical Verification"/>
    <x v="7"/>
    <s v="Moderate"/>
    <s v="PPAE-33"/>
    <s v=""/>
    <s v="Chonburi (CA - Full Scope) 2025"/>
    <s v="Discrepancies noted in Fixed Assets as per Physical Count Vs SAP"/>
    <s v="As per Tenneco physical count policy, plant is required to perform physical _x000a_verification of fixed assets in 5 years. Last physical verification of fixed assets was _x000a_performed in December 2024 at Chonburi Plant._x000a__x000a_During physical count of 15 sample fixed assets with a total book value of _x000a_USD57K/1.8 Mn THB, we noted below discrepancies_x000a_a) 1 asset (USD4.3K/ 137K THB) was disposed off in year 2022 was carried forward _x000a_in FAR. Further, we noted that evidence of disposal &amp; scrap documentation of the _x000a_sample asset was not available._x000a_ b) 1 asset (Acquisition value - USD 28K/ 891K THB)was physically retired, _x000a_however, book value (1K USD/ 30K THB) of the sample asset was carried in FAR._x000a_ c) Asset tags were missing at 5 sample assets(Book Value -USD 14K/ 447K THB)"/>
    <s v="No"/>
    <s v="Enhance Location Mapping Controls: Update real time location for inter/intra plant movements in SAP. _x000a__x000a_Perform a periodic review to ensure asset tags are pasted on each fixed asset and initiate corrective actions for discrepancies, as required. _x000a__x000a_Mandate documenting evidence of disposal and scrapping of fixed assets"/>
    <s v="Re-conduct a full physical count of fixed asset in 2025 by area to ensure proper verification._x000a__x000a_Calibration and place machine, with updated mapping in SAP to avoid misplacement and mismatches._x000a__x000a_Mandate that disposal and scrapping of fixed assets must always by supported with proper approvals and evident._x000a__x000a_Implement a periodic review process to ensure fixed asset tags are update and corrective actions are take promptly."/>
    <x v="0"/>
    <x v="1"/>
    <s v=""/>
    <s v="Jamikorn Hodsoda, Plant Controller_x000a_Pattra Wisuttikun, Senior Finance _x000a_Analyst"/>
    <s v="Open"/>
    <s v=""/>
    <x v="1"/>
    <s v=""/>
    <s v=""/>
    <s v="Not Completed"/>
    <s v="Chawla"/>
    <s v="V"/>
    <s v=""/>
    <s v=""/>
    <s v=""/>
    <s v=""/>
    <s v=""/>
    <s v=""/>
    <s v=""/>
    <s v=""/>
    <s v=""/>
    <s v=""/>
    <s v=""/>
    <s v=""/>
    <s v=""/>
    <s v=""/>
    <s v=""/>
    <s v=""/>
    <d v="2026-03-08T00:00:00"/>
    <d v="2027-02-08T00:00:00"/>
    <s v="11/03/2025"/>
    <n v="-40"/>
    <x v="1"/>
    <x v="1"/>
  </r>
  <r>
    <s v="TEN-2088"/>
    <s v="2025"/>
    <x v="0"/>
    <s v="Genpact- ERC"/>
    <x v="1"/>
    <x v="82"/>
    <x v="6"/>
    <x v="25"/>
    <s v="Purchasing and Payables"/>
    <s v="Scheduling Agreements"/>
    <x v="5"/>
    <s v="Moderate"/>
    <s v=""/>
    <s v=""/>
    <s v="Chonburi (CA - Full Scope) 2025"/>
    <s v="Lack of approval in SAP for SA creation &amp; modification"/>
    <s v="Creation request for Scheduling Agreements (created for Direct Materials only) are _x000a_raised in SAP by the Procurement Team. _x000a__x000a_During review of SA creation process and on analysis of SA Purchase Report _x000a_during October 2024 to June 2025, we noted that there is lack of approval _x000a_workflow and release strategy in SAP for creation and modification of SA _x000a_agreement. Total 280 SA's (approx. 4.7 Mn USD/ 148 Mn THB) issued during _x000a_October 2024 to June 2025 without a release strategy and approval in SAP."/>
    <s v="No"/>
    <s v="Implement release strategy in SAP for creation and modification of scheduling agreement. _x000a_"/>
    <s v="Transaction code：F110 Automatics Payment Transactions need to be modified to have an approval process in SAP before posting (currently approval in paper)_x000a__x000a_Consult with SAP IT team to configure SAP with SA approvals."/>
    <x v="2"/>
    <x v="1"/>
    <s v=""/>
    <s v="Jamikorn Hodsoda, Plant Controller_x000a_Pornpan Cherdphol, Payment _x000a_Processor_x000a_Michael Prashaw, Global SAP Manager"/>
    <s v="Open"/>
    <s v=""/>
    <x v="1"/>
    <s v=""/>
    <s v=""/>
    <s v="Not Completed"/>
    <s v="Chawla"/>
    <s v=""/>
    <s v=""/>
    <s v=""/>
    <s v=""/>
    <s v=""/>
    <s v=""/>
    <s v=""/>
    <s v=""/>
    <s v=""/>
    <s v=""/>
    <s v=""/>
    <s v=""/>
    <s v=""/>
    <s v=""/>
    <s v=""/>
    <s v=""/>
    <s v=""/>
    <d v="2026-03-08T00:00:00"/>
    <d v="2027-02-08T00:00:00"/>
    <s v="11/03/2025"/>
    <n v="-40"/>
    <x v="1"/>
    <x v="1"/>
  </r>
  <r>
    <s v="TEN-2089"/>
    <s v="2025"/>
    <x v="0"/>
    <s v="Genpact- ERC"/>
    <x v="1"/>
    <x v="82"/>
    <x v="6"/>
    <x v="25"/>
    <s v="Purchasing and Payables"/>
    <s v="Payments"/>
    <x v="42"/>
    <s v="Moderate"/>
    <s v=""/>
    <s v=""/>
    <s v="Chonburi (CA - Full Scope) 2025"/>
    <s v="Discrepancies and noted in Payments process"/>
    <s v="During review of Payments process, we noted that bank file generated after _x000a_payment proposal run from SAP is not encrypted and is editable."/>
    <s v="No"/>
    <s v="Define EUT controls in bank upload file by  enabling encryption to prevent unauthorized _x000a_changes._x000a_"/>
    <s v="Encrypt the payment documents  from SAP before load to Citibank to protect editing. _x000a_"/>
    <x v="0"/>
    <x v="1"/>
    <s v=""/>
    <s v="Jamikorn Hodsoda, Plant Controller_x000a_Pornpan Cherdphol, Payment _x000a_Processor_x000a_Michael Prashaw, Global SAP Manager"/>
    <s v="Open"/>
    <s v=""/>
    <x v="1"/>
    <s v=""/>
    <s v=""/>
    <s v="Not Completed"/>
    <s v="Chawla"/>
    <s v=""/>
    <s v=""/>
    <s v=""/>
    <s v=""/>
    <s v=""/>
    <s v=""/>
    <s v=""/>
    <s v=""/>
    <s v=""/>
    <s v=""/>
    <s v=""/>
    <s v=""/>
    <s v=""/>
    <s v=""/>
    <s v=""/>
    <s v=""/>
    <s v=""/>
    <d v="2026-03-08T00:00:00"/>
    <d v="2027-02-08T00:00:00"/>
    <s v="11/03/2025"/>
    <n v="-40"/>
    <x v="1"/>
    <x v="1"/>
  </r>
  <r>
    <s v="TEN-2090"/>
    <s v="2025"/>
    <x v="0"/>
    <s v="Genpact- ERC"/>
    <x v="1"/>
    <x v="82"/>
    <x v="6"/>
    <x v="25"/>
    <s v="Production and Inventory"/>
    <s v="Inventory accounting"/>
    <x v="13"/>
    <s v="Moderate"/>
    <s v=""/>
    <s v=""/>
    <s v="Chonburi (CA - Full Scope) 2025"/>
    <s v="Anomalies noted in inventory accounting process:"/>
    <s v="Raw materials received from vendor (domestic, international and intercompany) are _x000a_accounted in SAP post quantity and quality inspection. GRN (Goods Receipt Note) is _x000a_posted for the materials received in SAP prior to physically storing them in _x000a_warehouse._x000a_ _x000a_During review of Inventory report as on 14th August 2025 (Total Inventory - USD 2.4 _x000a_Mn/ THB 75 Mn) extracted from SAP, we noted 22 materials (1K USD/ 30K THB) _x000a_have been received in warehouse without a GRN. Further on discussion, we noted _x000a_that these are mostly vendor samples, prototypes and materials received from _x000a_intercompany transfer and have been received without GRN."/>
    <s v="Yes"/>
    <s v="GRN of identified materials must be immediately _x000a_posted in SAP._x000a__x000a_Periodic review should be performed to identify materials received without GRN._x000a_"/>
    <s v="Provide training to team to stop transfer components from one location to another without GRN._x000a__x000a_Set up process review all material 100% perform by GRN process"/>
    <x v="0"/>
    <x v="3"/>
    <s v=""/>
    <s v="Wichairat Bookaranee, Logistics _x000a_Manager"/>
    <s v="Open"/>
    <s v=""/>
    <x v="2"/>
    <s v=""/>
    <s v=""/>
    <s v="Not Completed"/>
    <s v="Chawla"/>
    <s v=""/>
    <s v=""/>
    <s v=""/>
    <s v=""/>
    <s v=""/>
    <s v=""/>
    <s v=""/>
    <s v=""/>
    <s v=""/>
    <s v=""/>
    <s v=""/>
    <s v=""/>
    <s v=""/>
    <s v=""/>
    <s v=""/>
    <s v=""/>
    <s v=""/>
    <d v="2026-03-08T00:00:00"/>
    <d v="2027-02-08T00:00:00"/>
    <s v="11/03/2025"/>
    <n v="-9"/>
    <x v="1"/>
    <x v="1"/>
  </r>
  <r>
    <s v="TEN-2091"/>
    <s v="2025"/>
    <x v="0"/>
    <s v="Genpact- ERC"/>
    <x v="0"/>
    <x v="82"/>
    <x v="6"/>
    <x v="25"/>
    <s v="Production and Inventory"/>
    <s v="Inventory Reserve"/>
    <x v="30"/>
    <s v="Moderate"/>
    <s v="PINV-46"/>
    <s v=""/>
    <s v="Chonburi (CA - Full Scope) 2025"/>
    <s v=" Non-compliance to Excess and Obsolete (E&amp;O) Reserve Policy"/>
    <s v=" As per Excess and Obsolete (E&amp;O) reserve policy, Inventory shall be reserved based _x000a_on the following criteria:_x000a__x000a_a) Automotive OE parts must be reserved at 100% if the amount on-hand exceeds _x000a_one (1) year historical usage (100% of the portion more than the historical usage)._x000a_b) Non-automotive OE parts and OES parts must be reserved at 100% if the amount _x000a_on-hand exceeds two (2) years historical usage (100% of the portion more than _x000a_the historical usage)._x000a_c) New parts cannot be entirely excluded from the analysis. However, if a part has _x000a_been introduced or reintroduced within the last one or two years (for automotive _x000a_OE parts or non-automotive OE parts/OES parts, respectively), future demand _x000a_may be considered. The total usage/demand calculation cannot exceed one or _x000a_two years, respectively_x000a__x000a_E&amp;O reserves at Chonburi plant are calculated by APAC team by the inputs of _x000a_Chonburi plant inventory and logistic team._x000a__x000a_During review of E&amp;O Inventory Reserves calculation prepared for Q2 2025 (Total _x000a_Reserve – USD 180K/ 5.8 Mn THB, by inventory team at Chonburi Plant, we noted _x000a_E&amp;O reserve calculation did not include critical fields such as GR date, material _x000a_created date , material types, etc.."/>
    <s v="Yes"/>
    <s v="Institute a two-tier review - Require a secondary sign-off (e.g., Inventory Manager and Finance Controller) on the E&amp;O schedule, with a reconciliation of total reserve movements. _x000a__x000a_Revisit the E&amp;O calculations and ensure all critical fields are considered which calculating E&amp;O reserves."/>
    <s v="Normally We have process review together for Logistics and Finance before reserve_x000a__x000a_Global implemented new E&amp;O format to follow &amp; close audit issue"/>
    <x v="0"/>
    <x v="3"/>
    <s v=""/>
    <s v="Wichairat Bookaranee, Logistics _x000a_Manager"/>
    <s v="Open"/>
    <s v=""/>
    <x v="2"/>
    <s v=""/>
    <s v=""/>
    <s v="Not Completed"/>
    <s v="Chawla"/>
    <s v="R&amp;O, V"/>
    <s v=""/>
    <s v=""/>
    <s v=""/>
    <s v=""/>
    <s v=""/>
    <s v=""/>
    <s v=""/>
    <s v=""/>
    <s v=""/>
    <s v=""/>
    <s v=""/>
    <s v=""/>
    <s v=""/>
    <s v=""/>
    <s v=""/>
    <s v=""/>
    <d v="2026-03-08T00:00:00"/>
    <d v="2027-02-08T00:00:00"/>
    <s v="11/03/2025"/>
    <n v="-9"/>
    <x v="1"/>
    <x v="1"/>
  </r>
  <r>
    <s v="TEN-2092"/>
    <s v="2025"/>
    <x v="0"/>
    <s v="Genpact- ERC"/>
    <x v="0"/>
    <x v="82"/>
    <x v="6"/>
    <x v="25"/>
    <s v="Production and Inventory"/>
    <s v="Inventory Physical Verification"/>
    <x v="20"/>
    <s v="Moderate"/>
    <s v="PINV-01"/>
    <s v=""/>
    <s v="Chonburi (CA - Full Scope) 2025"/>
    <s v="Discrepancies noted in Inventory as per Physical Stock Vs SAP"/>
    <s v=" As per Physical Count Policy,--_x000a_a) A complete full physical inventory verification must be performed at least once _x000a_each calendar year._x000a_b) To perform cycle counts, a location must meet the requirements of one of the _x000a_following tow alternatives – ABC Cycle Counting and Row Audit Cycle Counting._x000a__x000a_Inventory team at Chonburi plant performed Annual Physical Inventory (API) _x000a_verification on 14th December 2024. Additionally, we independently selected 30 _x000a_samples during plant visit and performed a physical count of inventory at Chonburi _x000a_Plant warehouse on 25th August 2025._x000a__x000a_During physical count of 30 sample inventory items (raw materials, finished goods _x000a_and CWIP) with a total book value of USD57K/ 1.8 Mn THB, we noted below _x000a_discrepancies:_x000a_a) 1 items (USD2.5K/ 79K THB)recorded in SAP but not found in the warehouse._x000a_b) 4 items (USD2.8K /87K THB)located in a different warehouse zone than SAP _x000a_records._x000a_c) Location of 6materials (4K USD/ 126K THB) is not specified with storage bin in _x000a_SAP."/>
    <s v="No"/>
    <s v="Enhance Location Controls: Update warehouse bin-location mapping in SAP, require staff to scan bin and item barcodes at receipt, put-away and picking _x000a__x000a_Educate/Train staff to record movement of inventory accurately in SAP on a real time basis. _x000a__x000a_Inventory team shall investigate the differences and shall perform necessary adjustments."/>
    <s v="Addition 5S audit item tocheck location in WHto make sure Location in SAP matching with Physical Location _x000a__x000a_Update WI to mention real time Transaction in SAP and Training to team member _x000a__x000a_We will perform Cycle count / after investigating 100% inventory accuracy 100% for highlighted items"/>
    <x v="0"/>
    <x v="3"/>
    <s v=""/>
    <s v="Wichairat Bookaranee, Logistics _x000a_Manager"/>
    <s v="Open"/>
    <s v=""/>
    <x v="2"/>
    <s v=""/>
    <s v=""/>
    <s v="Not Completed"/>
    <s v="Chawla"/>
    <s v="A, C, E/O"/>
    <s v=""/>
    <s v=""/>
    <s v=""/>
    <s v=""/>
    <s v=""/>
    <s v=""/>
    <s v=""/>
    <s v=""/>
    <s v=""/>
    <s v=""/>
    <s v=""/>
    <s v=""/>
    <s v=""/>
    <s v=""/>
    <s v=""/>
    <s v=""/>
    <d v="2026-03-08T00:00:00"/>
    <d v="2027-02-08T00:00:00"/>
    <s v="11/03/2025"/>
    <n v="-9"/>
    <x v="1"/>
    <x v="1"/>
  </r>
  <r>
    <s v="TEN-2093"/>
    <s v="2025"/>
    <x v="0"/>
    <s v="Genpact- ERC"/>
    <x v="1"/>
    <x v="82"/>
    <x v="6"/>
    <x v="25"/>
    <s v="Master Data"/>
    <s v="Vendor Master"/>
    <x v="10"/>
    <s v="Moderate"/>
    <s v=""/>
    <s v=""/>
    <s v="Chonburi (CA - Full Scope) 2025"/>
    <s v="Absence of review process over vendor details"/>
    <s v="Vendor details are obtained and entered in Lotus Note application and is routed for _x000a_approval from Purchase Manager and Plant Controller. Post approval, vendor is _x000a_created in SAP and a vendor code is generated for newly onboarded vendor._x000a__x000a_During review of vendor master process and analysis of vendor master as on 22nd_x000a_August 2025, we noted below discrepancies:_x000a_a) 4 vendors with duplicate bank accounts appearing in SAP._x000a_b) 8 vendors noted with duplicate VAT registration numbers in SAP._x000a_c) 2 vendors noted with duplicate address in SAP._x000a_d) 231 vendors noted with missing VAT registration details in SAP._x000a_e) There is lack of vendor call back procedure to validate vendor bank details."/>
    <s v="Yes"/>
    <s v="Periodic review must be performed on vendor _x000a_information updated manually in Lotus Note and in _x000a_SAP."/>
    <s v="We will periodically review vendors information at least once a quater."/>
    <x v="0"/>
    <x v="3"/>
    <s v=""/>
    <s v="Charnarong Akarasriswad, Purchasing  _x000a_Manager"/>
    <s v="Open"/>
    <s v=""/>
    <x v="2"/>
    <s v=""/>
    <s v=""/>
    <s v="Not Completed"/>
    <s v="Chawla"/>
    <s v=""/>
    <s v=""/>
    <s v=""/>
    <s v=""/>
    <s v=""/>
    <s v=""/>
    <s v=""/>
    <s v=""/>
    <s v=""/>
    <s v=""/>
    <s v=""/>
    <s v=""/>
    <s v=""/>
    <s v=""/>
    <s v=""/>
    <s v=""/>
    <s v=""/>
    <d v="2026-03-08T00:00:00"/>
    <d v="2027-02-08T00:00:00"/>
    <s v="11/03/2025"/>
    <n v="-9"/>
    <x v="1"/>
    <x v="1"/>
  </r>
  <r>
    <s v="TEN-2094"/>
    <s v="2025"/>
    <x v="0"/>
    <s v="Genpact- ERC"/>
    <x v="1"/>
    <x v="82"/>
    <x v="6"/>
    <x v="25"/>
    <s v="Logistics"/>
    <s v="Gate pass"/>
    <x v="31"/>
    <s v="Moderate"/>
    <s v=""/>
    <s v=""/>
    <s v="Chonburi (CA - Full Scope) 2025"/>
    <s v="Absence of Gate pass tracking and monitoring"/>
    <s v="Currently, manual gate passes are prepared at security gate for materials/machines _x000a_exiting the plant premises due to job work/repair work/calibration, etc.. Approvals _x000a_are obtained on the manual gate pass prior to plan exit._x000a__x000a_During review of gate entry and exit process at Chonburi plant, we noted there is lack _x000a_of maintenance of gate pass (Returnable (RGP) &amp; Non-Returnable (NRGP)) in SAP. _x000a_Further, we noted that there is lack of process to monitor ageing of the _x000a_materials/machine sent out of plant premises."/>
    <s v="No"/>
    <s v="RGP &amp; NRGP gate passes must be tracked and _x000a_monitored in SAP. Long-aged exits must be tracked _x000a_and resolved."/>
    <s v="We will submit Requirement to IT team to support provide RGP &amp; NRGP tracking by SAP"/>
    <x v="2"/>
    <x v="3"/>
    <s v=""/>
    <s v="Wichairat Bookaranee, Logistics _x000a_Manager"/>
    <s v="Open"/>
    <s v=""/>
    <x v="2"/>
    <s v=""/>
    <s v=""/>
    <s v="Not Completed"/>
    <s v="Chawla"/>
    <s v=""/>
    <s v=""/>
    <s v=""/>
    <s v=""/>
    <s v=""/>
    <s v=""/>
    <s v=""/>
    <s v=""/>
    <s v=""/>
    <s v=""/>
    <s v=""/>
    <s v=""/>
    <s v=""/>
    <s v=""/>
    <s v=""/>
    <s v=""/>
    <s v=""/>
    <d v="2026-03-08T00:00:00"/>
    <d v="2027-02-08T00:00:00"/>
    <s v="11/03/2025"/>
    <n v="-9"/>
    <x v="1"/>
    <x v="1"/>
  </r>
  <r>
    <s v="TEN-2095"/>
    <s v="2025"/>
    <x v="0"/>
    <s v="Genpact- ERC"/>
    <x v="0"/>
    <x v="82"/>
    <x v="6"/>
    <x v="25"/>
    <s v="Property, Plant, and Equipment"/>
    <s v="Fixed Asset Capitalization"/>
    <x v="24"/>
    <s v="Moderate"/>
    <s v="PPAE-35"/>
    <s v=""/>
    <s v="Chonburi (CA - Full Scope) 2025"/>
    <s v="Non-compliance to Fixed Assets Capitalization policy"/>
    <s v=" As per Tenneco Capitalization policy, fixed assets with acquisition cost below global _x000a_capitalization threshold of USD 5K are not required to be capitalized. If  capitalized, _x000a_they must be depreciated in full within the same year (maximum time)._x000a__x000a_During review of capitalization process and analysis of Fixed Assets Register (FAR), we noted 786 assets (acquisition cost of 620K USD/ THB 20 Mn), were capitalized in the FAR under US GAAP (and not depreciated in the same year of acquisition), even though each individual item was below the global capitalization threshold of USD 5K._x000a__x000a_"/>
    <s v="No"/>
    <s v="Policy should be strictly adhered and highlighted _x000a_instances should be depreciated to full value immediately._x000a_"/>
    <s v="Create standard operating procedure for CA Thailand Fixed Asset Policy _x000a__x000a_Implementing the global policy will create the local GAAP requirement and US GAAP policy difference because in local GAAP, the fixed asset value lower than 150,000 THB can be capitalized if the useful life &gt; 1 year. _x000a__x000a_Request to implement fixed asset capitalization threshold USD 5K or 150,000 THB effective Jan 1st, 2026."/>
    <x v="0"/>
    <x v="29"/>
    <s v=""/>
    <s v="Pattra Wisuttikun, Finance Manager"/>
    <s v="Open"/>
    <s v=""/>
    <x v="1"/>
    <s v=""/>
    <s v=""/>
    <s v="Not Completed"/>
    <s v="Chawla"/>
    <s v="A, C, CO, E/O, P&amp;D, R&amp;O, V"/>
    <s v=""/>
    <s v=""/>
    <s v=""/>
    <s v=""/>
    <s v=""/>
    <s v=""/>
    <s v=""/>
    <s v=""/>
    <s v=""/>
    <s v=""/>
    <s v=""/>
    <s v=""/>
    <s v=""/>
    <s v=""/>
    <s v=""/>
    <s v=""/>
    <d v="2026-03-08T00:00:00"/>
    <d v="2027-02-08T00:00:00"/>
    <s v="11/03/2025"/>
    <n v="-41"/>
    <x v="1"/>
    <x v="1"/>
  </r>
  <r>
    <s v="TEN-2096"/>
    <s v="2025"/>
    <x v="0"/>
    <s v="Genpact- ERC"/>
    <x v="1"/>
    <x v="82"/>
    <x v="6"/>
    <x v="25"/>
    <s v="Payroll"/>
    <s v="Employee attendance"/>
    <x v="3"/>
    <s v="Moderate"/>
    <s v=""/>
    <s v=""/>
    <s v="Chonburi (CA - Full Scope) 2025"/>
    <s v="Discrepancies noted in employee attendance process"/>
    <s v="Currently, attendance of employees at Chonburi Plant is recorded by fingerprint _x000a_scanner which is integrated in B-plus application (attendance tool). In case of any _x000a_attendance correction, employee takes approval from reporting manager and _x000a_submits attendance correction form to payroll associate for attendance correction._x000a__x000a_During review of attendance monitoring and correction process at Chonburi plant, _x000a_we noted below discrepancies:_x000a_a) Payroll associate has rights to correct own attendance which doesn’t route to any _x000a_approval._x000a_b) B-plus lacks functionality to extract logs of past/historic instances of employee _x000a_attendance correction._x000a_c) Furthermore, we noted payroll file is generated from B-plus basis employee _x000a_attendance, however, payroll file is editable and not encrypted/password _x000a_protected."/>
    <s v="No"/>
    <s v="Configure B-plus application to prohibit correction of attendance without adequate _x000a_approvals._x000a__x000a_Encrypt payroll file with password protection."/>
    <s v="A request will be made for B-Plus Company programmer to set permissions for Payroll Officer to access employee data, except for editing her own salary. Only the HR Manager can make such edits. If the payroll officer needs to correct any attendance or other personal data, a printed report, including correction for both her own and other employees’ data, will be prepared. This report must be checked for accuracy and confirmed by HR Manager, who will sign it as evidence. This action plan will be completed within 30 days."/>
    <x v="2"/>
    <x v="3"/>
    <s v=""/>
    <s v="Najsha Deawsurin, HR Manager"/>
    <s v="Open"/>
    <s v=""/>
    <x v="2"/>
    <s v=""/>
    <s v=""/>
    <s v="Not Completed"/>
    <s v="Chawla"/>
    <s v=""/>
    <s v=""/>
    <s v=""/>
    <s v=""/>
    <s v=""/>
    <s v=""/>
    <s v=""/>
    <s v=""/>
    <s v=""/>
    <s v=""/>
    <s v=""/>
    <s v=""/>
    <s v=""/>
    <s v=""/>
    <s v=""/>
    <s v=""/>
    <s v=""/>
    <d v="2026-03-08T00:00:00"/>
    <d v="2027-02-08T00:00:00"/>
    <s v="11/03/2025"/>
    <n v="-9"/>
    <x v="1"/>
    <x v="1"/>
  </r>
  <r>
    <s v="TEN-2097"/>
    <s v="2025"/>
    <x v="0"/>
    <s v="Genpact- ERC"/>
    <x v="1"/>
    <x v="82"/>
    <x v="6"/>
    <x v="25"/>
    <s v="Payroll"/>
    <s v="Bank Mandate"/>
    <x v="4"/>
    <s v="Moderate"/>
    <s v=""/>
    <s v=""/>
    <s v="Chonburi (CA - Full Scope) 2025"/>
    <s v="Discrepancies noted in employee access related to bank mandates"/>
    <s v="Once an employee resigns or is terminated, all access of employees are deactivated _x000a_by IT/HR team post his termination. _x000a__x000a_During review of employee access of resigned and terminated employees, we noted _x000a_that a resigned/terminated employee (LWD –February 2024) continues to appear as _x000a_an authorized signatory in bank portal."/>
    <s v="No"/>
    <s v=" Immediately revoke access of resigned/terminated  employees and perform a periodic review of _x000a_employee access around bank mandates."/>
    <s v="HR will submit request to the CITI Bank to remove a former employee, who left in Feb-2024 from the bank mandate. This action plan will be completed within 30 days"/>
    <x v="0"/>
    <x v="3"/>
    <s v=""/>
    <s v="Najsha Deawsurin, HR Manager"/>
    <s v="Open"/>
    <s v=""/>
    <x v="2"/>
    <s v=""/>
    <s v=""/>
    <s v="Not Completed"/>
    <s v="Chawla"/>
    <s v=""/>
    <s v=""/>
    <s v=""/>
    <s v=""/>
    <s v=""/>
    <s v=""/>
    <s v=""/>
    <s v=""/>
    <s v=""/>
    <s v=""/>
    <s v=""/>
    <s v=""/>
    <s v=""/>
    <s v=""/>
    <s v=""/>
    <s v=""/>
    <s v=""/>
    <d v="2026-03-08T00:00:00"/>
    <d v="2027-02-08T00:00:00"/>
    <s v="11/03/2025"/>
    <n v="-9"/>
    <x v="1"/>
    <x v="1"/>
  </r>
  <r>
    <s v="TEN-2098"/>
    <s v="2025"/>
    <x v="0"/>
    <s v="Genpact- ERC"/>
    <x v="1"/>
    <x v="82"/>
    <x v="6"/>
    <x v="25"/>
    <s v="Documentation"/>
    <s v="Standard Operating Procedures"/>
    <x v="21"/>
    <s v="Moderate"/>
    <s v=""/>
    <s v=""/>
    <s v="Chonburi (CA - Full Scope) 2025"/>
    <s v="Incomplete Standard Operating procedures (SOPs) documented "/>
    <s v="During our review and walkthrough of all plant processes, we noted that SOPs were _x000a_available in internal Sharepoint for all the key processes. _x000a__x000a_We obtained 10 sample SOP’s (across processes such as Inventory, HR, Fixed _x000a_Assets, EHS, Inspection, Quality Control) and during our review, we noted the _x000a_below discrepancies:_x000a_a) Key sections such as Key controls, Tools and ERP, KPI/SLA/DOA, Key MIS &amp; _x000a_Reporting Frameworks, etc. were missing in 9 sample SOP’s._x000a_b) SOP is not documented for Accounts Payable process (Invoice Processing and _x000a_posting)."/>
    <s v="No"/>
    <s v="Benchmark SOPs against industry best in class standards: Standard Operating procedures (SOPs) should be modified to include all the key elements _x000a__x000a_Update SOPs for key areas , train employees and implement usage"/>
    <s v="Create SOPs for Accounting Department such as AP, AR, Cashier, Fixed Asset, Customer-owned tooling accounting process etc."/>
    <x v="0"/>
    <x v="3"/>
    <s v=""/>
    <s v="Jamikorn Hodsoda, Plant Controller"/>
    <s v="Open"/>
    <s v=""/>
    <x v="2"/>
    <s v=""/>
    <s v=""/>
    <s v="Not Completed"/>
    <s v="Chawla"/>
    <s v=""/>
    <s v=""/>
    <s v=""/>
    <s v=""/>
    <s v=""/>
    <s v=""/>
    <s v=""/>
    <s v=""/>
    <s v=""/>
    <s v=""/>
    <s v=""/>
    <s v=""/>
    <s v=""/>
    <s v=""/>
    <s v=""/>
    <s v=""/>
    <s v=""/>
    <d v="2026-03-08T00:00:00"/>
    <d v="2027-02-08T00:00:00"/>
    <s v="11/03/2025"/>
    <n v="-9"/>
    <x v="1"/>
    <x v="1"/>
  </r>
  <r>
    <s v="TEN-2099"/>
    <s v="2025"/>
    <x v="2"/>
    <s v="PwC"/>
    <x v="0"/>
    <x v="83"/>
    <x v="2"/>
    <x v="9"/>
    <s v="Period End Financial Reporting"/>
    <s v="Process-Wide Considerations"/>
    <x v="35"/>
    <s v=""/>
    <s v="PEFR-05"/>
    <s v=""/>
    <s v="(Coventry) (Powertrain)   - Management Self-Testing 2025"/>
    <s v="Review not performed"/>
    <s v="SoD Review was not performed in 2025 due to IT Delays - out of site control"/>
    <s v=""/>
    <s v=""/>
    <s v="SOD to be rolled out ahead of the year end"/>
    <x v="2"/>
    <x v="1"/>
    <s v=""/>
    <s v="IT/Iain Cameron"/>
    <s v="Open"/>
    <s v=""/>
    <x v="1"/>
    <s v=""/>
    <s v=""/>
    <s v="N/A"/>
    <s v="Gupta"/>
    <s v="E/O"/>
    <s v=""/>
    <s v=""/>
    <s v=""/>
    <s v=""/>
    <s v=""/>
    <s v=""/>
    <s v=""/>
    <s v=""/>
    <s v=""/>
    <s v=""/>
    <s v=""/>
    <s v=""/>
    <s v=""/>
    <s v=""/>
    <s v=""/>
    <s v=""/>
    <s v=""/>
    <s v=""/>
    <s v="11/06/2025"/>
    <n v="-40"/>
    <x v="1"/>
    <x v="1"/>
  </r>
  <r>
    <s v="TEN-2100"/>
    <s v="2025"/>
    <x v="2"/>
    <s v="PwC"/>
    <x v="0"/>
    <x v="33"/>
    <x v="3"/>
    <x v="7"/>
    <s v="Leases"/>
    <s v="Lease Accounting Completeness"/>
    <x v="0"/>
    <s v=""/>
    <s v="LEAS-09"/>
    <s v=""/>
    <s v="(Regional Aftermarket - NAM (Excludes Mexico)) (Regional Aftermarket - SAM) (AFFINIA (Excluding NAPD) / Southfield APS) (DRiV)   - Management Self-Testing 2025"/>
    <s v="Review not performed timely"/>
    <s v="Reconciliation not prepared and reviewed within policy"/>
    <s v=""/>
    <s v=""/>
    <s v="RCM is being implemented as a reconciliation tool"/>
    <x v="0"/>
    <x v="3"/>
    <s v=""/>
    <s v="Michael Kurinsky, Senior Accounting Manager"/>
    <s v="Open"/>
    <s v=""/>
    <x v="2"/>
    <s v=""/>
    <s v=""/>
    <s v="N/A"/>
    <s v="Gupta"/>
    <s v="A, C, CO, E/O, P&amp;D, R&amp;O, V"/>
    <s v=""/>
    <s v=""/>
    <s v=""/>
    <s v=""/>
    <s v=""/>
    <s v=""/>
    <s v=""/>
    <s v=""/>
    <s v=""/>
    <s v=""/>
    <s v=""/>
    <s v=""/>
    <s v=""/>
    <s v=""/>
    <s v=""/>
    <s v=""/>
    <s v=""/>
    <s v=""/>
    <s v="11/06/2025"/>
    <n v="-9"/>
    <x v="1"/>
    <x v="1"/>
  </r>
  <r>
    <s v="TEN-2101"/>
    <s v="2025"/>
    <x v="2"/>
    <s v="PwC"/>
    <x v="0"/>
    <x v="33"/>
    <x v="3"/>
    <x v="7"/>
    <s v="Purchasing and Payables"/>
    <s v="Adjustments &amp; Period-end Close for Purchasing &amp; payables"/>
    <x v="0"/>
    <s v=""/>
    <s v="PAPA-44"/>
    <s v=""/>
    <s v="(Regional Aftermarket - NAM (Excludes Mexico)) (Regional Aftermarket - SAM) (AFFINIA (Excluding NAPD) / Southfield APS) (DRiV)   - Management Self-Testing 2025"/>
    <s v="Review not performed timely"/>
    <s v="Not reviewed and approved timely per policy"/>
    <s v=""/>
    <s v=""/>
    <s v="RCM is being implemented for reconciliations"/>
    <x v="0"/>
    <x v="3"/>
    <s v=""/>
    <s v="Michael Kurinsky, Senior Accounting Manager"/>
    <s v="Open"/>
    <s v=""/>
    <x v="2"/>
    <s v=""/>
    <s v=""/>
    <s v="N/A"/>
    <s v="Gupta"/>
    <s v="A, C, CO, E/O, P&amp;D, R&amp;O, V"/>
    <s v=""/>
    <s v=""/>
    <s v=""/>
    <s v=""/>
    <s v=""/>
    <s v=""/>
    <s v=""/>
    <s v=""/>
    <s v=""/>
    <s v=""/>
    <s v=""/>
    <s v=""/>
    <s v=""/>
    <s v=""/>
    <s v=""/>
    <s v=""/>
    <s v=""/>
    <s v=""/>
    <s v="11/06/2025"/>
    <n v="-9"/>
    <x v="1"/>
    <x v="1"/>
  </r>
  <r>
    <s v="TEN-2102"/>
    <s v="2025"/>
    <x v="2"/>
    <s v="PwC"/>
    <x v="0"/>
    <x v="33"/>
    <x v="3"/>
    <x v="7"/>
    <s v="Period End Financial Reporting"/>
    <s v="Adjustments &amp; Period-end Close for Period-end Financial Reporting"/>
    <x v="0"/>
    <s v=""/>
    <s v="PEFR-68"/>
    <s v=""/>
    <s v="(Regional Aftermarket - NAM (Excludes Mexico)) (Regional Aftermarket - SAM) (AFFINIA (Excluding NAPD) / Southfield APS) (DRiV)   - Management Self-Testing 2025"/>
    <s v="Review not performed timely"/>
    <s v="Not prepared and reviewed in a timely manner per policy"/>
    <s v=""/>
    <s v=""/>
    <s v="RCM is being implemented for account reconciliations"/>
    <x v="0"/>
    <x v="3"/>
    <s v=""/>
    <s v="Michael Kurinsky, Senior Accounting Manager"/>
    <s v="Open"/>
    <s v=""/>
    <x v="2"/>
    <s v=""/>
    <s v=""/>
    <s v="N/A"/>
    <s v="Gupta"/>
    <s v="A, C, CO, E/O, P&amp;D, R&amp;O, V"/>
    <s v=""/>
    <s v=""/>
    <s v=""/>
    <s v=""/>
    <s v=""/>
    <s v=""/>
    <s v=""/>
    <s v=""/>
    <s v=""/>
    <s v=""/>
    <s v=""/>
    <s v=""/>
    <s v=""/>
    <s v=""/>
    <s v=""/>
    <s v=""/>
    <s v=""/>
    <s v=""/>
    <s v="11/06/2025"/>
    <n v="-9"/>
    <x v="1"/>
    <x v="1"/>
  </r>
  <r>
    <s v="TEN-2103"/>
    <s v="2025"/>
    <x v="2"/>
    <s v="PwC"/>
    <x v="0"/>
    <x v="33"/>
    <x v="3"/>
    <x v="7"/>
    <s v="Property, Plant, and Equipment"/>
    <s v="Adjustments &amp; Period-end Close for Property, plant &amp; equipment"/>
    <x v="0"/>
    <s v=""/>
    <s v="PPAE-35"/>
    <s v=""/>
    <s v="(Regional Aftermarket - NAM (Excludes Mexico)) (Regional Aftermarket - SAM) (AFFINIA (Excluding NAPD) / Southfield APS) (DRiV)   - Management Self-Testing 2025"/>
    <s v="Review not performed timely"/>
    <s v="Not prepared and reviewed in a timely manner per policy"/>
    <s v=""/>
    <s v=""/>
    <s v="RCM is being implemented for account reconciliations"/>
    <x v="0"/>
    <x v="3"/>
    <s v=""/>
    <s v="Michael Kurinsky, Senior Accounting Manager"/>
    <s v="Open"/>
    <s v=""/>
    <x v="2"/>
    <s v=""/>
    <s v=""/>
    <s v="N/A"/>
    <s v="Gupta"/>
    <s v="A, C, CO, E/O, P&amp;D, R&amp;O, V"/>
    <s v=""/>
    <s v=""/>
    <s v=""/>
    <s v=""/>
    <s v=""/>
    <s v=""/>
    <s v=""/>
    <s v=""/>
    <s v=""/>
    <s v=""/>
    <s v=""/>
    <s v=""/>
    <s v=""/>
    <s v=""/>
    <s v=""/>
    <s v=""/>
    <s v=""/>
    <s v=""/>
    <s v="11/06/2025"/>
    <n v="-9"/>
    <x v="1"/>
    <x v="1"/>
  </r>
  <r>
    <s v="TEN-2104"/>
    <s v="2025"/>
    <x v="0"/>
    <s v="PwC"/>
    <x v="0"/>
    <x v="68"/>
    <x v="2"/>
    <x v="10"/>
    <s v="Purchasing and Payables"/>
    <s v="Unvouchered AP"/>
    <x v="5"/>
    <s v="Major"/>
    <s v="PAPA-38"/>
    <s v="PAPA-38"/>
    <s v="Athens 2025 (PT - Full Scope)"/>
    <s v="Unvouched Accounts Payable (AP) balances had been_x000a_significantly overstated during the period​."/>
    <s v="Through review of the plant’s financial records, a significant unvouchered accounts payable (AP) balance was identified on the plant's books audit period (2.8M as of June 2025). Discussions with the Plant Controller indicated that the elevated balance is primarily driven by the way Shared Services processes and matches payments. Specifically, numerous invoices are placed on hold and not cleared from the system in a timely manner.​_x000a__x000a_The Plant Controller has previously raised these issues with the Shared Services Center and provided a listing of invoices that should be cleared, either because goods had already been received against the invoices or because the invoices were subsequently processed for payment through later statements. Until May close 2025, the Unvouchered AP was being accrued without adjustment resulting in significantly higher balances during the prior months. As this is a reversing entry it should not affect future adjustments. ​_x000a__x000a_Further inspection of the unvouchered report by Internal Audit identified 444 invoices, some dating back to February 2024, that remain on the listing. This backlog highlights a risk of misstated financial reporting and delayed reconciliation of liabilities."/>
    <s v="No"/>
    <s v="1. Shared Services should evaluate invoice processing procedures to reduce the number of invoices placed on hold and ensure timely clearing _x000a_2. Plant Controller should implement a regular reconciliation process to validate unvouched invoices, adjusting balances as needed _x000a_3. Establish a formal escalation process/review between Plant and Shared Services _x000a_"/>
    <s v="Working with the SSC AP establish a process to evaluate invoice processing procedures to, significantly, reduce the number of invoices placed on hold and ensure timely clearing._x000a_Plant Controller continue to evaluate and adjust AP accrual via unvouched invoice validation. Should coincide with SSC AP actions (#1)._x000a_Continue weekly scheduled calls with AP SSC to clear top 10 (or more) issues in the reconciliation process. _x000a_Add to daily/weekly/monthly checklist to ensure adherence and commitment. "/>
    <x v="0"/>
    <x v="1"/>
    <s v=""/>
    <s v="Hector Cordova (Plant Controller) and Shared Service Centers"/>
    <s v="Open"/>
    <s v=""/>
    <x v="1"/>
    <s v=""/>
    <s v=""/>
    <s v="Not Completed"/>
    <s v="Chawla"/>
    <s v="A, C, CO"/>
    <s v=""/>
    <s v=""/>
    <s v=""/>
    <s v=""/>
    <s v=""/>
    <s v=""/>
    <s v=""/>
    <s v=""/>
    <s v=""/>
    <s v=""/>
    <s v=""/>
    <s v=""/>
    <s v=""/>
    <s v=""/>
    <s v=""/>
    <s v=""/>
    <d v="2025-09-22T00:00:00"/>
    <d v="2025-11-04T00:00:00"/>
    <s v="11/11/2025"/>
    <n v="-40"/>
    <x v="1"/>
    <x v="1"/>
  </r>
  <r>
    <s v="TEN-2105"/>
    <s v="2025"/>
    <x v="0"/>
    <s v="PwC"/>
    <x v="0"/>
    <x v="68"/>
    <x v="2"/>
    <x v="10"/>
    <s v="Property, Plant, and Equipment"/>
    <s v="Fixed Asset Tagging /Fixed Asset Disposals"/>
    <x v="6"/>
    <s v="Moderate"/>
    <s v="PPAE-22"/>
    <s v="PPAE-22"/>
    <s v="Athens 2025 (PT - Full Scope)"/>
    <s v="Inaccurate Fixed Asset Register and Disposals without Documentation"/>
    <s v="During the fixed asset verification procedure, a sample of assets was_x000a_selected from the Fixed Asset Register and physically traced to the_x000a_plant floor. It was observed that 2 assets included in the register were_x000a_no longer present at the plant. Inquiry with plant personnel indicated_x000a_that these assets had been scrapped within the past few years;_x000a_however, no supporting disposal documentation was available for_x000a_audit inspection.​_x000a__x000a_The 2 assets identified remain recorded on the Fixed Asset Register_x000a_with a combined net book value of $19,026. Specifically:​_x000a__x000a_500 TON BIPEL PRESS – Cost of $30K; Net book value of $18K;_x000a_accumulated depreciation of $12.6K; reportedly disposed of in 2022.​_x000a__x000a_Vertical Metal Cutting Bandsaw – Cost of $7K; Net book value of_x000a_$382.14; accumulated depreciation of $6,496.39; reportedly disposed_x000a_of in 2023.​_x000a__x000a_The absence of disposal records prevents confirmation that these_x000a_assets were appropriately authorized for disposal, fully removed from_x000a_company books, and disposed of in compliance with company policy."/>
    <s v="No"/>
    <s v="Reinforce company policy requiring all disposals to be supported by appropriate documentation and provide training to plant and finance personnel _x000a_Implement a periodic reconciliation process (e.g., Quarterly or Semi-Annual) between FA Register and Physical Verification reports _x000a_Assign responsibility for monitoring compliance with disposal procedures to management, with periodic reviews _x000a_"/>
    <s v="Reinforce company policy requiring all disposals to be supported by appropriate documentation and provide training to plant and finance personnel. Training the Facilities Mgr. Engineering, vs. Mgr., with support from Plant Mgr._x000a_Implement a Quarterly reconciliation process between FA Register and Physical Verification reports (quarterly asset inventory). One value stream per quarter and one general plant, for efficiency and effectiveness of the process._x000a_Quarterly Management review of the disposal procedures and sign off by management of the quarterly reconciliation. _x000a_Add to the daily/weekly/monthly checklist. "/>
    <x v="0"/>
    <x v="1"/>
    <s v=""/>
    <s v="Hector Cordova (Plant Controller) Carlos H. (Facilities Eng.), Mardonio M (Eng. Mgr.) and Tamara Sibley (Plant Accountant)"/>
    <s v="Open"/>
    <s v=""/>
    <x v="1"/>
    <s v=""/>
    <s v=""/>
    <s v="Not Completed"/>
    <s v="Chawla"/>
    <s v="E/O"/>
    <s v=""/>
    <s v=""/>
    <s v=""/>
    <s v=""/>
    <s v=""/>
    <s v=""/>
    <s v=""/>
    <s v=""/>
    <s v=""/>
    <s v=""/>
    <s v=""/>
    <s v=""/>
    <s v=""/>
    <s v=""/>
    <s v=""/>
    <s v=""/>
    <d v="2025-09-22T00:00:00"/>
    <d v="2025-11-04T00:00:00"/>
    <s v="11/11/2025"/>
    <n v="-40"/>
    <x v="1"/>
    <x v="1"/>
  </r>
  <r>
    <s v="TEN-2106"/>
    <s v="2025"/>
    <x v="0"/>
    <s v="PwC"/>
    <x v="0"/>
    <x v="68"/>
    <x v="2"/>
    <x v="10"/>
    <s v="Property, Plant, and Equipment"/>
    <s v="Idle Asset Review/Impairment"/>
    <x v="6"/>
    <s v="Moderate"/>
    <s v="PPAE-33"/>
    <s v="PPAE-33"/>
    <s v="Athens 2025 (PT - Full Scope)"/>
    <s v="Idle Assets &amp; Impairment review has not taken place_x000a_since 2023 ​"/>
    <s v="Management has not conducted a review of idle assets or performed_x000a_an impairment assessment of existing assets during the current year. ​_x000a__x000a_Plant personnel indicated that such procedures were last performed_x000a_as part of the fixed asset count completed in 2023. ​_x000a__x000a_However, these reviews are expected to be carried out on an annual_x000a_basis to ensure compliance with policy and to maintain the accuracy_x000a_of asset valuations."/>
    <s v="No"/>
    <s v="Implement a documented annual process for idle assets and impairment review, independent of the fixed asset count _x000a_Assign responsibility at the plant level for initiating and completing reviews, with oversight from management _x000a_Incorporate monitoring controls, such as periodic compliance checks, to ensure reviews are consistently completed and appropriately documented _x000a_"/>
    <s v="Implement a documented annual process for idle assets and impairment review, independent of the fixed asset count _x000a_Plant Accountant will compile the results of the impairment analysis for oversight and review (with signatures) from management _x000a_Add this action to the daily/weekly/monthly checklist to ensure we keep the timing and review process visible to comply with corporate impairment policy. "/>
    <x v="0"/>
    <x v="1"/>
    <s v=""/>
    <s v="Tamara Sibley/Fabiola Briceno Plant Accountant, Hector Cordova, Plant Controller"/>
    <s v="Open"/>
    <s v=""/>
    <x v="1"/>
    <s v=""/>
    <s v=""/>
    <s v="Not Completed"/>
    <s v="Chawla"/>
    <s v="V"/>
    <s v=""/>
    <s v=""/>
    <s v=""/>
    <s v=""/>
    <s v=""/>
    <s v=""/>
    <s v=""/>
    <s v=""/>
    <s v=""/>
    <s v=""/>
    <s v=""/>
    <s v=""/>
    <s v=""/>
    <s v=""/>
    <s v=""/>
    <s v=""/>
    <d v="2025-09-22T00:00:00"/>
    <d v="2025-11-04T00:00:00"/>
    <s v="11/11/2025"/>
    <n v="-40"/>
    <x v="1"/>
    <x v="1"/>
  </r>
  <r>
    <s v="TEN-2107"/>
    <s v="2025"/>
    <x v="0"/>
    <s v="PwC"/>
    <x v="0"/>
    <x v="68"/>
    <x v="2"/>
    <x v="10"/>
    <s v="Production and Inventory"/>
    <s v="Scrap Production"/>
    <x v="33"/>
    <s v="Moderate"/>
    <s v="PINV-49"/>
    <s v="PINV-49"/>
    <s v="Athens 2025 (PT - Full Scope)"/>
    <s v="Scrap production documentation inconsistently_x000a_maintained ​"/>
    <s v="Documentation supporting scrap production within the value streams_x000a_for oil seals, gaskets, and PTFE was found to be incomplete. ​_x000a__x000a_Specifically, records related to oil seal scrap were not retained, and_x000a_documentation for gasket and PTFE scrap was only available for select_x000a_months, rather than consistently maintained. ​_x000a__x000a_During fieldwork, it was noted that a scrap production log was_x000a_implemented at the loading dock in July 2025. The new log requires_x000a_both operator and supervisor sign-off to strengthen record accuracy_x000a_and accountability.​_x000a__x000a_Production scrap, scrap produced in excess of standard offal rates,_x000a_was 280K in July 2025 with a total value around $3.4M during the_x000a_audit period.​"/>
    <s v="No"/>
    <s v="Establish a uniform policy requiring retaining scrap production records across all value streams _x000a_Provide training to refresh operators and supervisors on the importance of proper documentation requirements_x000a_Assign responsibility to designated control owners to review scrap logs on at least a monthly basis for completeness and accuracy _x000a_Implement periodic internal reviews to ensure scrap documentation is consistently maintained and signed-off _x000a_"/>
    <s v="Establish a uniform policy to retain production and scrap records across all value streams and deliver to Finance weekly by 10/31/2025_x000a_Training to all operators and supervisors on proper documentation requirements. Potentially, add to training matrix to ensure completion &amp; approvals._x000a_Assign review of scrap &amp; production logs to team leads and/or supervisors on at least a monthly basis for completeness and accuracy _x000a_Add the review process to the daily/weekly/monthly checklist to ensure scrap documentation is maintained and approved. _x000a_"/>
    <x v="0"/>
    <x v="3"/>
    <s v=""/>
    <s v="Jason Keenum (Material Manager), Omar V. &amp; Jeff K. (VS Managers)"/>
    <s v="Open"/>
    <s v=""/>
    <x v="2"/>
    <s v=""/>
    <s v=""/>
    <s v="Not Completed"/>
    <s v="Chawla"/>
    <s v="A, E/O"/>
    <s v=""/>
    <s v=""/>
    <s v=""/>
    <s v=""/>
    <s v=""/>
    <s v=""/>
    <s v=""/>
    <s v=""/>
    <s v=""/>
    <s v=""/>
    <s v=""/>
    <s v=""/>
    <s v=""/>
    <s v=""/>
    <s v=""/>
    <s v=""/>
    <d v="2025-09-22T00:00:00"/>
    <d v="2025-11-04T00:00:00"/>
    <s v="11/11/2025"/>
    <n v="-9"/>
    <x v="1"/>
    <x v="1"/>
  </r>
  <r>
    <s v="TEN-2108"/>
    <s v="2025"/>
    <x v="0"/>
    <s v="PwC"/>
    <x v="0"/>
    <x v="68"/>
    <x v="2"/>
    <x v="10"/>
    <s v="Production and Inventory"/>
    <s v="Scrap Sales"/>
    <x v="35"/>
    <s v="Moderate"/>
    <s v="PINV-47, PINV-48"/>
    <s v="PINV-47, PINV-48"/>
    <s v="Athens 2025 (PT - Full Scope)"/>
    <s v="Scrap revenue reconciliation process not maintained ​"/>
    <s v="Location does not currently maintain a formal process for reconciling_x000a_vendor tickets against expected recoveries based upon production._x000a_While a scrap log was recently implemented at the loading dock to_x000a_record all deposits of scrap produced into scrap bins, no process is in_x000a_place to compare this log to vendor remittance tickets. ​_x000a__x000a_As a result, there is no verification that revenue received aligns with_x000a_the volume and type of scrap generated.​_x000a__x000a_In addition, it was observed that two distinct types of steel scrap are_x000a_produced at this location, with one type yielding reimbursement rates_x000a_approximately two to three times higher than the other. ​_x000a__x000a_If these materials are combined, however, vendors apply the lower_x000a_reimbursement rate to the entire load. Without a reconciliation_x000a_process, management lacks visibility into potential revenue loss_x000a_arising from scrap mixing, and the financial impact of such_x000a_occurrences cannot be readily identified or quantified.​_x000a__x000a_Scrap recovery revenue from 1/1/2025 – 7/31/2025 was ~$1,004,000. ​"/>
    <s v="No"/>
    <s v="1. Establish a structured process to reconcile scrap log at loading dock to vendor remittance tickets on a periodic basis (e.g., Monthly), including investigation and resolution_x000a_2. Develop operational procedures to ensure high/low value scrap are clearly segregated and provide training to employees responsible for scrap handling _x000a_3. Assign accountability/responsibility for reviewing reconciliation and require evidence _x000a_4. Periodically assess potential revenue variances and financial impact "/>
    <s v="Each time a scrap hopper is to be transported to the dock for dumping, it is_x000a_weighed on the scale and_x000a_the type of scrap material identified and recorded in a scrap log near the scale._x000a_The log is signed off by the supervisor._x000a_Once it is weighed and recorded, it is transported and dispositioned in the proper dumpster depending on the material type (HTA, coated, or cold rolled). _x000a_When the 3rd party recycler picks up the material and transports it to the destination, it is weighed and a document with scale weight is sent to the site and corporate purchasing._x000a_The Sr. Cost Accountant will compare the recycler weight to the scrap log weight to certify the vendor reimbursed is in line with expectations.  _x000a_If a variation to expected recovery, an analysis is conducted to determine the root cause of the variance and identify actions to mitigate and sustain. _x000a_"/>
    <x v="0"/>
    <x v="10"/>
    <s v=""/>
    <s v="Jason Keenum (Material Manager), Fabiola Briceno (Sr. Cost Accountant)"/>
    <s v="Open"/>
    <s v=""/>
    <x v="0"/>
    <s v=""/>
    <s v=""/>
    <s v="Not Completed"/>
    <s v="Chawla"/>
    <s v="A, C, E/O, R&amp;O, V"/>
    <s v=""/>
    <s v=""/>
    <s v=""/>
    <s v=""/>
    <s v=""/>
    <s v=""/>
    <s v=""/>
    <s v=""/>
    <s v=""/>
    <s v=""/>
    <s v=""/>
    <s v=""/>
    <s v=""/>
    <s v=""/>
    <s v=""/>
    <s v=""/>
    <d v="2025-09-22T00:00:00"/>
    <d v="2025-11-04T00:00:00"/>
    <s v="11/11/2025"/>
    <n v="21"/>
    <x v="2"/>
    <x v="0"/>
  </r>
  <r>
    <s v="TEN-2109"/>
    <s v="2025"/>
    <x v="0"/>
    <s v="PwC"/>
    <x v="1"/>
    <x v="84"/>
    <x v="5"/>
    <x v="23"/>
    <s v="Purchasing and Payables"/>
    <s v="Open Purchase Orders"/>
    <x v="29"/>
    <s v="Major"/>
    <s v=""/>
    <s v=""/>
    <s v="Vallejo 2025 (PT - Full Scope)"/>
    <s v="Lack of Monitoring and Clearing of Aged Open POs​_x000a_(Repeated Issued from Audit in 2022). "/>
    <s v="Data analytics were performed over open PO´s older than 12 months in the SAP system and following were identified: ​_x000a__x000a_Open POs since 2021: 3 PO´s amounting $116K USD ​_x000a__x000a_Open POs since 2022: 7 PO´s amounting $139K USD​_x000a__x000a_Open POs since 2023: 17 PO´s amounting $354K USD ​_x000a__x000a_Totaling: $609 K USD ​_x000a__x000a_Management's periodic review of open POs requires improvement. As of the audit, each Buyer/Planner is responsible for following up on their own created POs to ensure no aged POs remain open. This control is not formally documented (no frequency established, no working paper designed, etc.) and is not validated for approval by Management."/>
    <s v="Yes"/>
    <s v="Local management should establish and document a formal process for the periodic (e.g., monthly or quarterly) review of aged open purchase orders in the SAP system. _x000a_Assigning responsibility for extracting and reviewing aged PO reports._x000a_Performing timely follow-up with requestors and suppliers to determine whether POs should remain open, be modified, or be closed._x000a_Documenting and retaining evidence of reviews, follow-up actions, and approvals._x000a_Ensuring Purchasing Management reviews and approves the results of the periodic monitoring._x000a_"/>
    <s v="A monthly analysis of open purchase orders should be performed by Purchasing team, which should show following:_x000a_Evidence of reviewing and closing process for each open PO included in previous month open PO list._x000a_Evidence that confirms the reviewing and approval of Purchasing head and Plant Controller._x000a_Evidence that Open PO´s do not havean aging higher to 90 days._x000a_This analysis should be included in the Sing off monthly process as evidence of compliance."/>
    <x v="0"/>
    <x v="3"/>
    <s v=""/>
    <s v="Purchase Manager (Daniel Ojeda), Plant Controller (Edgar Gutierrez)_x000a_"/>
    <s v="Open"/>
    <s v=""/>
    <x v="2"/>
    <s v=""/>
    <s v=""/>
    <s v="Not Completed"/>
    <s v="Chawla"/>
    <s v=""/>
    <s v=""/>
    <s v=""/>
    <s v=""/>
    <s v=""/>
    <s v=""/>
    <s v=""/>
    <s v=""/>
    <s v=""/>
    <s v=""/>
    <s v=""/>
    <s v=""/>
    <s v=""/>
    <s v=""/>
    <s v=""/>
    <s v=""/>
    <s v=""/>
    <d v="2025-09-22T00:00:00"/>
    <d v="2025-11-06T00:00:00"/>
    <s v="11/11/2025"/>
    <n v="-9"/>
    <x v="1"/>
    <x v="1"/>
  </r>
  <r>
    <s v="TEN-2110"/>
    <s v="2025"/>
    <x v="0"/>
    <s v="PwC"/>
    <x v="0"/>
    <x v="84"/>
    <x v="5"/>
    <x v="23"/>
    <s v="Production and Inventory"/>
    <s v="Scrap Production"/>
    <x v="33"/>
    <s v="Major"/>
    <s v="PINV-49"/>
    <s v="PINV-49"/>
    <s v="Vallejo 2025 (PT - Full Scope)"/>
    <s v="Scrap ticket processing requires improvement​_x000a_(Repeated Issued from Audit in 2022). "/>
    <s v="During the review at the Vallejo Plant, a sample of 20 inventory scrap adjustments were tested, and the following were noted: ​_x000a__x000a_Lack of timely accurate: One inventory scrap ticket adjustment (4,000 items) did not have the scrap date. Validation of if the scrap was registered on time could not be validated. For another scrap ticket adjustment (2,319 KG) were posted into SAP system 20 days after the material was segregated. ​_x000a__x000a_User sharing in SAP system: During the walkthrough, it was identified that the Quality Auditor was using the Quality Supervisor (nongeneric) user to enter scrap tickets into the SAP system. The UID was used by multiple individuals.  "/>
    <s v="Yes"/>
    <s v="Local management should strengthen controls over inventory scrap adjustments:_x000a_Management should implement a validation to identify that the scrap ticket are posted on time. _x000a_Require that all scrap tickets include complete and accurate information and ensure that adjustments are posted into the SAP system promptly after segregation._x000a_Scrap adjustments should be entered using the individual’s assigned credentials, Therefore, the creation of the user responsible for registering the scrap in the SAP system should be managed._x000a_Implement periodic monitoring of scrap adjustments to confirm proper documentation, timely recording, and compliance with segregation of duties._x000a_"/>
    <s v="From September 1st, will be implemented a new process to validate the data included in scrap tickets as follow:_x000a_Every scrap ticket should be reviewed and signed by Quality manager and quality inspector._x000a_A second reviewing will be performed by Finance personnel before to report the scrap in SAP system._x000a_in case any quality inspector does not have (user) access to SAP system, the scrap must be reported by Quality supervisor until the quality inspector is able to report scrap in SAP system."/>
    <x v="0"/>
    <x v="3"/>
    <s v=""/>
    <s v="Quality Manager (Carolina Alvarado), Cost Accountant (Julio Sánchez) and Plant Controller (Edgar Gutierrez)_x000a_"/>
    <s v="Open"/>
    <s v=""/>
    <x v="2"/>
    <s v=""/>
    <s v=""/>
    <s v="Not Completed"/>
    <s v="Chawla"/>
    <s v="A, E/O"/>
    <s v=""/>
    <s v=""/>
    <s v=""/>
    <s v=""/>
    <s v=""/>
    <s v=""/>
    <s v=""/>
    <s v=""/>
    <s v=""/>
    <s v=""/>
    <s v=""/>
    <s v=""/>
    <s v=""/>
    <s v=""/>
    <s v=""/>
    <s v=""/>
    <d v="2025-09-22T00:00:00"/>
    <d v="2025-11-06T00:00:00"/>
    <s v="11/11/2025"/>
    <n v="-9"/>
    <x v="1"/>
    <x v="1"/>
  </r>
  <r>
    <s v="TEN-2111"/>
    <s v="2025"/>
    <x v="0"/>
    <s v="PwC"/>
    <x v="0"/>
    <x v="84"/>
    <x v="5"/>
    <x v="23"/>
    <s v="Master Data"/>
    <s v="Master Data"/>
    <x v="10"/>
    <s v="Moderate"/>
    <s v="PAYR-23, PINV-28, REVE-63"/>
    <s v="PAYR-23, PINV-28, REVE-63"/>
    <s v="Vallejo 2025 (PT - Full Scope)"/>
    <s v="Non-compliance with Master File Monitoring Controls Policy _x000a_"/>
    <s v="During the Master Data control testing, weaknesses were noted in control activities related to safeguards over master data integrity, resulting in noncompliance with the &quot;SPI 0-10 Master File Monitoring Controls&quot; global policy.​_x000a__x000a_Lack of periodic review of changes in Master Data: No periodic review (monthly or quarterly according to the policy) for payroll master data and inventory master data is performed by Management to identify or confirm whether unauthorized or incorrect additions, deletions, or modifications were made during the period reviewed. From July 2024 to June 2025, identification of Payroll master data 573 changes (additions,_x000a_deletion or modification) and Inventory master data 516 (additions and modifications) were noted. ​_x000a__x000a_Inventory Master Data: For 4 of 5 samples tested of changes to inventory master data, no evidence of review, approval and supporting documentation (e.g. master data change request form, approval workflow, or formal justification) was available. For the 4 changes failed in test, Management received the request without proper documentation for modification in location (2 samples), component quantity (1 sample) and_x000a_bill of material distribution indicator (1 sample). ​_x000a__x000a_Pricing Master Data: Evidence of the parameters applied during the June 2025 periodic review of master data changes is not retained. Since these parameters define the period covered by the review, their absence prevents assurance that all relevant price changes were included and evaluated. From July 2024 to June 2025, a total of 1,793 changes for Pricing Master Data (additions and modifications) were identifie"/>
    <s v="No"/>
    <s v="Local management should strengthen master data controls to ensure full compliance with the “SPI 0-10 Master File Monitoring Controls” policy. _x000a_Implement formal review and approval procedures for all changes to inventory master data, with evidence of approval and supporting documentation retained._x000a_Implement periodic (e.g., monthly or quarterly) reviews of payroll, pricing, and inventory master data to confirm the accuracy, validity, and integrity of the information maintained in the SAP system. Monitoring reviews must be reviewed and approved by a party independent of the preparer. The Plant Controller is responsible for retaining evidence of approval as verification that the control was executed._x000a_Additionally, management should perform random reviews of prior-period master data changes to detect any instances of updates made without proper approval._x000a_"/>
    <s v="A monthly reviewing of payroll, vendor and pricing master files should be performed in a monthly basis, this reviewing should cover next requirements:_x000a_The payroll, vendor and pricing master files changes should be appropriately reviewed and approved by management in a monthly basis._x000a_Every changes applied in the month should be accurately supported with the proper supporting documentation._x000a_Any identified issues or differences have been appropriately researched, resolved, and/or explained in a timely manner._x000a_"/>
    <x v="0"/>
    <x v="3"/>
    <s v=""/>
    <s v="Project engineering (David Salazar), HR Manager (Mario Herrera) and Plant Controller (Edgar Gutierrez)._x000a_"/>
    <s v="Open"/>
    <s v=""/>
    <x v="2"/>
    <s v=""/>
    <s v=""/>
    <s v="Not Completed"/>
    <s v="Chawla"/>
    <s v="A"/>
    <s v=""/>
    <s v=""/>
    <s v=""/>
    <s v=""/>
    <s v=""/>
    <s v=""/>
    <s v=""/>
    <s v=""/>
    <s v=""/>
    <s v=""/>
    <s v=""/>
    <s v=""/>
    <s v=""/>
    <s v=""/>
    <s v=""/>
    <s v=""/>
    <d v="2025-09-22T00:00:00"/>
    <d v="2025-11-06T00:00:00"/>
    <s v="11/11/2025"/>
    <n v="-9"/>
    <x v="1"/>
    <x v="1"/>
  </r>
  <r>
    <s v="TEN-2112"/>
    <s v="2025"/>
    <x v="0"/>
    <s v="PwC"/>
    <x v="1"/>
    <x v="84"/>
    <x v="5"/>
    <x v="23"/>
    <s v="Reconciliations"/>
    <s v="Period End Shippment reconciliation vs Invoice"/>
    <x v="0"/>
    <s v="Moderate"/>
    <s v=""/>
    <s v=""/>
    <s v="Vallejo 2025 (PT - Full Scope)"/>
    <s v="Lack Reconciliation Procedures to Ensure Proper Period Invoicing of Shipments "/>
    <s v="As part of period end close, it was noted that a reconciliation between shipments and invoices issued is not performed; therefore, there is no verification to identify that shipments were invoiced on time for revenue recognition. ​_x000a__x000a_Through observation and inspection, it was found that local management was not aware of, nor had access to the reports VFX3 (billing documents blocked from posting to accounting) and VF04 (billing documents due_x000a_from orders or deliveries) in SAP system to performed the reconciliation in a monthly basis, even though Management does not have any other control in place to ensure all shipments were invoiced at month end for the revenue recognition process.​_x000a__x000a_Vallejo plant invoiced approximately monthly average amount of $4.9 MUSD for 2025 and $4.8 MUSD"/>
    <s v="No"/>
    <s v="Local management should implement controls to ensure that all shipments are validated and invoiced in the appropriate accounting period. _x000a_Management should request for access to extraction, review, and approval of reports VFX3 and VF04, to perform a reconciliation to validate all shipments were invoiced timely, this reconciliation should be reviewed in a monthly basis (month end) by the Plant Controller._x000a_Management should retain evidence of reviews and reconciliations to demonstrate compliance with control documentation. _x000a_These measures will strengthen revenue recognition controls, reduce the risk of unbilled or misstated transactions, and ensure compliance with accounting requirements._x000a_"/>
    <s v="A monthly Shipments-Invoicing reconciliation should be performed by Customer service team, which should show following:_x000a_Evidence that confirms the reviewing and approval of Logistics Manager and Plant Controller._x000a_Evidence that all monthly shipments has been invoiced using transaction SQ01 of SAP RP2_x000a_This reconciliation should be included in the sign-off monthly process as evidence of compliance."/>
    <x v="2"/>
    <x v="3"/>
    <s v=""/>
    <s v="Logistic Manager (Naybi Cortes), Plant Controller (Edgar Gutierrez). _x000a_"/>
    <s v="Open"/>
    <s v=""/>
    <x v="2"/>
    <s v=""/>
    <s v=""/>
    <s v="Not Completed"/>
    <s v="Chawla"/>
    <s v=""/>
    <s v=""/>
    <s v=""/>
    <s v=""/>
    <s v=""/>
    <s v=""/>
    <s v=""/>
    <s v=""/>
    <s v=""/>
    <s v=""/>
    <s v=""/>
    <s v=""/>
    <s v=""/>
    <s v=""/>
    <s v=""/>
    <s v=""/>
    <s v=""/>
    <d v="2025-09-22T00:00:00"/>
    <d v="2025-11-06T00:00:00"/>
    <s v="11/11/2025"/>
    <n v="-9"/>
    <x v="1"/>
    <x v="1"/>
  </r>
  <r>
    <s v="TEN-2113"/>
    <s v="2025"/>
    <x v="0"/>
    <s v="PwC"/>
    <x v="1"/>
    <x v="84"/>
    <x v="5"/>
    <x v="23"/>
    <s v="Property, Plant, and Equipment"/>
    <s v="Fixed Assets"/>
    <x v="7"/>
    <s v="Moderate"/>
    <s v=""/>
    <s v=""/>
    <s v="Vallejo 2025 (PT - Full Scope)"/>
    <s v="Inconsistent asset identification and inadequate asset tagging_x000a_"/>
    <s v="During the Fixed Assets physical inventory, the following were identified: ​_x000a__x000a_For a sample of 20 assets validated, 13 samples did not have the tag according to Active-AF system. This was due to during the 2023 physical inventory the Fixed Assets were tagged physically by an external service provider with a new plate (fixed asset number) but this new number was not updated into Activ system. ​_x000a__x000a_Physical care of tags with enhancement opportunity, 2 tags were identified for the sample selected that were painted over and several more tag painted out of the sample, Management noted that those tags were painted during machinery maintenance (partially scraped to read)."/>
    <s v="No"/>
    <s v="Local management should implement controls to ensure the information in Active- AF system is updated. _x000a_Management should request to the system: “Active-AF” vendor third party, to create a new layout with the new tags to update the information into the system, since this cannot be done by the company itself._x000a_Management should relocate or re‑issue tags obstructed by modifications; also prohibit painting over tags and require protection during maintenance._x000a_"/>
    <s v="Investigate if open AF can be updated to reflect current tag number and update where possible; this process should be coordinated by Fernanda Jardon and ACTIVE AF system Team. Continue _x000a_Map tag numbers to existing assets to ensure reconciliation between old and new tag numbers._x000a_Re-tag assets with missing tags."/>
    <x v="0"/>
    <x v="11"/>
    <s v=""/>
    <s v="Plant Controller (Edgar Gutierrez)_x000a_"/>
    <s v="Open"/>
    <s v=""/>
    <x v="3"/>
    <s v=""/>
    <s v=""/>
    <s v="Not Completed"/>
    <s v="Chawla"/>
    <s v=""/>
    <s v=""/>
    <s v=""/>
    <s v=""/>
    <s v=""/>
    <s v=""/>
    <s v=""/>
    <s v=""/>
    <s v=""/>
    <s v=""/>
    <s v=""/>
    <s v=""/>
    <s v=""/>
    <s v=""/>
    <s v=""/>
    <s v=""/>
    <s v=""/>
    <d v="2025-09-22T00:00:00"/>
    <d v="2025-11-06T00:00:00"/>
    <s v="11/11/2025"/>
    <n v="-130"/>
    <x v="1"/>
    <x v="1"/>
  </r>
  <r>
    <s v="TEN-2114"/>
    <s v="2025"/>
    <x v="0"/>
    <s v="PwC"/>
    <x v="1"/>
    <x v="84"/>
    <x v="5"/>
    <x v="23"/>
    <s v="Physical Security"/>
    <s v="Precious Metals"/>
    <x v="33"/>
    <s v="Moderate"/>
    <s v=""/>
    <s v=""/>
    <s v="Vallejo 2025 (PT - Full Scope)"/>
    <s v="Weaknesses in Precious Metals Handling and Custody Controls _x000a_"/>
    <s v="Through investigation, it was noted that precious materials are not subject to adequate custody controls once removed from the vault. ​_x000a__x000a_While exit passes and vault exchange vouchers are completed, materials may remain unattended (e.g., a vial observed at a workstation during mealtime). Staff are not subject to additional pat-down search. As a result, items can be carried by hand across the plant without proper tracking."/>
    <s v="No"/>
    <s v="Local management should strengthen custody controls over precious materials once removed from the vault. Specifically, management should:_x000a_Establish defined transfer procedures, including designated routes, required escorts, or two-party handoffs._x000a_Enhance physical security measures, such as pat-down search when leaving workstation._x000a_Require that precious materials are never left unattended outside the vault, with clear accountability assigned at each stage of custody._x000a_These measures will help safeguard high-value assets, reduce the risk of misappropriation or loss, and ensure compliance with corporate security standards._x000a_"/>
    <s v="When the operator goes out to eat, he or she must hand the necessary material container to the supervisor._x000a_If the supervisor is absent, the operator must call the patrimonial security guard to keep it locked."/>
    <x v="0"/>
    <x v="10"/>
    <s v=""/>
    <s v="VSM Assembly Plant (Isidoro Mora), Patrimonial Security (Mario Dominguez)."/>
    <s v="Open"/>
    <s v=""/>
    <x v="0"/>
    <s v=""/>
    <s v=""/>
    <s v="Not Completed"/>
    <s v="Chawla"/>
    <s v=""/>
    <s v=""/>
    <s v=""/>
    <s v=""/>
    <s v=""/>
    <s v=""/>
    <s v=""/>
    <s v=""/>
    <s v=""/>
    <s v=""/>
    <s v=""/>
    <s v=""/>
    <s v=""/>
    <s v=""/>
    <s v=""/>
    <s v=""/>
    <s v=""/>
    <d v="2025-09-22T00:00:00"/>
    <d v="2025-11-06T00:00:00"/>
    <s v="11/11/2025"/>
    <n v="21"/>
    <x v="2"/>
    <x v="0"/>
  </r>
  <r>
    <s v="TEN-2115"/>
    <s v="2025"/>
    <x v="0"/>
    <s v="PwC"/>
    <x v="0"/>
    <x v="84"/>
    <x v="5"/>
    <x v="23"/>
    <s v="Purchasing and Payables"/>
    <s v="Period End AP Account Reconciliations"/>
    <x v="0"/>
    <s v="Moderate"/>
    <s v="PAPA-39"/>
    <s v="PAPA-39"/>
    <s v="Vallejo 2025 (PT - Full Scope)"/>
    <s v="Lack of Monitoring Controls over GR/IR Report _x000a_"/>
    <s v="During the review at the Vallejo Plant, it was identified that material receipts outstanding for more than 90 days ($185 K USD) through the examination of the GR/IR report extracted from the SAP system as of June 30,_x000a_2025. ​_x000a__x000a_Furthermore, it was noted that management has not established a formal monitoring control to periodically review the GR/IR report to identify, investigate, and follow up on aged items (older than 90 days).​_x000a__x000a_Aging amounts of items by year:​_x000a__x000a_2022 Amounting: $2.8 K USD​_x000a__x000a_2023 Amounting: $4.3 K USD​_x000a__x000a_2024 Amounting: $87.9 K USD​_x000a__x000a_2025 Amounting: $90 K USD​_x000a__x000a_Totaling: $185 K USD"/>
    <s v="No"/>
    <s v="Local management should establish a formal monitoring control over the GR/IR report to ensure timely identification and resolution of aged items._x000a_Define a periodic review process (e.g., monthly or quarterly) for extracting and analyzing the GR/IR report._x000a_Assign clear accountability to Finance or Procurement for investigating on items outstanding beyond established thresholds (e.g., 90 days)._x000a_Require management review and approval of the follow-up performed, with documentation retained as evidence of oversight._x000a_Implement escalation procedures for unresolved or high-value items to ensure corrective action in a timely manner._x000a_"/>
    <s v="All items identified in the monthly AP reconciliation with an aging higher than 90 days will be researching and applied to AP SAP module as correspond._x000a_In the case of Items with an aging higher than 90 which cannot be applied to AP module, will be requested approval from Regional Controller to be reclassified to P&amp;L accounts._x000a_In the monthly AP account reconciliation should be validated by Plant Controller that no item in the GR/R account has aging higher than 90 days."/>
    <x v="0"/>
    <x v="3"/>
    <s v=""/>
    <s v="Plant Controller (Edgar Gutierrez)"/>
    <s v="Open"/>
    <s v=""/>
    <x v="2"/>
    <s v=""/>
    <s v=""/>
    <s v="Not Completed"/>
    <s v="Chawla"/>
    <s v="C, E/O"/>
    <s v=""/>
    <s v=""/>
    <s v=""/>
    <s v=""/>
    <s v=""/>
    <s v=""/>
    <s v=""/>
    <s v=""/>
    <s v=""/>
    <s v=""/>
    <s v=""/>
    <s v=""/>
    <s v=""/>
    <s v=""/>
    <s v=""/>
    <s v=""/>
    <d v="2025-09-22T00:00:00"/>
    <d v="2025-11-06T00:00:00"/>
    <s v="11/11/2025"/>
    <n v="-9"/>
    <x v="1"/>
    <x v="1"/>
  </r>
  <r>
    <s v="TEN-2116"/>
    <s v="2025"/>
    <x v="0"/>
    <s v="PwC"/>
    <x v="0"/>
    <x v="7"/>
    <x v="3"/>
    <x v="6"/>
    <s v="Production and Inventory"/>
    <s v="Inventory Reconciliation"/>
    <x v="20"/>
    <s v="Moderate"/>
    <s v="PINV-01"/>
    <s v="PINV-01"/>
    <s v="Kontich, Belgium 2025 (DRiV - Full Scope)"/>
    <s v="Discrepancies in inventory between SAP and Manhattan"/>
    <s v="Kontich uses a warehouse management system (Manhattan) which is interfaced with SAP (their accounting system). To ensure that the physical inventory matches the inventory recorded in Manhattan and SAP, the warehousing team is responsible for performing physical inventory cycle counts on a daily basis, in line with the Group's Physical Inventory Count Policy (SPI No. 0-08). A tolerable accuracy level (min. 97% of total inventory in Manhattan) is acceptable. At Kontich, these cycle counts are performed at night to avoid disrupting operations during working hours. The cycle count was reperformed on 26/06/2025 for a sample of inventory items counted during the night of 25/06/2025 - 26/06/2025, during which the following was identified:​_x000a__x000a_For 1 (Material PE-TC-1032) out of 10 inventory items tested, the physical inventory (861_x000a_units) did not match the inventory amount as per SAP (875 units), resulting in a difference of 228 EUR. While the stock count amount as per Manhattan was correct, the amount as per SAP did not reflect the same value, due to a synchronization issue. Since differences do arise between SAP and Manhattan (for eg due to delays in synchronization), a reconciliation is performed by the Inventory Manager to identify and resolve these differences. However, in her long-term absence (including 26/06/2025), the reconciliation was not performed._x000a_​_x000a_In the meantime, the stock amount in SAP was manually adjusted to align with the_x000a_physical stock and stock amount in Manhattan."/>
    <s v="No"/>
    <s v="Designate a back-up personnel to perform the reconciliations in the absence of the Inventory ​_x000a_Manager to limit the extent of errors over extended periods of time.​_x000a__x000a_See recommendations under Observation 2 for the implementation of SOPs."/>
    <s v="Management has appointed a new inventory manager. A procedure will be developed to identify and resolve differences between Manhattan and SAP on a weekly basis. This procedure will be documented and stored in a central place so that in absence of the inventory manager the process can be taken over by other team members within a reasonable time frame.​"/>
    <x v="0"/>
    <x v="19"/>
    <s v=""/>
    <s v="Nick Declercq (Senior Manager DC Operations)"/>
    <s v="Open"/>
    <s v=""/>
    <x v="2"/>
    <s v=""/>
    <s v=""/>
    <s v="Not Completed"/>
    <s v="Chawla"/>
    <s v="A, C, E/O"/>
    <s v=""/>
    <s v=""/>
    <s v=""/>
    <s v=""/>
    <s v=""/>
    <s v=""/>
    <s v=""/>
    <s v=""/>
    <s v=""/>
    <s v=""/>
    <s v=""/>
    <s v=""/>
    <s v=""/>
    <s v=""/>
    <s v=""/>
    <s v=""/>
    <d v="2025-05-30T00:00:00"/>
    <d v="2025-11-05T00:00:00"/>
    <s v="11/11/2025"/>
    <n v="-24"/>
    <x v="1"/>
    <x v="1"/>
  </r>
  <r>
    <s v="TEN-2117"/>
    <s v="2025"/>
    <x v="0"/>
    <s v="PwC"/>
    <x v="1"/>
    <x v="7"/>
    <x v="3"/>
    <x v="6"/>
    <s v="Period End Financial Reporting"/>
    <s v="Governance and Oversight"/>
    <x v="35"/>
    <s v="Moderate"/>
    <s v=""/>
    <s v=""/>
    <s v="Kontich, Belgium 2025 (DRiV - Full Scope)"/>
    <s v="Key tasks were not able to be performed due to head-count_x000a_reduction and lack of critical task analysis and SOPs"/>
    <s v="The Kontich site has not conducted a critical task analysis to identify essential control_x000a_activities or assign backups for key roles. When recent headcount reductions_x000a_occurred, management lacked clarity on which responsibilities were critical to_x000a_ongoing operations, resulting in certain key controls not being performed.​_x000a__x000a_Due to the absence of detailed Standard Operating Procedures (SOPs), remaining_x000a_team members were unable to execute or validate complex tasks previously handled_x000a_by specific individuals. For example, management could not reperform the Excess_x000a_and Obsolete (E&amp;O) Inventory Reserve calculation after the responsible accountant’s_x000a_departure, and stock reconciliations between Manhattan and SAP were left_x000a_incomplete.​_x000a__x000a_This gap highlights a broader dependency on individual knowledge rather than_x000a_documented processes. Establishing formal SOPs and conducting a structured_x000a_critical task analysis would help ensure business continuity, cross-training, and_x000a_consistent control execution during personnel changes."/>
    <s v="No"/>
    <s v="Design detailed Standard Operating Procedures and store in central location for key controls, especially ​_x000a_for more complex ones, to enable replacement employees to perform the controls in the absence of the main control owner.​_x000a__x000a_Perform critical task analysis to understand the extent and concentration of task distribution and to identify key points of failure"/>
    <s v="The location does not have sufficient finance resources to have backups for any of the critical activities – and the transition of any workload,  even with a SOP will take weeks (IA asked next day after staff member left).  We will prepare Standard Operating Procedure documents which will be stored in a central location for key controls. These SOP will include steps for required review and analysis, for which experience is needed to be able to perform the review"/>
    <x v="0"/>
    <x v="11"/>
    <s v=""/>
    <s v="Mike Haward, Finance Director​"/>
    <s v="Open"/>
    <s v=""/>
    <x v="3"/>
    <s v=""/>
    <s v=""/>
    <s v="Not Completed"/>
    <s v="Chawla"/>
    <s v=""/>
    <s v=""/>
    <s v=""/>
    <s v=""/>
    <s v=""/>
    <s v=""/>
    <s v=""/>
    <s v=""/>
    <s v=""/>
    <s v=""/>
    <s v=""/>
    <s v=""/>
    <s v=""/>
    <s v=""/>
    <s v=""/>
    <s v=""/>
    <s v=""/>
    <d v="2025-05-30T00:00:00"/>
    <d v="2025-11-05T00:00:00"/>
    <s v="11/11/2025"/>
    <n v="-130"/>
    <x v="1"/>
    <x v="1"/>
  </r>
  <r>
    <s v="TEN-2118"/>
    <s v="2025"/>
    <x v="0"/>
    <s v="PwC"/>
    <x v="1"/>
    <x v="7"/>
    <x v="3"/>
    <x v="6"/>
    <s v="Period End Financial Reporting"/>
    <s v="Governance and Oversight"/>
    <x v="35"/>
    <s v="Moderate"/>
    <s v=""/>
    <s v=""/>
    <s v="Kontich, Belgium 2025 (DRiV - Full Scope)"/>
    <s v="Lack of monitoring of services provided by Shared Service Center in Bucharest and a lack of monitoring of the services provided by a third-party service provider"/>
    <s v="Kontich outsources several activities to SSC Bucharest related to AR, AP, Treasury, Fixed Assets and G/L, relying on the SSC’s internal oversight procedures to maintain accurate financial records. ​_x000a__x000a_SSC Bucharest utilities a third-party service provider, reporting to the SSC Bucharest team, to assist with AP activities (ex. invoice validation and processing). Both SSC and the local Kontich Finance team reported recurring issues with accuracy, including incorrect invoice amounts and vendor numbers. ​_x000a__x000a_The extent of these errors cannot be quantified, as there is no structured or periodic assessment of the third-party’s compliance with the SLA. This gap limits visibility into error frequency, root causes, and overall performance. ​_x000a__x000a_SSC escalated the issues to the provider, resulting in refresher training and enhanced managerial review beginning June 2025 but has seen little improvement."/>
    <s v="No"/>
    <s v="Implement a formal, periodic service level agreement (‘SLA’) performance reviews with defined KPIs and error impact assessment.​_x000a__x000a_Maintain an error log at SSC Bucharest and report monthly to track trends and improvements.​_x000a__x000a_Implement a clear escalation process for significant or recurring non-performance."/>
    <s v="Define/Redefine SLA &amp; KPI Framework for the outsourcing provider for Kontich location specifically  (accuracy %, timeliness %,  escalation closure time) for AP process – 31 Dec 25​_x000a__x000a_Implement Monthly Governance meeting - formal performance dashboard covering KPIs, trends, and issue log – 31 Dec 25​_x000a__x000a_Create  Error Log in Genpact covering AP capturing error type, root cause, responsible party, impact, and corrective action 31 Jan 26​_x000a__x000a_Implement Corrective Training &amp; Root Cause Reviews – targeted refreshers based on top 3 recurring errors 31 Jan 26"/>
    <x v="0"/>
    <x v="30"/>
    <s v=""/>
    <s v="Sayantan Bose (GP Driv Ops Leader) + Genpact AP Manager DRiV  Global Process Leader+ Head of Global Services"/>
    <s v="Open"/>
    <s v=""/>
    <x v="3"/>
    <s v=""/>
    <s v=""/>
    <s v="Not Completed"/>
    <s v="Chawla"/>
    <s v=""/>
    <s v=""/>
    <s v=""/>
    <s v=""/>
    <s v=""/>
    <s v=""/>
    <s v=""/>
    <s v=""/>
    <s v=""/>
    <s v=""/>
    <s v=""/>
    <s v=""/>
    <s v=""/>
    <s v=""/>
    <s v=""/>
    <s v=""/>
    <s v=""/>
    <d v="2025-05-30T00:00:00"/>
    <d v="2025-11-05T00:00:00"/>
    <s v="11/11/2025"/>
    <n v="-86"/>
    <x v="1"/>
    <x v="1"/>
  </r>
  <r>
    <s v="TEN-2123"/>
    <s v="2025"/>
    <x v="3"/>
    <s v="N/A"/>
    <x v="0"/>
    <x v="73"/>
    <x v="0"/>
    <x v="21"/>
    <s v="Period End Financial Reporting"/>
    <s v="Adjustments &amp; Period-end Close"/>
    <x v="30"/>
    <s v="Moderate"/>
    <s v="PINV-46"/>
    <s v=""/>
    <s v="Smithville (PS) - ICFR 2025"/>
    <s v="Shrinkage Reserve not calculated/ Delay in review &amp; approval of the inventory reserves by the regional controller"/>
    <s v="We reviewed the evidence for Inventory Reserve analysis for March and May 25, and noted that Shrinkage reserve is not calculated at the location which a policy requirement._x000a__x000a_Additionally, the Journal entry for the inventory reserves is posted on 04/01/2025 and 06/02/2025 for the month of Mar 2025 and May 2025 respectively. However, reserves are reviewed and approved by the regional controller on 04/09/2025 and 07/15/2025. Hence, delay noted in the review/approvals and manual journal entries are posted into the system prior to the documented approval from the regional controller._x000a__x000a_Risk: Risk of inadequate inventory value in statements and unauthorized/incorrect adjustments posting in system."/>
    <s v=""/>
    <s v="Shrinkage reserve to be calculated and booked or exceptions shall be documented and approved as per policy requirements._x000a__x000a_Inventory reserves should be reviewed/approved in a timely manner."/>
    <s v="Shrinkage reserve to be evaluated and booked per policy.  _x000a_Journal entries will be sent for approval before posting."/>
    <x v="1"/>
    <x v="10"/>
    <s v=""/>
    <s v="Christi Pereira (Plant Controller)"/>
    <s v="Open"/>
    <s v=""/>
    <x v="0"/>
    <s v=""/>
    <s v=""/>
    <s v="Not Completed"/>
    <s v="Gupta"/>
    <s v="R&amp;O, V"/>
    <s v=""/>
    <s v=""/>
    <s v=""/>
    <s v=""/>
    <s v=""/>
    <s v=""/>
    <s v=""/>
    <s v=""/>
    <s v=""/>
    <s v=""/>
    <s v=""/>
    <s v=""/>
    <s v=""/>
    <s v=""/>
    <s v=""/>
    <s v=""/>
    <d v="2025-09-19T00:00:00"/>
    <d v="2025-09-19T00:00:00"/>
    <s v="11/12/2025"/>
    <n v="21"/>
    <x v="2"/>
    <x v="0"/>
  </r>
  <r>
    <s v="TEN-2124"/>
    <s v="2025"/>
    <x v="3"/>
    <s v="N/A"/>
    <x v="0"/>
    <x v="73"/>
    <x v="0"/>
    <x v="21"/>
    <s v="Payroll"/>
    <s v="Adjustments &amp; Period-end Close"/>
    <x v="0"/>
    <s v="Moderate"/>
    <s v="PAYR-22"/>
    <s v=""/>
    <s v="Smithville (PS) - ICFR 2025"/>
    <s v="Delay in review and approval of payroll reconciliations by the controller"/>
    <s v="We reviewed the weekly Payroll Reconciliations on sample basis and noted that for all the 5 sample weeks reconciliation is reviewed and approved by the controller with a delay. Also, the approval is just made by putting the name and date in excel and no other formal evidence of review is found. _x000a__x000a_Risk of unauthorized/incorrect adjustments postings"/>
    <s v=""/>
    <s v="Payroll reconciliation should be reviewed and approved in a timely manner and the approvals shall be documented as evidence. "/>
    <s v="Reconciliations will be sent through Teams approval for each month to be reviewed and approved before month-end."/>
    <x v="1"/>
    <x v="10"/>
    <s v=""/>
    <s v="Christi Pereira (Plant Controller)"/>
    <s v="Open"/>
    <s v=""/>
    <x v="0"/>
    <s v=""/>
    <s v=""/>
    <s v="Not Completed"/>
    <s v="Gupta"/>
    <s v="A, C, CO, E/O, P&amp;D, R&amp;O, V"/>
    <s v=""/>
    <s v=""/>
    <s v=""/>
    <s v=""/>
    <s v=""/>
    <s v=""/>
    <s v=""/>
    <s v=""/>
    <s v=""/>
    <s v=""/>
    <s v=""/>
    <s v=""/>
    <s v=""/>
    <s v=""/>
    <s v=""/>
    <s v=""/>
    <d v="2025-09-19T00:00:00"/>
    <d v="2025-09-19T00:00:00"/>
    <s v="11/12/2025"/>
    <n v="21"/>
    <x v="2"/>
    <x v="0"/>
  </r>
  <r>
    <s v="TEN-2125"/>
    <s v="2025"/>
    <x v="3"/>
    <s v="N/A"/>
    <x v="0"/>
    <x v="73"/>
    <x v="0"/>
    <x v="21"/>
    <s v="Production and Inventory"/>
    <s v="Adjustments &amp; Period-end Close"/>
    <x v="0"/>
    <s v="Moderate"/>
    <s v="PEFR-68"/>
    <s v=""/>
    <s v="Smithville (PS) - ICFR 2025"/>
    <s v="Inadequate Supporting documentation and delay in review/approval"/>
    <s v="We reviewed the 10 samples selected for accounts reconciliations from the month of Mar 25 and May 25, below exceptions were noted:_x000a__x000a_•_x0009_Vouchered/ Unvouchered Accounts Payable: There is no process of detailed aging analysis and maintaining review remarks for the aged payable items. Also, substantial delay noted in reviewing/approving the reconciliation._x000a__x000a_•_x0009_Accounts Receivable Contract: The calculation for the amount posted as material recovery is not attached with the reconciliation of March 2025._x000a__x000a_•_x0009_Gross Plant, Property &amp; Equipment: Difference to GL as per the supporting documentation is not tying to the amount shown as a reconciling item due to PA Assets revaluation entry posted in the month of Feb 24. Also, this reconciling item was not resolved and an action plan to resolve this was not developed yet._x000a__x000a_•_x0009_Accruals: Proper supporting documentation is not included in the reconciliation file for accruals and reconciling items. Also, substantial delay noted in reviewing/approving the reconciliation for March 2025._x000a__x000a_•_x0009_Customer Reimbursed Tooling: Substantial delay noted in reviewing/approving the reconciliation for May 2025._x000a__x000a_•_x0009_Prepaid Expense: Amount booked as prepaid expense is actually a reward credited into the location's account under a scheme. The amount booked as prepaid expense is actually in the nature of accrued income. Also, substantial delay noted in reviewing/approving the reconciliation for March 2025._x000a__x000a_Also, the approval is just made by putting the name and date in excel for all the reconciliations and no other formal evidence of review is found._x000a__x000a_Risk: Adjustments posted after closing the general ledger are not authorized"/>
    <s v=""/>
    <s v="Reconciliations should be reviewed timely and proper supporting documentation to be maintained as per policy requirements._x000a__x000a_Reconciling items shall be researched and resolved in a timely manner._x000a__x000a_Prepaid expense shall be reclassified as accrued income after analyzing the nature of transaction."/>
    <s v="PPE reconciliation has been discussed with Holly York and we are developing a plan to resolve this in the SAP subledger.  _x000a__x000a_Reconciliations will be reviewed timely per policy requirements.  Teams approval process will be used to document these approvals._x000a__x000a_Prepaid expense will be reviewed and resolved by the 9/30 due date."/>
    <x v="1"/>
    <x v="10"/>
    <s v=""/>
    <s v="Christi Pereira (Plant Controller)"/>
    <s v="Open"/>
    <s v=""/>
    <x v="0"/>
    <s v=""/>
    <s v=""/>
    <s v="Not Completed"/>
    <s v="Gupta"/>
    <s v="A, C, CO, E/O, P&amp;D, R&amp;O, V"/>
    <s v=""/>
    <s v=""/>
    <s v=""/>
    <s v=""/>
    <s v=""/>
    <s v=""/>
    <s v=""/>
    <s v=""/>
    <s v=""/>
    <s v=""/>
    <s v=""/>
    <s v=""/>
    <s v=""/>
    <s v=""/>
    <s v=""/>
    <s v=""/>
    <d v="2025-09-19T00:00:00"/>
    <d v="2025-09-19T00:00:00"/>
    <s v="11/12/2025"/>
    <n v="21"/>
    <x v="2"/>
    <x v="0"/>
  </r>
  <r>
    <s v="TEN-2126"/>
    <s v="2025"/>
    <x v="3"/>
    <s v="N/A"/>
    <x v="0"/>
    <x v="51"/>
    <x v="2"/>
    <x v="20"/>
    <s v="Period End Financial Reporting"/>
    <s v="Adjustments &amp; Period-end Close"/>
    <x v="0"/>
    <s v="Moderate"/>
    <s v="PEFR-68"/>
    <s v=""/>
    <s v="New Delhi (Powertrain) - ICFR 2025"/>
    <s v="Documentation supporting calculations and reasons for long outstanding items in reconciliations were not properly explained"/>
    <s v="We reviewed the reconciliations for March and May 2025 and following were noted:_x000a__x000a_Accounts Payable/Receivable: Detailed aging analysis and review remarks for the aged payable/receivable items is not included with the reconciliation. It was informed that aged items are reviewed and discussed separately in the calls up to the level of CFO however, there is no process of documenting the comments with the reconciliation file._x000a__x000a_Fixed Assets:  There are unexplained variances in category-wise asset balances. The balance as per SAP GL and Onestream ledger agrees at a total level. It was informed that reconciliation is prepared only on gross basis and category wise balances are unreconciled. Below are the category wise variances:_x000a_Risk: Risk of reporting incorrect account balances in financials"/>
    <s v=""/>
    <s v="The reasons and action plan to resolve long outstanding items should be included in the reconciliation_x000a__x000a_Category-wise asset balances should be reconciled, and difference should be explained with the reconciliation."/>
    <s v="All account reconciliations will be modified to ensure that all contain a clear description of the components of the balance as well as the date the item was included in the reconciliation._x000a_For all A/R and A/P reconciliations that contain an aging by customer/vendor – comments will be added to any significant, unusual, aged items._x000a_Inventory and Fixed Asset subledgers will include an acknowledgement statement that the detail trial balance has been reviewed for any unusual or significant part numbers/fixed assets._x000a_The Attributes of a Quality Reconciliation provided by the Regional Segment Controller will be shared with all preparers and approvers of account reconciliations._x000a_Fixed Asset subledger will be reconciled to OS by Fixed Asset category and any differences will be explained and an action plan will be included in the reconciliation."/>
    <x v="1"/>
    <x v="31"/>
    <s v=""/>
    <s v="Shreya Malhan (DGM Treasury)"/>
    <s v="Open"/>
    <s v=""/>
    <x v="1"/>
    <s v=""/>
    <s v=""/>
    <s v="Not Completed"/>
    <s v="Gupta"/>
    <s v="A, C, CO, E/O, P&amp;D, R&amp;O, V"/>
    <s v=""/>
    <s v=""/>
    <s v=""/>
    <s v=""/>
    <s v=""/>
    <s v=""/>
    <s v=""/>
    <s v=""/>
    <s v=""/>
    <s v=""/>
    <s v=""/>
    <s v=""/>
    <s v=""/>
    <s v=""/>
    <s v=""/>
    <s v=""/>
    <d v="2025-09-17T00:00:00"/>
    <d v="2025-09-17T00:00:00"/>
    <s v="11/12/2025"/>
    <n v="-38"/>
    <x v="1"/>
    <x v="1"/>
  </r>
  <r>
    <s v="TEN-2127"/>
    <s v="2025"/>
    <x v="3"/>
    <s v="N/A"/>
    <x v="0"/>
    <x v="83"/>
    <x v="2"/>
    <x v="9"/>
    <s v="Production and Inventory"/>
    <s v="Receiving"/>
    <x v="21"/>
    <s v="Major"/>
    <s v="PINV-03"/>
    <s v=""/>
    <s v="Coventry (Powertrain) - ICFR 2025"/>
    <s v="Lack of evidence to ensure if the quantity is verified at the time of receiving"/>
    <s v="We reviewed the evidence of Inventory Receiving for the 15 samples and noted that currently there is no process of stamping, signing and dating the invoice as per counting performed at receiving. It was informed that finance team has instructed the receiving team to stamp the invoices basis counting, but the process is not followed by the team due to manpower constraint. _x000a__x000a_Risk: Inventory quantities recorded in the inventory system do not agree to physical quantities received"/>
    <s v=""/>
    <s v="Evidence should be maintained to ensure that material was counted at the time of receiving."/>
    <s v="We are planning to hire an individual for this process to ensure the quantity is verified at the time of receiving. "/>
    <x v="0"/>
    <x v="8"/>
    <s v=""/>
    <s v="Iain Cameron (Plant Controller)"/>
    <s v="Open"/>
    <s v=""/>
    <x v="3"/>
    <s v=""/>
    <s v=""/>
    <s v="Not Completed"/>
    <s v="Gupta"/>
    <s v="A"/>
    <s v=""/>
    <s v=""/>
    <s v=""/>
    <s v=""/>
    <s v=""/>
    <s v=""/>
    <s v=""/>
    <s v=""/>
    <s v=""/>
    <s v=""/>
    <s v=""/>
    <s v=""/>
    <s v=""/>
    <s v=""/>
    <s v=""/>
    <s v=""/>
    <d v="2025-10-08T00:00:00"/>
    <d v="2025-10-09T00:00:00"/>
    <s v="11/12/2025"/>
    <n v="-71"/>
    <x v="1"/>
    <x v="1"/>
  </r>
  <r>
    <s v="TEN-2128"/>
    <s v="2025"/>
    <x v="3"/>
    <s v="N/A"/>
    <x v="0"/>
    <x v="83"/>
    <x v="2"/>
    <x v="9"/>
    <s v="Property, Plant, and Equipment"/>
    <s v="Depreciation, subsequent measurement and impairment"/>
    <x v="6"/>
    <s v="Moderate"/>
    <s v="PPAE-16"/>
    <s v=""/>
    <s v="Coventry (Powertrain) - ICFR 2025"/>
    <s v="Inadequate review and documentation for CIP Review"/>
    <s v="We reviewed the CIP review evidence for 1st and 2nd quarter of 2025, it is noted that currently there is no process of taking the sign-off from the engineering team and plant manager on CIP review sheet. The review documents are only signed by Plant Controller. As such it was not evident if the fixed assets project owners were also included in the CIP discussion and reviews._x000a__x000a_Risk: Construction in progress is not reflected as placed in service in a timely manner"/>
    <s v=""/>
    <s v="CIP review documents should be reviewed and signed by all the departments involved during the review meetings. "/>
    <s v="Sign-off will be taken from the departments head included during the CIP review at the quarter ends. "/>
    <x v="0"/>
    <x v="3"/>
    <s v=""/>
    <s v="Iain Cameron (Plant Controller)"/>
    <s v="Open"/>
    <s v=""/>
    <x v="2"/>
    <s v=""/>
    <s v=""/>
    <s v="Not Completed"/>
    <s v="Gupta"/>
    <s v="A, C, CO, E/O"/>
    <s v=""/>
    <s v=""/>
    <s v=""/>
    <s v=""/>
    <s v=""/>
    <s v=""/>
    <s v=""/>
    <s v=""/>
    <s v=""/>
    <s v=""/>
    <s v=""/>
    <s v=""/>
    <s v=""/>
    <s v=""/>
    <s v=""/>
    <s v=""/>
    <d v="2025-10-08T00:00:00"/>
    <d v="2025-10-09T00:00:00"/>
    <s v="11/12/2025"/>
    <n v="-9"/>
    <x v="1"/>
    <x v="1"/>
  </r>
  <r>
    <s v="TEN-2129"/>
    <s v="2025"/>
    <x v="3"/>
    <s v="N/A"/>
    <x v="0"/>
    <x v="83"/>
    <x v="2"/>
    <x v="9"/>
    <s v="Period End Financial Reporting"/>
    <s v="Adjustments &amp; Period-end Close"/>
    <x v="0"/>
    <s v="Moderate"/>
    <s v="PEFR-68"/>
    <s v=""/>
    <s v="Coventry (Powertrain) - ICFR 2025"/>
    <s v="Inadequate Supporting documentation and review/approval"/>
    <s v="We reviewed 10 Accounts reconciliations for March and May 25, below exceptions were noted:_x000a__x000a_•_x0009_There is no process of maintaining review remarks for the aged payable/receivable items. _x000a__x000a_•_x0009_Reconciliations for the month of March 2025 were not reviewed and approved by the Plant finance controller._x000a__x000a_•_x0009_A difference of GBP 90 is noted for the prepaid insurance calculation. Below are the details:_x000a__x000a_Property Damage as per invoice: GBP 93,530_x000a__x000a_Property Damage as per Books: GBP 93,440_x000a__x000a_Risk: Adjustments posted after closing the general ledger are not authorized"/>
    <s v=""/>
    <s v="Aging analysis and review comments to be included along with AP/AR reconciliation._x000a__x000a_Also, reconciliations shall be reviewed timely and proper supporting documentation to be maintained as per policy requirements._x000a_ "/>
    <s v="Aging analysis and comments will be included and attached with monthly AP/AR reconciliations._x000a__x000a_Reconciliations will be reviewed timely per policy requirements.  _x000a__x000a_Manual entry to be made in current year to correct the difference of GBP 90 in Prepaid insurance."/>
    <x v="0"/>
    <x v="3"/>
    <s v=""/>
    <s v="Iain Cameron (Plant Controller)"/>
    <s v="Open"/>
    <s v=""/>
    <x v="2"/>
    <s v=""/>
    <s v=""/>
    <s v="Not Completed"/>
    <s v="Gupta"/>
    <s v="A, C, CO, E/O, P&amp;D, R&amp;O, V"/>
    <s v=""/>
    <s v=""/>
    <s v=""/>
    <s v=""/>
    <s v=""/>
    <s v=""/>
    <s v=""/>
    <s v=""/>
    <s v=""/>
    <s v=""/>
    <s v=""/>
    <s v=""/>
    <s v=""/>
    <s v=""/>
    <s v=""/>
    <s v=""/>
    <d v="2025-10-08T00:00:00"/>
    <d v="2025-10-09T00:00:00"/>
    <s v="11/12/2025"/>
    <n v="-9"/>
    <x v="1"/>
    <x v="1"/>
  </r>
  <r>
    <s v="TEN-2130"/>
    <s v="2025"/>
    <x v="3"/>
    <s v="N/A"/>
    <x v="0"/>
    <x v="85"/>
    <x v="2"/>
    <x v="10"/>
    <s v="Production and Inventory"/>
    <s v="Adjustments &amp; Period-end Close for Production and inventory"/>
    <x v="20"/>
    <s v="Moderate"/>
    <s v="PINV-01"/>
    <s v=""/>
    <s v="Tepotzotlan - Sealing Systems (Powertrain) - ICFR 2025"/>
    <s v="Group policy not followed for cycle count"/>
    <s v="We reviewed the cycle count process for 2025 below exceptions were noted:_x000a__x000a_•_x0009_Cycle counts are considered as additional control to keep the inventory on hand reasonable and these are taken according with the necessity of the operation every day, parts selected to be count coming from the discrepancies in the posting of production every day (MUV or COGI). As such the group policy is not followed for the cycle count planning and implementation. It was informed that Plant relies on the annual wall to wall count results for placing reliance on the inventory._x000a__x000a_•_x0009_There are no written documented procedures for the cycle count as required by the policy._x000a__x000a_•_x0009_There is no documented evidence to show that a second count is conducted for inventory with variances for cycle count. It was informed that second count is conducted physically but only the final quantity is kept as evidence._x000a__x000a_Risk: Risk of incorrect inventory value in statements."/>
    <s v=""/>
    <s v="Group policy should be followed for planning the cycle counts._x000a__x000a_Cycle count procedures should be written and documented as per policy requirement._x000a__x000a_Evidence to be maintained to ensure that a second count is conducted for inventory with variances."/>
    <s v="Now we are working on improve the cycle counts according with the policy of the company and developing and tool where we will implement the ABC method for 2026. _x000a__x000a_Cycle count procedures will be written and documented as per policy requirement._x000a__x000a_Evidence will be maintained to show that a second count is conducted for inventory with variances."/>
    <x v="0"/>
    <x v="29"/>
    <s v=""/>
    <s v="Marisa Ambruso (Plant Controller)"/>
    <s v="Open"/>
    <s v=""/>
    <x v="1"/>
    <s v=""/>
    <s v=""/>
    <s v="Not Completed"/>
    <s v="Gupta"/>
    <s v="A, C, E/O"/>
    <s v=""/>
    <s v=""/>
    <s v=""/>
    <s v=""/>
    <s v=""/>
    <s v=""/>
    <s v=""/>
    <s v=""/>
    <s v=""/>
    <s v=""/>
    <s v=""/>
    <s v=""/>
    <s v=""/>
    <s v=""/>
    <s v=""/>
    <s v=""/>
    <d v="2025-09-09T00:00:00"/>
    <d v="2025-10-15T00:00:00"/>
    <s v="11/12/2025"/>
    <n v="-41"/>
    <x v="1"/>
    <x v="1"/>
  </r>
  <r>
    <s v="TEN-2131"/>
    <s v="2025"/>
    <x v="3"/>
    <s v="N/A"/>
    <x v="0"/>
    <x v="85"/>
    <x v="2"/>
    <x v="10"/>
    <s v="Master Data"/>
    <s v="Adjustments &amp; Period-end Close for Revenue &amp; receivables"/>
    <x v="35"/>
    <s v="Major"/>
    <s v="REVE-63"/>
    <s v=""/>
    <s v="Tepotzotlan - Sealing Systems (Powertrain) - ICFR 2025"/>
    <s v="Samples not selected and investigated at the time of periodic review of Price Master changes"/>
    <s v="As per global policy for Master filing controls, sample selection should be 10% of all changes made with a maximum of 20 selections and details of sample items including the supports shall be evidenced. However, while reviewing the evidence for periodic price master review for the sample months of March and May 2025, it is noted that there is no documented evidence that samples were selected during the review to investigate and trace back to source documentation. _x000a__x000a_Additionally, during the transactional testing for 15 samples, it is noted that the price effective date entered in the system varies from the price effective date as per customer purchase order. On further discussion, it is informed that customer PO is received later, and system doesn’t take the back dates as price effective date hence only current date is entered as the price effective date. For the selected samples RCO additionally verified the invoicing between the price effective date as per the customer PO and price effective date as per location’s ERP system. Wherever there is an invoicing in between this period remittances from the customers are verified to ensure that the payment is received as per correct pricing only. However, there is a potential risk of incorrect remittances from the customers due to variations in price effective dates as per location’s ERP system._x000a__x000a_Risk: Unauthorized and incorrect changes in price master data"/>
    <s v=""/>
    <s v="Samples shall be selected for periodic review of price master changes as per policy requirements._x000a__x000a_At the time of new price update in the system, it is to be ensured that the payment for invoices in between the price effective date as per customer purchase order and location’s ERP are received as per the correct pricing."/>
    <s v="Going forward samples will be selected for periodic review of price master changes as per policy requirements._x000a__x000a_We will explore the possibility of automation in the ERP system to allow the back dates as price effective dates in ERP and in the meantime, it will be ensured that the payment for invoices in between the price effective date as per customer purchase order and location’s ERP are received as per the correct pricing."/>
    <x v="2"/>
    <x v="1"/>
    <s v=""/>
    <s v="Marisa Ambruso (Plant Controller)"/>
    <s v="Open"/>
    <s v=""/>
    <x v="1"/>
    <s v=""/>
    <s v=""/>
    <s v="Not Completed"/>
    <s v="Gupta"/>
    <s v="A"/>
    <s v=""/>
    <s v=""/>
    <s v=""/>
    <s v=""/>
    <s v=""/>
    <s v=""/>
    <s v=""/>
    <s v=""/>
    <s v=""/>
    <s v=""/>
    <s v=""/>
    <s v=""/>
    <s v=""/>
    <s v=""/>
    <s v=""/>
    <s v=""/>
    <d v="2025-09-23T00:00:00"/>
    <d v="2025-10-15T00:00:00"/>
    <s v="11/12/2025"/>
    <n v="-40"/>
    <x v="1"/>
    <x v="1"/>
  </r>
  <r>
    <s v="TEN-2132"/>
    <s v="2025"/>
    <x v="3"/>
    <s v="N/A"/>
    <x v="0"/>
    <x v="85"/>
    <x v="2"/>
    <x v="10"/>
    <s v="Period End Financial Reporting"/>
    <s v="Adjustments &amp; Period-end Close for Treasury-Cash &amp; Investments"/>
    <x v="0"/>
    <s v="Moderate"/>
    <s v="PEFR-68"/>
    <s v=""/>
    <s v="Tepotzotlan - Sealing Systems (Powertrain) - ICFR 2025"/>
    <s v="Inadequate Supporting documentation for reconciliations"/>
    <s v="We reviewed 10 accounts reconciliations for March and Jun 25, below exceptions were noted:_x000a__x000a_•_x0009_Accounts Payable – Trade: There is no process of detailed aging analysis and maintaining review remarks for the aged payable items. Currently the ERP system automatically generates the aging summary, but the summary is not further analyzed for vendor wise aged items._x000a__x000a_•_x0009_Accounts Receivable: The aging analysis for Accounts receivable is performed by Shared Services team which is received at a later stage after completing the reconciliations. At present, there is no process to attach the review remarks for the aged items along with the reconciliation. _x000a__x000a_•_x0009_Long Term Operating lease liability: Amount as per Onestream for account 4200.500 (LT Operating lease liability) is not tying with the balance provided in supporting documentation. It was informed that the preparer didn't refresh the sheet to update the onestream balance for the month of June 2025. Hence the supporting sheet shows a difference. The correct balance was confirmed by refreshing the sheet which was tying to the balance as per visual lease. However, the incorrect sheet was printed and attached with the June month’s reconciliation._x000a__x000a_Risk: Adjustments posted after closing the general ledger are not authorized"/>
    <s v=""/>
    <s v="Proper supporting documentation to be maintained as per policy requirements. _x000a_"/>
    <s v="Detailed aging analysis and comments for the aged items will be maintained along with the AP/AR monthly reconciliations._x000a__x000a_Supporting documents attached with the reconciliations will be thoroughly reviewed before signing."/>
    <x v="0"/>
    <x v="19"/>
    <s v=""/>
    <s v="Marisa Ambruso (Plant Controller)"/>
    <s v="Open"/>
    <s v=""/>
    <x v="2"/>
    <s v=""/>
    <s v=""/>
    <s v="Not Completed"/>
    <s v="Gupta"/>
    <s v="A, C, CO, E/O, P&amp;D, R&amp;O, V"/>
    <s v=""/>
    <s v=""/>
    <s v=""/>
    <s v=""/>
    <s v=""/>
    <s v=""/>
    <s v=""/>
    <s v=""/>
    <s v=""/>
    <s v=""/>
    <s v=""/>
    <s v=""/>
    <s v=""/>
    <s v=""/>
    <s v=""/>
    <s v=""/>
    <d v="2025-09-30T00:00:00"/>
    <d v="2025-10-15T00:00:00"/>
    <s v="11/12/2025"/>
    <n v="-24"/>
    <x v="1"/>
    <x v="1"/>
  </r>
  <r>
    <s v="TEN-2133"/>
    <s v="2025"/>
    <x v="3"/>
    <s v="PwC"/>
    <x v="0"/>
    <x v="86"/>
    <x v="6"/>
    <x v="18"/>
    <s v="Documentation"/>
    <s v="Production and costing"/>
    <x v="14"/>
    <s v="Moderate"/>
    <s v="PINV-19"/>
    <s v=""/>
    <s v="Litchfield (Clean Air) - (ICFR - 2025)"/>
    <s v="Inventory variances for May 2025 were not accurately reviewed, resulting in a journal entry posted in SAP that did not reconcile to the required adjustment amount._x000a_The variance amount that was omitted for the month of May'25 is (404.38) USD."/>
    <s v="Per inspection, we noted that the inventory variances for May 2025 were not appropriately reviewed. Specifically, the amounts reflected in the reviewed PDF version did not reconcile with the SAP screenshots, as certain line items from the variance report were omitted by the preparer when preparing the journal entry. The reviewer performed their review based on this incomplete report. Consequently, the journal entry posted into SAP does not align with the total adjustment/variance amount that should have been recorded."/>
    <s v="No"/>
    <s v="1._x0009_Ensure that the preparer includes all variance report line items in the journal entry preparation._x000a__x000a_2._x0009_Reviewers should perform an independent tie-out between the variance report, the supporting SAP screenshots, and the journal entry to confirm completeness and accuracy before approval."/>
    <s v="Moving forward a print screen of the SAP total will be included in the journal entry proving that all lines were included. Review will ensure the tie-out is correct to SAP before approving from October Month End Closing."/>
    <x v="2"/>
    <x v="32"/>
    <s v=""/>
    <s v="Jose Alcocer, Plant Controller"/>
    <s v="Open"/>
    <s v=""/>
    <x v="0"/>
    <s v=""/>
    <s v=""/>
    <s v="Not Completed"/>
    <s v="Gupta"/>
    <s v="A, C, CO, V"/>
    <s v=""/>
    <s v=""/>
    <s v=""/>
    <s v=""/>
    <s v=""/>
    <s v=""/>
    <s v=""/>
    <s v=""/>
    <s v=""/>
    <s v=""/>
    <s v=""/>
    <s v=""/>
    <s v=""/>
    <s v=""/>
    <s v=""/>
    <s v=""/>
    <d v="2025-09-19T00:00:00"/>
    <d v="2025-09-22T00:00:00"/>
    <s v="11/12/2025"/>
    <n v="16"/>
    <x v="2"/>
    <x v="0"/>
  </r>
  <r>
    <s v="TEN-2134"/>
    <s v="2025"/>
    <x v="3"/>
    <s v="PwC"/>
    <x v="0"/>
    <x v="48"/>
    <x v="2"/>
    <x v="5"/>
    <s v="Payroll"/>
    <s v="Adjustments &amp; Period-end Close"/>
    <x v="3"/>
    <s v="Major"/>
    <s v="PAYR-22"/>
    <s v=""/>
    <s v="Patiala (Powertrain) - (ICFR - 2025)"/>
    <s v="Payroll reconciliations were not performed due to the payroll register being under development."/>
    <s v="Per inquiry, we noted that payroll reconciliations were not performed for the period January 2025 through May 2025, as the payroll register was under development by the IT team during that time. Consequently, reconciliations were performed for June 2025 and July 2025 using the Wage Type report as the basis instead of the payroll register. As a result, exceptions were noted."/>
    <s v="No"/>
    <s v="1. Perform payroll reconciliations for all reporting periods once the payroll register is available, including a retrospective reconciliation for the missed months (January–May 2025). _x000a__x000a_2. When the payroll registers or system reports are unavailable (e.g., during IT development or maintenance), implement an approved alternate reconciliation method—such as validated wage type or summary payroll reports—with documented management approval ensuring the control continues to operate effectively even during system transitions. _x000a__x000a_3. Improve communication between Payroll, Accounting, and IT teams to ensure that any system development or downtime is planned around control performance schedules."/>
    <s v="1. Payroll Register testing has been completed and observations have been shared to IT team for necessary changes in salary register. Expected date of completion is 30 October 2025. _x000a__x000a_2. Payroll Reconciliation performed with wage type report (Generated by SAP) as an alternate method till payroll register development under implementation by IT team."/>
    <x v="2"/>
    <x v="1"/>
    <s v=""/>
    <s v="Sameer Chandel, HR Manager"/>
    <s v="Open"/>
    <s v=""/>
    <x v="1"/>
    <s v=""/>
    <s v=""/>
    <s v="Not Completed"/>
    <s v="Gupta"/>
    <s v="A, C, CO, E/O, P&amp;D, R&amp;O, V"/>
    <s v=""/>
    <s v=""/>
    <s v=""/>
    <s v=""/>
    <s v=""/>
    <s v=""/>
    <s v=""/>
    <s v=""/>
    <s v=""/>
    <s v=""/>
    <s v=""/>
    <s v=""/>
    <s v=""/>
    <s v=""/>
    <s v=""/>
    <s v=""/>
    <d v="2025-09-25T00:00:00"/>
    <d v="2025-10-06T00:00:00"/>
    <s v="11/12/2025"/>
    <n v="-40"/>
    <x v="1"/>
    <x v="1"/>
  </r>
  <r>
    <s v="TEN-2135"/>
    <s v="2025"/>
    <x v="3"/>
    <s v="PwC"/>
    <x v="0"/>
    <x v="87"/>
    <x v="6"/>
    <x v="18"/>
    <s v="Property, Plant, and Equipment"/>
    <s v="Depreciation, subsequent measurement and impairment"/>
    <x v="39"/>
    <s v="Moderate"/>
    <s v="PPAE-16"/>
    <s v=""/>
    <s v="Puebla II (FINSA) (CleanAir) - (ICFR - 2025)"/>
    <s v="Review of the capital project status has not been documented appropriately. "/>
    <s v="Per inquiry with management, every month the Finance team meets with the Engineering team to discuss the status of each CWIP project, specifically focusing on projects aged more than 12 months. However, the review is done verbally as both the teams (Finance and Engineering) sit in the same location, and no documentation is retained mentioning the current status and estimated completion date within the CIP review template. Hence, for the selected samples of January and July 2025, we were not able to verify whether a proper review of the capital project status was performed. _x000a_The CWIP balances for the sampled months are as follows:_x000a_January 2025:_x000a_PLT-166 - 3,322,761.01 USD_x000a_PLT-066 - 459,306.13 USD_x000a_July 2025:_x000a_PLT-166 - 4,294,226.74 USD_x000a_PLT-066 - 721,772.60 USD_x000a_"/>
    <s v="No"/>
    <s v="We recommend that the Finance and Engineering teams start documenting the results of their review of the capital project status in the CWIP template. The estimated completion date and explanations for projects aged &gt;12 months should be documented within the ‘Comments’ column within the template."/>
    <s v="One time activity:_x000a_-_x0009_To review CWIP projects more than 12 months &amp; ensure the capitalization._x000a__x000a_Monthly activity:_x000a_-_x0009_Monthly meeting with launch area to review the projects status/progress._x000a_-_x0009_Confirmation by email from launch manager to confirm the expenses to be capitalized. (Excel format, CWIP vs Lauch confirmation)._x000a_-_x0009_Ensure the proper capitalization in the correct period._x000a_-_x0009_CWIP expenses are directly related with a PO (previously authorized)_x000a_-_x0009_Ensure PO´s are booked in the correct project (internal order)_x000a_"/>
    <x v="0"/>
    <x v="10"/>
    <s v=""/>
    <s v="Jose Agustin Peregrina, Plant Finance Leader"/>
    <s v="Open"/>
    <s v=""/>
    <x v="0"/>
    <s v=""/>
    <s v=""/>
    <s v="Not Completed"/>
    <s v="Gupta"/>
    <s v="A, C, CO, E/O"/>
    <s v=""/>
    <s v=""/>
    <s v=""/>
    <s v=""/>
    <s v=""/>
    <s v=""/>
    <s v=""/>
    <s v=""/>
    <s v=""/>
    <s v=""/>
    <s v=""/>
    <s v=""/>
    <s v=""/>
    <s v=""/>
    <s v=""/>
    <s v=""/>
    <d v="2025-09-15T00:00:00"/>
    <d v="2025-09-19T00:00:00"/>
    <s v="11/12/2025"/>
    <n v="21"/>
    <x v="2"/>
    <x v="0"/>
  </r>
  <r>
    <s v="TEN-2136"/>
    <s v="2025"/>
    <x v="3"/>
    <s v="PwC"/>
    <x v="0"/>
    <x v="60"/>
    <x v="2"/>
    <x v="5"/>
    <s v="Payroll"/>
    <s v="Adjustments &amp; Period-end Close"/>
    <x v="0"/>
    <s v="Major"/>
    <s v="PAYR-22"/>
    <s v=""/>
    <s v="Bangalore Rings (Powertrain) - (ICFR - 2025)"/>
    <s v="Proper subledger support is not maintained for the payroll reconciliation."/>
    <s v="During an inquiry held on September 10, 2025, with GS Manjunath (Finance Manager), we noted that the payroll reconciliation performed by Finance is inherently constrained by the information available in SAP. Detailed, employee-level payroll data is maintained by HR and is not accessible in SAP for Finance. The support provided by HR consists of a manually created summary with limited details and is not a system-generated register. Manjunath further explained that there is no current process to extract a payroll register from SAP, either for payment processing or for use in payroll reconciliation. In light of these constraints, the control was assessed as Not Effective in the 2025 Self-Testing._x000a__x000a_We also noted that the control is not operating effectively in practice because no proper subledger-level support is retained to substantiate the reconciliation to detailed transactions. In addition, the manual support received from HR is not consolidated into a single reconciliation workbook._x000a__x000a_"/>
    <s v="No"/>
    <s v="We recommend that the Finance and HR teams work with the IT team to create a payroll register that will show the summarized amounts of employee count, salary, PF, tax, deductions, etc., which can be used as support for payment processing as well as the payroll reconciliation."/>
    <s v="HR will check with IT Team for the possible generation of the report which will match with employee wise data and summary.  Ticket will be raised by HR on this."/>
    <x v="2"/>
    <x v="11"/>
    <s v=""/>
    <s v="Prakash Shivanna (Head HR)"/>
    <s v="Open"/>
    <s v=""/>
    <x v="3"/>
    <s v=""/>
    <s v=""/>
    <s v="Not Completed"/>
    <s v="Gupta"/>
    <s v="A, C, CO, E/O, P&amp;D, R&amp;O, V"/>
    <s v=""/>
    <s v=""/>
    <s v=""/>
    <s v=""/>
    <s v=""/>
    <s v=""/>
    <s v=""/>
    <s v=""/>
    <s v=""/>
    <s v=""/>
    <s v=""/>
    <s v=""/>
    <s v=""/>
    <s v=""/>
    <s v=""/>
    <s v=""/>
    <d v="2025-09-10T00:00:00"/>
    <d v="2025-10-03T00:00:00"/>
    <s v="11/12/2025"/>
    <n v="-130"/>
    <x v="1"/>
    <x v="1"/>
  </r>
  <r>
    <s v="TEN-2137"/>
    <s v="2025"/>
    <x v="3"/>
    <s v="PwC"/>
    <x v="0"/>
    <x v="60"/>
    <x v="2"/>
    <x v="5"/>
    <s v="Period End Financial Reporting"/>
    <s v="Adjustments &amp; Period-end Close"/>
    <x v="18"/>
    <s v="Moderate"/>
    <s v="PEFR-78"/>
    <s v=""/>
    <s v="Bangalore Rings (Powertrain) - (ICFR - 2025)"/>
    <s v="Periodic review of the manual journal entry listing was not documented appropriately."/>
    <s v="Per inquiry with GS Manjunath, Finance Manager, we noted that at month-end, the Finance team reviews the manual journal entries posted in detail. The listing is shared with all the members who have access to post entries, and they review the respective entries posted by them and sign off on the list. The list is finally sent to Shalini K, Plant Controller, who reviews the entries for reasonableness based on materiality and signs off on the list, indicating review and approval. However, we noted that the reviewers had not specified the review date within the listing. No additional evidence (e.g., email) was retained to evidence the completion of the review. Hence, we were not able to verify whether the review of the manual journal entry listing was completed timely._x000a__x000a_Additionally, for one sampled entry, we noted that the approval was provided during a Teams meeting. As this took place during the transition period of the GST being assigned to the location, no separate email confirmation was issued. The review and approval were both given in that meeting. The journal entry was for the amount of Rs. 61,052,926.00._x000a_"/>
    <s v="No"/>
    <s v="1._x0009_Ensure that reviewers consistently document the date of their review on the journal entry listing or maintain email communication stating completion of review, to evidence both the performance and timeliness of the control._x000a_2._x0009_We recommend that the management maintain proper support and formal signoffs evidencing approval for each and every manual journal entry."/>
    <s v="Going forward the dates will be mentioned in the JV Listing which will be taken on a monthly basis._x000a__x000a_For the GST related entries since the people are working outside the plant and is being outsourced entry approval will be taken on mail basis."/>
    <x v="0"/>
    <x v="1"/>
    <s v=""/>
    <s v="Shalini K (Plant Controller)"/>
    <s v="Open"/>
    <s v=""/>
    <x v="1"/>
    <s v=""/>
    <s v=""/>
    <s v="Not Completed"/>
    <s v="Gupta"/>
    <s v="C, E/O"/>
    <s v=""/>
    <s v=""/>
    <s v=""/>
    <s v=""/>
    <s v=""/>
    <s v=""/>
    <s v=""/>
    <s v=""/>
    <s v=""/>
    <s v=""/>
    <s v=""/>
    <s v=""/>
    <s v=""/>
    <s v=""/>
    <s v=""/>
    <s v=""/>
    <d v="2025-09-20T00:00:00"/>
    <d v="2025-10-03T00:00:00"/>
    <s v="11/12/2025"/>
    <n v="-40"/>
    <x v="1"/>
    <x v="1"/>
  </r>
  <r>
    <s v="TEN-2139"/>
    <s v="2025"/>
    <x v="3"/>
    <s v="PwC"/>
    <x v="0"/>
    <x v="76"/>
    <x v="5"/>
    <x v="23"/>
    <s v="Production and Inventory"/>
    <s v="Adjustments &amp; Period-end Close for Production and inventory"/>
    <x v="21"/>
    <s v="Major"/>
    <s v="PINV-01"/>
    <s v=""/>
    <s v="Cambridge (Champion) - (ICFR - 2025)"/>
    <s v="Absence of proper documentation for the 2024 physical inventory and lack of a formal cycle-count program at the Cambridge facility, resulting in non-compliance with inventory control requirements."/>
    <s v="During testing, we noted that the Cambridge facility conducted its most recent annual physical inventory on November 16, 2024. However, due to multiple leadership transitions and inadequate documentation retention practices, supporting workpapers for the 2024 count (including count sheets, reconciliations, and adjustment approvals) were not available for review. Consequently, exceptions were noted. Management acknowledged that the 2024 physical inventory process was not properly controlled or documented and has committed to strengthening procedures and accountability for the 2025 inventory cycle. _x000a__x000a_In addition, we observed that the Cambridge facility has not implemented a formal cycle-count program as required under Tenneco’s inventory policy. Instead, inventory counts have historically been performed on an ad-hoc basis without formal tracking or approval. This represents a policy non-compliance. Management confirmed the deficiency and has committed to establishing a structured, system-based cycle-count process within Plex as part of the remediation plan for FY 2025."/>
    <s v="No"/>
    <s v="1. Ensure all supporting documentation related to physical inventory counts (e.g., count sheets, reconciliations, and adjustment approvals) is properly maintained and retained in accordance with company policy to provide a clear audit trail._x000a__x000a_2. Establish and enforce a structured, system-based cycle-count process within Plex, aligned with Tenneco’s inventory policy, to ensure ongoing verification of inventory accuracy throughout the year._x000a__x000a_3. Conduct training sessions for plant and warehouse personnel on inventory count procedures, documentation standards, and compliance requirements to ensure consistency across future inventory cycles."/>
    <s v="Standard procedures are being developed ahead of 2025 Physical Inventory. In addition, group training sessions are taking place to ensure personnel have the appropriate tools to perform an accurate physical in 2025. Proper work papers will be retained for the 2025 Physical Inventory that is scheduled for 11/1/2025. These will include a pre-count list of inventories, a post count list of inventory, a clear documentation of the PI adjustment by part number that ties back to a SCAR report, and a balance sheet pre and post physical._x000a__x000a_For ongoing inventory control, the Cambridge facility will be reviewing corporate policy and implementing a cycle count process to ensure we are monitoring our inventory on an ongoing basis. These counts will be booked in the Plex system using the formal cycle count module like the physical inventory process. We plan on retaining a yearly physical regardless of cycle count program."/>
    <x v="0"/>
    <x v="29"/>
    <s v=""/>
    <s v="Sadie Yontz, Plant Controller"/>
    <s v="Open"/>
    <s v=""/>
    <x v="1"/>
    <s v=""/>
    <s v=""/>
    <s v="Not Completed"/>
    <s v="Gupta"/>
    <s v="A, C, E/O"/>
    <s v=""/>
    <s v=""/>
    <s v=""/>
    <s v=""/>
    <s v=""/>
    <s v=""/>
    <s v=""/>
    <s v=""/>
    <s v=""/>
    <s v=""/>
    <s v=""/>
    <s v=""/>
    <s v=""/>
    <s v=""/>
    <s v=""/>
    <s v=""/>
    <d v="2025-10-23T00:00:00"/>
    <d v="2025-10-23T00:00:00"/>
    <s v="11/12/2025"/>
    <n v="-41"/>
    <x v="1"/>
    <x v="1"/>
  </r>
  <r>
    <s v="TEN-2140"/>
    <s v="2025"/>
    <x v="3"/>
    <s v="PwC"/>
    <x v="0"/>
    <x v="88"/>
    <x v="2"/>
    <x v="9"/>
    <s v="Production and Inventory"/>
    <s v="Receiving"/>
    <x v="21"/>
    <s v="Moderate"/>
    <s v="PINV-03"/>
    <s v=""/>
    <s v="Herdorf (Powertrain) - (ICFR - 2025)"/>
    <s v="No evidence of receiving stamps or sign off on the delivery note"/>
    <s v="We noted that the quantity recorded in the SAP system agrees to the quantity received. However, we noted that the delivery note did not contain a stamp or sign-off from the personnel responsible. Per inquiry with the control owner, Boris Biehl (Plant Controller), we confirmed that the logistics team had forgotten to put the required stamp and sign-off."/>
    <s v="No"/>
    <s v="Management should ensure there is a stamp receiving prior to recording in SAP."/>
    <s v="Setting 4-eyes principle by separating the scanning process of delivery notes. Instead of forklift drivers, the shipping office will perform the scanning and checking that delivery notes got all required stamps during the booking process to assure proper booking"/>
    <x v="0"/>
    <x v="3"/>
    <s v=""/>
    <s v="Pauline Wisser, Warehouse Team Leader"/>
    <s v="Open"/>
    <s v=""/>
    <x v="2"/>
    <s v=""/>
    <s v=""/>
    <s v="Not Completed"/>
    <s v="Gupta"/>
    <s v="A"/>
    <s v=""/>
    <s v=""/>
    <s v=""/>
    <s v=""/>
    <s v=""/>
    <s v=""/>
    <s v=""/>
    <s v=""/>
    <s v=""/>
    <s v=""/>
    <s v=""/>
    <s v=""/>
    <s v=""/>
    <s v=""/>
    <s v=""/>
    <s v=""/>
    <d v="2025-09-28T00:00:00"/>
    <d v="2025-09-29T00:00:00"/>
    <s v="11/12/2025"/>
    <n v="-9"/>
    <x v="1"/>
    <x v="1"/>
  </r>
  <r>
    <s v="TEN-2141"/>
    <s v="2025"/>
    <x v="3"/>
    <s v="PwC"/>
    <x v="0"/>
    <x v="89"/>
    <x v="6"/>
    <x v="26"/>
    <s v="Purchasing and Payables"/>
    <s v="Adjustments &amp; Period-end Close"/>
    <x v="21"/>
    <s v="Moderate"/>
    <s v="PAPA-44"/>
    <s v=""/>
    <s v="Arendal (Clean Air) - (ICFR - 2025)"/>
    <s v="Lack of documented explanations for accounts payable balances outstanding over 90 days in the aging analyses, resulting in exceptions noted."/>
    <s v="Per inspection, we noted that the aging analyses for March 2025 and July 2025, as documented in the files “AP Subledger 2025 03 – Full Trial Balance” and “AP Subledger 2025 07 – Full Trial Balance” (tabs “Aging” and “Aging CY”), did not include any documented comments or explanations for accounts payable balances outstanding for more than 90 days. The absence of such documentation limits visibility into the status and resolution of long-outstanding items. Accordingly, exceptions were noted. "/>
    <s v="No"/>
    <s v="1. Require the plant or accounts payable (AP) team to provide detailed explanations and status updates for all balances outstanding over 90 days as part of each monthly or quarterly aging analysis._x000a__x000a_2. Implement a formal review and approval process by plant management or the finance controller to ensure that aging reports and related comments are reviewed, validated, and retained for audit purposes."/>
    <s v="From October recons to be prepared"/>
    <x v="0"/>
    <x v="3"/>
    <s v=""/>
    <s v="Joaquin Valencia as Plant Finance Leader "/>
    <s v="Open"/>
    <s v=""/>
    <x v="2"/>
    <s v=""/>
    <s v=""/>
    <s v="Not Completed"/>
    <s v="Gupta"/>
    <s v="A, C, CO, E/O, P&amp;D, R&amp;O, V"/>
    <s v=""/>
    <s v=""/>
    <s v=""/>
    <s v=""/>
    <s v=""/>
    <s v=""/>
    <s v=""/>
    <s v=""/>
    <s v=""/>
    <s v=""/>
    <s v=""/>
    <s v=""/>
    <s v=""/>
    <s v=""/>
    <s v=""/>
    <s v=""/>
    <d v="2025-10-30T00:00:00"/>
    <d v="2025-10-30T00:00:00"/>
    <s v="11/12/2025"/>
    <n v="-9"/>
    <x v="1"/>
    <x v="1"/>
  </r>
  <r>
    <s v="TEN-2142"/>
    <s v="2025"/>
    <x v="3"/>
    <s v="PwC"/>
    <x v="0"/>
    <x v="90"/>
    <x v="5"/>
    <x v="27"/>
    <s v="Period End Financial Reporting"/>
    <s v="Adjustments &amp; Period-end Close for Period-end Financial Reporting"/>
    <x v="21"/>
    <s v="Moderate"/>
    <s v="PEFR-78"/>
    <s v=""/>
    <s v="Carpi (Champion) - (ICFR - 2025)"/>
    <s v="No monthly review performed for the manual journal entries posted. "/>
    <s v="We noted that the plant does not extract a listing of all manual journal entries posted during the month for review to validate completeness and accuracy. Further, we noted that such listings were not generated because the plant is relatively _x000a_small and the ERP system in use is outdated. As a result, the _x000a_Plant Controller did not perform a review of the manual journal _x000a_entries posted during the month."/>
    <s v="No"/>
    <s v="Management should ensure the manual _x000a_journal entries listing is reviewed monthly. "/>
    <s v="As discussed we work with the ERP external consultant for having the complete listing of entries of the month so we can print it / review and sign for approval."/>
    <x v="2"/>
    <x v="1"/>
    <s v=""/>
    <s v="Claudia Sgarbi, Plant Controller"/>
    <s v="Open"/>
    <s v=""/>
    <x v="1"/>
    <s v=""/>
    <s v=""/>
    <s v="Not Completed"/>
    <s v="Gupta"/>
    <s v="C, E/O"/>
    <s v=""/>
    <s v=""/>
    <s v=""/>
    <s v=""/>
    <s v=""/>
    <s v=""/>
    <s v=""/>
    <s v=""/>
    <s v=""/>
    <s v=""/>
    <s v=""/>
    <s v=""/>
    <s v=""/>
    <s v=""/>
    <s v=""/>
    <s v=""/>
    <d v="2025-10-06T00:00:00"/>
    <d v="2025-10-16T00:00:00"/>
    <s v="11/12/2025"/>
    <n v="-40"/>
    <x v="1"/>
    <x v="1"/>
  </r>
  <r>
    <s v="TEN-2144"/>
    <s v="2025"/>
    <x v="3"/>
    <s v="PwC"/>
    <x v="0"/>
    <x v="91"/>
    <x v="2"/>
    <x v="9"/>
    <s v="Revenue and Receivables"/>
    <s v="Adjustments &amp; Period-end Close"/>
    <x v="10"/>
    <s v="Major"/>
    <s v="REVE-63"/>
    <s v=""/>
    <s v="Port Elizabeth (PT) (Powertrain) - (ICFR - 2025) "/>
    <s v="Periodic review of pricing master not performed as per the existing Standard Practice Instructions (SPI Number 0-10)"/>
    <s v="Per confirmation from Rashaad Sandan, Plant Controller on 10/23/2025, we noted during the period review of price master, Plant Controller only provided a sign-off on the Pricing Master File for a particular month after the month end. The process of selecting and reviewing samples (10% or 20 whichever is lower- as per the Standard Practice Instructions 0-10) prior to providing sign-off was not followed."/>
    <s v="No"/>
    <s v="Management should ensure the periodic review of the Pricing Master is performed in accordance with SPI 0-10 requirements. Specifically: _x000a__x000a_The Plant Controller (or designated reviewer) must select and review 10% of total entries or 20 samples, whichever is lower, from the Pricing Master each month. _x000a__x000a_The review should be completed prior to month-end sign-off, not retrospectively. _x000a__x000a_Evidence of review (e.g., checklist, sampling log, comments on changes) should be documented and retained for audit purposes."/>
    <s v="N/A"/>
    <x v="0"/>
    <x v="23"/>
    <s v=""/>
    <s v="Rashaad Sandan, Plant Controller"/>
    <s v="Open"/>
    <s v=""/>
    <x v="0"/>
    <s v=""/>
    <s v=""/>
    <s v="Not Completed"/>
    <s v="Gupta"/>
    <s v="A"/>
    <s v=""/>
    <s v=""/>
    <s v=""/>
    <s v=""/>
    <s v=""/>
    <s v=""/>
    <s v=""/>
    <s v=""/>
    <s v=""/>
    <s v=""/>
    <s v=""/>
    <s v=""/>
    <s v=""/>
    <s v=""/>
    <s v=""/>
    <s v=""/>
    <d v="2025-10-31T00:00:00"/>
    <d v="2025-10-31T00:00:00"/>
    <s v="11/12/2025"/>
    <n v="7"/>
    <x v="2"/>
    <x v="0"/>
  </r>
  <r>
    <s v="TEN-2148"/>
    <s v="2025"/>
    <x v="3"/>
    <s v="PwC"/>
    <x v="0"/>
    <x v="92"/>
    <x v="0"/>
    <x v="1"/>
    <s v="Self-Testing"/>
    <s v=""/>
    <x v="34"/>
    <s v="Major"/>
    <s v=""/>
    <s v=""/>
    <s v="(Ayutthaya)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Testing results are not updated correctly for 1 control _x000a_2. Sample details not updated per requirement for 2 controls _x000a_3. LCD does not align with the sample tested/testing attributes for 1 control _x000a_4. Frequency/ Type of control not aligned with the sample tested for 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Nattaya Pengko (Plant Controller) &amp; Ian Burns (Segment Controller) "/>
    <s v="Open"/>
    <s v=""/>
    <x v="1"/>
    <s v=""/>
    <s v=""/>
    <s v="N/A"/>
    <s v="Gupta"/>
    <s v=""/>
    <s v=""/>
    <s v=""/>
    <s v=""/>
    <s v=""/>
    <s v=""/>
    <s v=""/>
    <s v=""/>
    <s v=""/>
    <s v=""/>
    <s v=""/>
    <s v=""/>
    <s v=""/>
    <s v=""/>
    <s v=""/>
    <s v=""/>
    <s v=""/>
    <s v=""/>
    <d v="2025-11-12T00:00:00"/>
    <s v="11/12/2025"/>
    <n v="-40"/>
    <x v="1"/>
    <x v="1"/>
  </r>
  <r>
    <s v="TEN-2149"/>
    <s v="2025"/>
    <x v="3"/>
    <s v="PwC"/>
    <x v="0"/>
    <x v="93"/>
    <x v="2"/>
    <x v="9"/>
    <s v="Self-Testing"/>
    <s v=""/>
    <x v="34"/>
    <s v="Major"/>
    <s v=""/>
    <s v=""/>
    <s v="(Orleans)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4 controls _x000a_2. Testing results are not updated correctly for 3 controls _x000a_3. Sample details not updated per requirement for 18 controls _x000a_4. Controls marked as not required but additional details/segment controller not provided for 11 controls. _x000a_5. Frequency/ Type of control not aligned with the sample tested for 7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Anne-lise Vallengelier- Plant Controller &amp; _x000a_Lidia Bellone- Regional/Segment Controller"/>
    <s v="Open"/>
    <s v=""/>
    <x v="1"/>
    <s v=""/>
    <s v=""/>
    <s v="N/A"/>
    <s v="Gupta"/>
    <s v=""/>
    <s v=""/>
    <s v=""/>
    <s v=""/>
    <s v=""/>
    <s v=""/>
    <s v=""/>
    <s v=""/>
    <s v=""/>
    <s v=""/>
    <s v=""/>
    <s v=""/>
    <s v=""/>
    <s v=""/>
    <s v=""/>
    <s v=""/>
    <s v=""/>
    <s v=""/>
    <d v="2025-11-12T00:00:00"/>
    <s v="11/12/2025"/>
    <n v="-40"/>
    <x v="1"/>
    <x v="1"/>
  </r>
  <r>
    <s v="TEN-2150"/>
    <s v="2025"/>
    <x v="3"/>
    <s v="PwC"/>
    <x v="0"/>
    <x v="34"/>
    <x v="2"/>
    <x v="10"/>
    <s v="Self-Testing"/>
    <s v=""/>
    <x v="34"/>
    <s v="Major"/>
    <s v=""/>
    <s v=""/>
    <s v="(Santo Andre)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Testing results are not updated correctly for 1 control _x000a_2. Sample details not updated per requirement for 52 controls _x000a_3. Frequency/ Type of control not aligned with the sample tested for 15 controls.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Fernando Bizerra- Plant Controller &amp; Brian Moon - Regional/Segment Controller"/>
    <s v="Open"/>
    <s v=""/>
    <x v="1"/>
    <s v=""/>
    <s v=""/>
    <s v="N/A"/>
    <s v="Gupta"/>
    <s v=""/>
    <s v=""/>
    <s v=""/>
    <s v=""/>
    <s v=""/>
    <s v=""/>
    <s v=""/>
    <s v=""/>
    <s v=""/>
    <s v=""/>
    <s v=""/>
    <s v=""/>
    <s v=""/>
    <s v=""/>
    <s v=""/>
    <s v=""/>
    <s v=""/>
    <s v=""/>
    <d v="2025-11-12T00:00:00"/>
    <s v="11/12/2025"/>
    <n v="-40"/>
    <x v="1"/>
    <x v="1"/>
  </r>
  <r>
    <s v="TEN-2151"/>
    <s v="2025"/>
    <x v="3"/>
    <s v="PwC"/>
    <x v="0"/>
    <x v="94"/>
    <x v="6"/>
    <x v="28"/>
    <s v="Self-Testing"/>
    <s v=""/>
    <x v="34"/>
    <s v="Major"/>
    <s v=""/>
    <s v=""/>
    <s v="(Chennai - Oragadam)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1 control _x000a_2. Controls marked as not required but additional details/segment controller not provided for 3 controls. _x000a_3. Frequency/ Type of control not aligned with the sample tested for 1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P M Chennakeshva- Plant Controller &amp; _x000a_Victoria Pagnucci-  Regional/Segment Controller"/>
    <s v="Open"/>
    <s v=""/>
    <x v="1"/>
    <s v=""/>
    <s v=""/>
    <s v="N/A"/>
    <s v="Gupta"/>
    <s v=""/>
    <s v=""/>
    <s v=""/>
    <s v=""/>
    <s v=""/>
    <s v=""/>
    <s v=""/>
    <s v=""/>
    <s v=""/>
    <s v=""/>
    <s v=""/>
    <s v=""/>
    <s v=""/>
    <s v=""/>
    <s v=""/>
    <s v=""/>
    <s v=""/>
    <s v=""/>
    <d v="2025-11-12T00:00:00"/>
    <s v="11/12/2025"/>
    <n v="-40"/>
    <x v="1"/>
    <x v="1"/>
  </r>
  <r>
    <s v="TEN-2152"/>
    <s v="2025"/>
    <x v="3"/>
    <s v="PwC"/>
    <x v="0"/>
    <x v="71"/>
    <x v="6"/>
    <x v="18"/>
    <s v="Self-Testing"/>
    <s v=""/>
    <x v="34"/>
    <s v="Major"/>
    <s v=""/>
    <s v=""/>
    <s v="(Elkhart)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Testing results are not updated correctly for 2 controls _x000a_2. Sample details not updated per requirement for 2 controls _x000a_3. Controls marked as not required but additional details/segment controller not provided for 1 control. _x000a_4. Frequency/ Type of control not aligned with the sample tested for 5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Janet Anthony-  Plant Controller &amp; Brian Moon - Regional/Segment Controller"/>
    <s v="Open"/>
    <s v=""/>
    <x v="1"/>
    <s v=""/>
    <s v=""/>
    <s v="N/A"/>
    <s v="Gupta"/>
    <s v=""/>
    <s v=""/>
    <s v=""/>
    <s v=""/>
    <s v=""/>
    <s v=""/>
    <s v=""/>
    <s v=""/>
    <s v=""/>
    <s v=""/>
    <s v=""/>
    <s v=""/>
    <s v=""/>
    <s v=""/>
    <s v=""/>
    <s v=""/>
    <s v=""/>
    <s v=""/>
    <d v="2025-11-12T00:00:00"/>
    <s v="11/12/2025"/>
    <n v="-40"/>
    <x v="1"/>
    <x v="1"/>
  </r>
  <r>
    <s v="TEN-2153"/>
    <s v="2025"/>
    <x v="3"/>
    <s v="PwC"/>
    <x v="0"/>
    <x v="87"/>
    <x v="6"/>
    <x v="18"/>
    <s v="Self-Testing"/>
    <s v=""/>
    <x v="34"/>
    <s v="Major"/>
    <s v=""/>
    <s v=""/>
    <s v="(Puebla II (FINSA))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Sample details not updated per requirement for 3 controls. _x000a_2. Frequency/ Type of control not aligned with the sample tested for 15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Jose Agustin Peregrina – Plant Controller &amp; Brian Moon – Regional/Segment Controller"/>
    <s v="Open"/>
    <s v=""/>
    <x v="1"/>
    <s v=""/>
    <s v=""/>
    <s v="N/A"/>
    <s v="Gupta"/>
    <s v=""/>
    <s v=""/>
    <s v=""/>
    <s v=""/>
    <s v=""/>
    <s v=""/>
    <s v=""/>
    <s v=""/>
    <s v=""/>
    <s v=""/>
    <s v=""/>
    <s v=""/>
    <s v=""/>
    <s v=""/>
    <s v=""/>
    <s v=""/>
    <s v=""/>
    <s v=""/>
    <d v="2025-11-12T00:00:00"/>
    <s v="11/12/2025"/>
    <n v="-40"/>
    <x v="1"/>
    <x v="1"/>
  </r>
  <r>
    <s v="TEN-2154"/>
    <s v="2025"/>
    <x v="3"/>
    <s v="PwC"/>
    <x v="0"/>
    <x v="95"/>
    <x v="2"/>
    <x v="10"/>
    <s v="Self-Testing"/>
    <s v=""/>
    <x v="34"/>
    <s v="Major"/>
    <s v=""/>
    <s v=""/>
    <s v="(Puebla - Pistons)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9 controls _x000a_2. Sample details not updated per requirement for 54 controls _x000a_3. LCD does not align with the sample tested/testing attributes for 1 control _x000a_4. Frequency/ Type of control not aligned with the sample tested for 30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Eduardo Mejia – Plant Controller &amp; Brian Moon – Regional/Segment Controller"/>
    <s v="Open"/>
    <s v=""/>
    <x v="1"/>
    <s v=""/>
    <s v=""/>
    <s v="N/A"/>
    <s v="Gupta"/>
    <s v=""/>
    <s v=""/>
    <s v=""/>
    <s v=""/>
    <s v=""/>
    <s v=""/>
    <s v=""/>
    <s v=""/>
    <s v=""/>
    <s v=""/>
    <s v=""/>
    <s v=""/>
    <s v=""/>
    <s v=""/>
    <s v=""/>
    <s v=""/>
    <s v=""/>
    <s v=""/>
    <d v="2025-11-12T00:00:00"/>
    <s v="11/12/2025"/>
    <n v="-40"/>
    <x v="1"/>
    <x v="1"/>
  </r>
  <r>
    <s v="TEN-2155"/>
    <s v="2025"/>
    <x v="3"/>
    <s v="PwC"/>
    <x v="0"/>
    <x v="96"/>
    <x v="0"/>
    <x v="2"/>
    <s v="Self-Testing"/>
    <s v=""/>
    <x v="34"/>
    <s v="Major"/>
    <s v=""/>
    <s v=""/>
    <s v="(Badalona)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Mandatory fields not populated for 18 controls _x000a__x000a_1. Testing results are not updated correctly for 3 controls _x000a_2. Sample details not updated per requirement for 34 controls _x000a_3. LCD does not align with the sample tested/testing attributes for 5 controls _x000a_4. Controls marked as not required but additional details/segment controller not provided for 1 control _x000a_5. Frequency/ Type of control not aligned with the sample tested for 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Agusti Planas (Plant Controller) &amp; Christian Boucher (Regional Controller) "/>
    <s v="Open"/>
    <s v=""/>
    <x v="1"/>
    <s v=""/>
    <s v=""/>
    <s v="N/A"/>
    <s v="Gupta"/>
    <s v=""/>
    <s v=""/>
    <s v=""/>
    <s v=""/>
    <s v=""/>
    <s v=""/>
    <s v=""/>
    <s v=""/>
    <s v=""/>
    <s v=""/>
    <s v=""/>
    <s v=""/>
    <s v=""/>
    <s v=""/>
    <s v=""/>
    <s v=""/>
    <s v=""/>
    <s v=""/>
    <d v="2025-11-12T00:00:00"/>
    <s v="11/12/2025"/>
    <n v="-40"/>
    <x v="1"/>
    <x v="1"/>
  </r>
  <r>
    <s v="TEN-2156"/>
    <s v="2025"/>
    <x v="3"/>
    <s v="PwC"/>
    <x v="0"/>
    <x v="97"/>
    <x v="2"/>
    <x v="9"/>
    <s v="Self-Testing"/>
    <s v=""/>
    <x v="34"/>
    <s v="Major"/>
    <s v=""/>
    <s v=""/>
    <s v="(Beckedorf)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9 controls _x000a_2. Sample details not updated per requirement for 15 controls _x000a_3. LCD does not align with the sample tested/testing attributes for 1 control. _x000a_4. Controls marked as not required but additional details/segment controller not provided for 3 controls. _x000a_5. Frequency/ Type of control not aligned with the sample tested for 16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Markus Ketterer – Plant Controller &amp; Lidia Bellone – Regional/Segment Controller"/>
    <s v="Open"/>
    <s v=""/>
    <x v="1"/>
    <s v=""/>
    <s v=""/>
    <s v="N/A"/>
    <s v="Gupta"/>
    <s v=""/>
    <s v=""/>
    <s v=""/>
    <s v=""/>
    <s v=""/>
    <s v=""/>
    <s v=""/>
    <s v=""/>
    <s v=""/>
    <s v=""/>
    <s v=""/>
    <s v=""/>
    <s v=""/>
    <s v=""/>
    <s v=""/>
    <s v=""/>
    <s v=""/>
    <s v=""/>
    <d v="2025-11-12T00:00:00"/>
    <s v="11/12/2025"/>
    <n v="-40"/>
    <x v="1"/>
    <x v="1"/>
  </r>
  <r>
    <s v="TEN-2157"/>
    <s v="2025"/>
    <x v="3"/>
    <s v="PwC"/>
    <x v="0"/>
    <x v="54"/>
    <x v="2"/>
    <x v="5"/>
    <s v="Self-Testing"/>
    <s v=""/>
    <x v="34"/>
    <s v="Major"/>
    <s v=""/>
    <s v=""/>
    <s v="(Bhiwadi (FMG))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 1. Sample details not updated per requirement for 1 control _x000a_2. Frequency/ Type of control not aligned with the sample tested for 13 controls. _x000a__x000a_Risk: Incomplete details of self-testing in Wdesk increases risk of non-compliance of applicable controls. _x000a_"/>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Hitesh Bhutani – Plant Controller &amp; Victoria Pagnucci – Regional/Segment Controller"/>
    <s v="Open"/>
    <s v=""/>
    <x v="1"/>
    <s v=""/>
    <s v=""/>
    <s v="N/A"/>
    <s v="Gupta"/>
    <s v=""/>
    <s v=""/>
    <s v=""/>
    <s v=""/>
    <s v=""/>
    <s v=""/>
    <s v=""/>
    <s v=""/>
    <s v=""/>
    <s v=""/>
    <s v=""/>
    <s v=""/>
    <s v=""/>
    <s v=""/>
    <s v=""/>
    <s v=""/>
    <s v=""/>
    <s v=""/>
    <d v="2025-11-12T00:00:00"/>
    <s v="11/12/2025"/>
    <n v="-40"/>
    <x v="1"/>
    <x v="1"/>
  </r>
  <r>
    <s v="TEN-2158"/>
    <s v="2025"/>
    <x v="3"/>
    <s v="PwC"/>
    <x v="0"/>
    <x v="12"/>
    <x v="2"/>
    <x v="9"/>
    <s v="Self-Testing"/>
    <s v=""/>
    <x v="34"/>
    <s v="Major"/>
    <s v=""/>
    <s v=""/>
    <s v="(Dacice)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7 controls _x000a_2. Testing results are not updated correctly for 5 controls _x000a_3. Sample details not updated per requirement for 8 controls _x000a_4. Controls marked as not required but additional details/segment controller not provided for 1 control. _x000a_5. Frequency/ Type of control not aligned with the sample tested for 12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Renata Hroudova – Plant Controller &amp; Lidia Bellone – Regional/Segment Controller"/>
    <s v="Open"/>
    <s v=""/>
    <x v="1"/>
    <s v=""/>
    <s v=""/>
    <s v="N/A"/>
    <s v="Gupta"/>
    <s v=""/>
    <s v=""/>
    <s v=""/>
    <s v=""/>
    <s v=""/>
    <s v=""/>
    <s v=""/>
    <s v=""/>
    <s v=""/>
    <s v=""/>
    <s v=""/>
    <s v=""/>
    <s v=""/>
    <s v=""/>
    <s v=""/>
    <s v=""/>
    <s v=""/>
    <s v=""/>
    <d v="2025-11-12T00:00:00"/>
    <s v="11/12/2025"/>
    <n v="-40"/>
    <x v="1"/>
    <x v="1"/>
  </r>
  <r>
    <s v="TEN-2159"/>
    <s v="2025"/>
    <x v="3"/>
    <s v="PwC"/>
    <x v="0"/>
    <x v="31"/>
    <x v="6"/>
    <x v="16"/>
    <s v="Self-Testing"/>
    <s v=""/>
    <x v="34"/>
    <s v="Major"/>
    <s v=""/>
    <s v=""/>
    <s v="(MOGI MIRIM)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16 controls _x000a_2, Testing results are not updated correctly for 2 controls _x000a_Sample details not updated per requirement for 32 controls _x000a_3. LCD does not align with the sample tested/testing attributes for 1 control. _x000a_4. Frequency/ Type of control not aligned with the sample tested for 2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Marcos Antonio de Castro – Plant Controller &amp; Brian Moon – Regional/Segment Controller"/>
    <s v="Open"/>
    <s v=""/>
    <x v="1"/>
    <s v=""/>
    <s v=""/>
    <s v="N/A"/>
    <s v="Gupta"/>
    <s v=""/>
    <s v=""/>
    <s v=""/>
    <s v=""/>
    <s v=""/>
    <s v=""/>
    <s v=""/>
    <s v=""/>
    <s v=""/>
    <s v=""/>
    <s v=""/>
    <s v=""/>
    <s v=""/>
    <s v=""/>
    <s v=""/>
    <s v=""/>
    <s v=""/>
    <s v=""/>
    <d v="2025-11-12T00:00:00"/>
    <s v="11/12/2025"/>
    <n v="-40"/>
    <x v="1"/>
    <x v="1"/>
  </r>
  <r>
    <s v="TEN-2160"/>
    <s v="2025"/>
    <x v="3"/>
    <s v="PwC"/>
    <x v="0"/>
    <x v="51"/>
    <x v="2"/>
    <x v="20"/>
    <s v="Self-Testing"/>
    <s v=""/>
    <x v="34"/>
    <s v="Major"/>
    <s v=""/>
    <s v=""/>
    <s v="(New Delhi (FMG))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Process Narratives are not uploaded.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Shreya Malhan – DGM Treasury &amp; Victoria Pagnucci – Regional/Segment Controller"/>
    <s v="Open"/>
    <s v=""/>
    <x v="1"/>
    <s v=""/>
    <s v=""/>
    <s v="N/A"/>
    <s v="Gupta"/>
    <s v=""/>
    <s v=""/>
    <s v=""/>
    <s v=""/>
    <s v=""/>
    <s v=""/>
    <s v=""/>
    <s v=""/>
    <s v=""/>
    <s v=""/>
    <s v=""/>
    <s v=""/>
    <s v=""/>
    <s v=""/>
    <s v=""/>
    <s v=""/>
    <s v=""/>
    <s v=""/>
    <d v="2025-11-12T00:00:00"/>
    <s v="11/12/2025"/>
    <n v="-40"/>
    <x v="1"/>
    <x v="1"/>
  </r>
  <r>
    <s v="TEN-2161"/>
    <s v="2025"/>
    <x v="3"/>
    <s v="PwC"/>
    <x v="0"/>
    <x v="52"/>
    <x v="0"/>
    <x v="2"/>
    <s v="Self-Testing"/>
    <s v=""/>
    <x v="34"/>
    <s v="Major"/>
    <s v=""/>
    <s v=""/>
    <s v="(Barcelona)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 1. Sample details not updated per requirement for 93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Esmeralda Tabernero – Plant Controller &amp; Christian Boucher – Regional/Segment Controller"/>
    <s v="Open"/>
    <s v=""/>
    <x v="1"/>
    <s v=""/>
    <s v=""/>
    <s v="N/A"/>
    <s v="Gupta"/>
    <s v=""/>
    <s v=""/>
    <s v=""/>
    <s v=""/>
    <s v=""/>
    <s v=""/>
    <s v=""/>
    <s v=""/>
    <s v=""/>
    <s v=""/>
    <s v=""/>
    <s v=""/>
    <s v=""/>
    <s v=""/>
    <s v=""/>
    <s v=""/>
    <s v=""/>
    <s v=""/>
    <d v="2025-11-12T00:00:00"/>
    <s v="11/12/2025"/>
    <n v="-40"/>
    <x v="1"/>
    <x v="1"/>
  </r>
  <r>
    <s v="TEN-2162"/>
    <s v="2025"/>
    <x v="3"/>
    <s v="PwC"/>
    <x v="0"/>
    <x v="98"/>
    <x v="0"/>
    <x v="2"/>
    <s v="Self-Testing"/>
    <s v=""/>
    <x v="34"/>
    <s v="Major"/>
    <s v=""/>
    <s v=""/>
    <s v="(Chapel - EN - LE - Frith)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32 controls _x000a_2. Sample details not updated per requirement for 72 controls _x000a_3. LCD does not align with the sample tested/testing attributes for 40 controls _x000a_4. Controls marked as not required but additional details/segment controller not provided for 23 controls _x000a_5. Frequency/ Type of control not aligned with the sample tested for 39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Nivesh Mothilal (Plant Controller) &amp; Christian Boucher (Regional Controller)"/>
    <s v="Open"/>
    <s v=""/>
    <x v="1"/>
    <s v=""/>
    <s v=""/>
    <s v="N/A"/>
    <s v="Gupta"/>
    <s v=""/>
    <s v=""/>
    <s v=""/>
    <s v=""/>
    <s v=""/>
    <s v=""/>
    <s v=""/>
    <s v=""/>
    <s v=""/>
    <s v=""/>
    <s v=""/>
    <s v=""/>
    <s v=""/>
    <s v=""/>
    <s v=""/>
    <s v=""/>
    <s v=""/>
    <s v=""/>
    <d v="2025-11-12T00:00:00"/>
    <s v="11/12/2025"/>
    <n v="-40"/>
    <x v="1"/>
    <x v="1"/>
  </r>
  <r>
    <s v="TEN-2163"/>
    <s v="2025"/>
    <x v="3"/>
    <s v="PwC"/>
    <x v="0"/>
    <x v="35"/>
    <x v="0"/>
    <x v="17"/>
    <s v="Self-Testing"/>
    <s v=""/>
    <x v="34"/>
    <s v="Major"/>
    <s v=""/>
    <s v=""/>
    <s v="(Chongqing)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3 controls _x000a_2. Testing results are not updated correctly for 7 controls _x000a_3. Sample details not updated per requirement for 10 controls _x000a_4. LCD does not align with the sample tested/testing attributes for 2 controls. _x000a_5. Controls marked as not required but additional details/segment controller not provided for 4 controls. _x000a_6. Frequency/ Type of control not aligned with the sample tested for 22 controls.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Zhenqiang Yu – Plant Controller &amp; Munish Kashyap – Finance Director"/>
    <s v="Open"/>
    <s v=""/>
    <x v="1"/>
    <s v=""/>
    <s v=""/>
    <s v="N/A"/>
    <s v="Gupta"/>
    <s v=""/>
    <s v=""/>
    <s v=""/>
    <s v=""/>
    <s v=""/>
    <s v=""/>
    <s v=""/>
    <s v=""/>
    <s v=""/>
    <s v=""/>
    <s v=""/>
    <s v=""/>
    <s v=""/>
    <s v=""/>
    <s v=""/>
    <s v=""/>
    <s v=""/>
    <s v=""/>
    <d v="2025-11-12T00:00:00"/>
    <s v="11/12/2025"/>
    <n v="-40"/>
    <x v="1"/>
    <x v="1"/>
  </r>
  <r>
    <s v="TEN-2164"/>
    <s v="2025"/>
    <x v="3"/>
    <s v="PwC"/>
    <x v="0"/>
    <x v="99"/>
    <x v="0"/>
    <x v="2"/>
    <s v="Self-Testing"/>
    <s v=""/>
    <x v="34"/>
    <s v="Major"/>
    <s v=""/>
    <s v=""/>
    <s v="(Glinde)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4 controls _x000a_2. Testing results are not updated correctly for 5 controls _x000a_3. Sample details not updated per requirement for 51 controls _x000a_4. LCD does not align with the sample tested/testing attributes for 12 controls _x000a_5. Controls marked as not required but additional details/segment controller not provided for 1 control _x000a_6. Frequency/ Type of control not aligned with the sample tested for 5 controls 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Ralf Obersteller (Plant Controller) &amp; Christian Boucher (Regional Controller)"/>
    <s v="Open"/>
    <s v=""/>
    <x v="1"/>
    <s v=""/>
    <s v=""/>
    <s v="N/A"/>
    <s v="Gupta"/>
    <s v=""/>
    <s v=""/>
    <s v=""/>
    <s v=""/>
    <s v=""/>
    <s v=""/>
    <s v=""/>
    <s v=""/>
    <s v=""/>
    <s v=""/>
    <s v=""/>
    <s v=""/>
    <s v=""/>
    <s v=""/>
    <s v=""/>
    <s v=""/>
    <s v=""/>
    <s v=""/>
    <d v="2025-11-12T00:00:00"/>
    <s v="11/12/2025"/>
    <n v="-40"/>
    <x v="1"/>
    <x v="1"/>
  </r>
  <r>
    <s v="TEN-2165"/>
    <s v="2025"/>
    <x v="3"/>
    <s v="PwC"/>
    <x v="0"/>
    <x v="100"/>
    <x v="0"/>
    <x v="4"/>
    <s v="Self-Testing"/>
    <s v=""/>
    <x v="34"/>
    <s v="Major"/>
    <s v=""/>
    <s v=""/>
    <s v="(Hanover)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 control _x000a_2. Sample details not updated per requirement for 37 controls _x000a_3. Controls marked as not required but additional details/segment controller not provided for 11 controls _x000a_4. Frequency/ Type of control not aligned with the sample tested for 7 controls _x000a__x000a_Risk: Incomplete details of self-testing in Wdesk increases risk of non-compliance of applicable controls. _x000a__x000a_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Ruben Christis (Plant Controller) &amp; Luc Ceulemans (Regional Controller)  "/>
    <s v="Open"/>
    <s v=""/>
    <x v="1"/>
    <s v=""/>
    <s v=""/>
    <s v="N/A"/>
    <s v="Gupta"/>
    <s v=""/>
    <s v=""/>
    <s v=""/>
    <s v=""/>
    <s v=""/>
    <s v=""/>
    <s v=""/>
    <s v=""/>
    <s v=""/>
    <s v=""/>
    <s v=""/>
    <s v=""/>
    <s v=""/>
    <s v=""/>
    <s v=""/>
    <s v=""/>
    <s v=""/>
    <s v=""/>
    <d v="2025-11-12T00:00:00"/>
    <s v="11/12/2025"/>
    <n v="-40"/>
    <x v="1"/>
    <x v="1"/>
  </r>
  <r>
    <s v="TEN-2166"/>
    <s v="2025"/>
    <x v="3"/>
    <s v="PwC"/>
    <x v="0"/>
    <x v="21"/>
    <x v="0"/>
    <x v="0"/>
    <s v="Self-Testing"/>
    <s v=""/>
    <x v="34"/>
    <s v="Major"/>
    <s v=""/>
    <s v=""/>
    <s v="(Hosur)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Testing results are not updated correctly for 3 controls _x000a_2. Sample details not updated per requirement for 10 controls _x000a_3. LCD does not align with the sample tested/testing attributes for 4 controls _x000a_4. Frequency/ Type of control not aligned with the sample tested for 7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Vijay Kumar (Plant Controller) &amp; Srinivas Ss (Regional Controller) "/>
    <s v="Open"/>
    <s v=""/>
    <x v="1"/>
    <s v=""/>
    <s v=""/>
    <s v="N/A"/>
    <s v="Gupta"/>
    <s v=""/>
    <s v=""/>
    <s v=""/>
    <s v=""/>
    <s v=""/>
    <s v=""/>
    <s v=""/>
    <s v=""/>
    <s v=""/>
    <s v=""/>
    <s v=""/>
    <s v=""/>
    <s v=""/>
    <s v=""/>
    <s v=""/>
    <s v=""/>
    <s v=""/>
    <s v=""/>
    <d v="2025-11-12T00:00:00"/>
    <s v="11/12/2025"/>
    <n v="-40"/>
    <x v="1"/>
    <x v="1"/>
  </r>
  <r>
    <s v="TEN-2167"/>
    <s v="2025"/>
    <x v="3"/>
    <s v="PwC"/>
    <x v="0"/>
    <x v="101"/>
    <x v="0"/>
    <x v="17"/>
    <s v="Self-Testing"/>
    <s v=""/>
    <x v="34"/>
    <s v="Major"/>
    <s v=""/>
    <s v=""/>
    <s v="(Japan OE)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3 controls _x000a_2. Testing results are not updated correctly for 3 controls _x000a_3. Sample details not updated per requirement for 28 controls _x000a_4. Controls marked as not required but additional details/segment controller not provided for 1 control. _x000a_5. Frequency/ Type of control not aligned with the sample tested for 17 controls. _x000a_6. Process narratives are not updated.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Seiji Niwa – Plant Controller &amp; Rolf Bartels – Finance Director"/>
    <s v="Open"/>
    <s v=""/>
    <x v="1"/>
    <s v=""/>
    <s v=""/>
    <s v="N/A"/>
    <s v="Gupta"/>
    <s v=""/>
    <s v=""/>
    <s v=""/>
    <s v=""/>
    <s v=""/>
    <s v=""/>
    <s v=""/>
    <s v=""/>
    <s v=""/>
    <s v=""/>
    <s v=""/>
    <s v=""/>
    <s v=""/>
    <s v=""/>
    <s v=""/>
    <s v=""/>
    <s v=""/>
    <s v=""/>
    <d v="2025-11-12T00:00:00"/>
    <s v="11/12/2025"/>
    <n v="-40"/>
    <x v="1"/>
    <x v="1"/>
  </r>
  <r>
    <s v="TEN-2168"/>
    <s v="2025"/>
    <x v="3"/>
    <s v="PwC"/>
    <x v="0"/>
    <x v="102"/>
    <x v="0"/>
    <x v="1"/>
    <s v="Self-Testing"/>
    <s v=""/>
    <x v="34"/>
    <s v="Major"/>
    <s v=""/>
    <s v=""/>
    <s v="(Korea SP)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5 controls _x000a_2. Testing results are not updated correctly for 5 controls _x000a_3. Sample details not updated per requirement for 58 controls _x000a_4. LCD does not align with the sample tested/testing attributes for 2 controls _x000a_5. Controls marked as not required but additional details/segment controller not provided for 4 controls. _x000a_6. Frequency/ Type of control not aligned with the sample tested for 12 controls _x000a_7. Process narratives are not updated _x000a__x000a_Risk: Incomplete details of self-testing in Wdesk increases risk of non-compliance of applicable controls. _x000a__x000a_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Seungkwang Baek (Plant Controller) &amp; Ian Burns (Segment Controller) _x000a__x000a_ "/>
    <s v="Open"/>
    <s v=""/>
    <x v="1"/>
    <s v=""/>
    <s v=""/>
    <s v="N/A"/>
    <s v="Gupta"/>
    <s v=""/>
    <s v=""/>
    <s v=""/>
    <s v=""/>
    <s v=""/>
    <s v=""/>
    <s v=""/>
    <s v=""/>
    <s v=""/>
    <s v=""/>
    <s v=""/>
    <s v=""/>
    <s v=""/>
    <s v=""/>
    <s v=""/>
    <s v=""/>
    <s v=""/>
    <s v=""/>
    <d v="2025-11-12T00:00:00"/>
    <s v="11/12/2025"/>
    <n v="-40"/>
    <x v="1"/>
    <x v="1"/>
  </r>
  <r>
    <s v="TEN-2169"/>
    <s v="2025"/>
    <x v="3"/>
    <s v="PwC"/>
    <x v="0"/>
    <x v="103"/>
    <x v="0"/>
    <x v="1"/>
    <s v="Self-Testing"/>
    <s v=""/>
    <x v="34"/>
    <s v="Major"/>
    <s v=""/>
    <s v=""/>
    <s v="(Laguna SP)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4 controls _x000a_2. Testing results are not updated correctly for 1 control _x000a_3. Sample details not updated per requirement for 12 controls _x000a_4. LCD does not align with the sample tested/testing attributes for 6 controls _x000a_5. Frequency/ Type of control not aligned with the sample tested for 13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Charilyn Bishop (Plant Controller) &amp; Ian Burns (Segment Controller)"/>
    <s v="Open"/>
    <s v=""/>
    <x v="1"/>
    <s v=""/>
    <s v=""/>
    <s v="N/A"/>
    <s v="Gupta"/>
    <s v=""/>
    <s v=""/>
    <s v=""/>
    <s v=""/>
    <s v=""/>
    <s v=""/>
    <s v=""/>
    <s v=""/>
    <s v=""/>
    <s v=""/>
    <s v=""/>
    <s v=""/>
    <s v=""/>
    <s v=""/>
    <s v=""/>
    <s v=""/>
    <s v=""/>
    <s v=""/>
    <d v="2025-11-12T00:00:00"/>
    <s v="11/12/2025"/>
    <n v="-40"/>
    <x v="1"/>
    <x v="1"/>
  </r>
  <r>
    <s v="TEN-2170"/>
    <s v="2025"/>
    <x v="3"/>
    <s v="PwC"/>
    <x v="0"/>
    <x v="104"/>
    <x v="0"/>
    <x v="29"/>
    <s v="Self-Testing"/>
    <s v=""/>
    <x v="34"/>
    <s v="Major"/>
    <s v=""/>
    <s v=""/>
    <s v="(Milan OH)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Testing results are not updated correctly for 1 control _x000a_2. Sample details not updated per requirement for 12 controls _x000a_3. Frequency/ Type of control not aligned with the sample tested for 3 controls. 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Lisa Sortor (Plant Controller) &amp; Mike Filiposki (Finance Director)  "/>
    <s v="Open"/>
    <s v=""/>
    <x v="1"/>
    <s v=""/>
    <s v=""/>
    <s v="N/A"/>
    <s v="Gupta"/>
    <s v=""/>
    <s v=""/>
    <s v=""/>
    <s v=""/>
    <s v=""/>
    <s v=""/>
    <s v=""/>
    <s v=""/>
    <s v=""/>
    <s v=""/>
    <s v=""/>
    <s v=""/>
    <s v=""/>
    <s v=""/>
    <s v=""/>
    <s v=""/>
    <s v=""/>
    <s v=""/>
    <d v="2025-11-12T00:00:00"/>
    <s v="11/12/2025"/>
    <n v="-40"/>
    <x v="1"/>
    <x v="1"/>
  </r>
  <r>
    <s v="TEN-2171"/>
    <s v="2025"/>
    <x v="3"/>
    <s v="PwC"/>
    <x v="0"/>
    <x v="105"/>
    <x v="2"/>
    <x v="9"/>
    <s v="Self-Testing"/>
    <s v=""/>
    <x v="34"/>
    <s v="Major"/>
    <s v=""/>
    <s v=""/>
    <s v="(Chasseneuil)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55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Anne-lise Vallengelier (Plant Controller) &amp; Lidia Bellone (Segment controller)"/>
    <s v="Open"/>
    <s v=""/>
    <x v="1"/>
    <s v=""/>
    <s v=""/>
    <s v="N/A"/>
    <s v="Gupta"/>
    <s v=""/>
    <s v=""/>
    <s v=""/>
    <s v=""/>
    <s v=""/>
    <s v=""/>
    <s v=""/>
    <s v=""/>
    <s v=""/>
    <s v=""/>
    <s v=""/>
    <s v=""/>
    <s v=""/>
    <s v=""/>
    <s v=""/>
    <s v=""/>
    <s v=""/>
    <s v=""/>
    <d v="2025-11-12T00:00:00"/>
    <s v="11/12/2025"/>
    <n v="-40"/>
    <x v="1"/>
    <x v="1"/>
  </r>
  <r>
    <s v="TEN-2172"/>
    <s v="2025"/>
    <x v="3"/>
    <s v="PwC"/>
    <x v="0"/>
    <x v="106"/>
    <x v="0"/>
    <x v="2"/>
    <s v="Self-Testing"/>
    <s v=""/>
    <x v="34"/>
    <s v="Major"/>
    <s v=""/>
    <s v=""/>
    <s v="(Mondovi)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73 controls _x000a_2. Process narratives are not updated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Faustino Candela (Plant Controller) &amp; Christian Boucher (Regional Controller) "/>
    <s v="Open"/>
    <s v=""/>
    <x v="1"/>
    <s v=""/>
    <s v=""/>
    <s v="N/A"/>
    <s v="Gupta"/>
    <s v=""/>
    <s v=""/>
    <s v=""/>
    <s v=""/>
    <s v=""/>
    <s v=""/>
    <s v=""/>
    <s v=""/>
    <s v=""/>
    <s v=""/>
    <s v=""/>
    <s v=""/>
    <s v=""/>
    <s v=""/>
    <s v=""/>
    <s v=""/>
    <s v=""/>
    <s v=""/>
    <d v="2025-11-12T00:00:00"/>
    <s v="11/12/2025"/>
    <n v="-40"/>
    <x v="1"/>
    <x v="1"/>
  </r>
  <r>
    <s v="TEN-2173"/>
    <s v="2025"/>
    <x v="3"/>
    <s v="PwC"/>
    <x v="0"/>
    <x v="63"/>
    <x v="0"/>
    <x v="8"/>
    <s v="Self-Testing"/>
    <s v=""/>
    <x v="34"/>
    <s v="Major"/>
    <s v=""/>
    <s v=""/>
    <s v="(Napoleon OH)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 control _x000a_2. Testing results are not updated correctly for 3 controls _x000a_3. Sample details not updated per requirement for 41 controls _x000a_4. Frequency/ Type of control not aligned with the sample tested for 8 controls_x000a__x000a_Risk: Incomplete details of self-testing in Wdesk increases risk of non-compliance of applicable controls. _x000a__x000a_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Diane Stahl (Plant Controller) &amp; Kim Rowe (Regional Controller)  "/>
    <s v="Open"/>
    <s v=""/>
    <x v="1"/>
    <s v=""/>
    <s v=""/>
    <s v="N/A"/>
    <s v="Gupta"/>
    <s v=""/>
    <s v=""/>
    <s v=""/>
    <s v=""/>
    <s v=""/>
    <s v=""/>
    <s v=""/>
    <s v=""/>
    <s v=""/>
    <s v=""/>
    <s v=""/>
    <s v=""/>
    <s v=""/>
    <s v=""/>
    <s v=""/>
    <s v=""/>
    <s v=""/>
    <s v=""/>
    <d v="2025-11-12T00:00:00"/>
    <s v="11/12/2025"/>
    <n v="-40"/>
    <x v="1"/>
    <x v="1"/>
  </r>
  <r>
    <s v="TEN-2174"/>
    <s v="2025"/>
    <x v="3"/>
    <s v="PwC"/>
    <x v="0"/>
    <x v="107"/>
    <x v="6"/>
    <x v="18"/>
    <s v="Self-Testing"/>
    <s v=""/>
    <x v="34"/>
    <s v="Major"/>
    <s v=""/>
    <s v=""/>
    <s v="(Aguascalientes II)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Sample details not updated per requirement for 32 controls _x000a_2. LCD does not align with the sample tested/testing attributes for 1 control _x000a_3. Frequency/ Type of control not aligned with the sample tested for 16 controls 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Nathan Manuel Reyes (Plant Controller) &amp; Brian Moon (Segment Controller)"/>
    <s v="Open"/>
    <s v=""/>
    <x v="1"/>
    <s v=""/>
    <s v=""/>
    <s v="N/A"/>
    <s v="Gupta"/>
    <s v=""/>
    <s v=""/>
    <s v=""/>
    <s v=""/>
    <s v=""/>
    <s v=""/>
    <s v=""/>
    <s v=""/>
    <s v=""/>
    <s v=""/>
    <s v=""/>
    <s v=""/>
    <s v=""/>
    <s v=""/>
    <s v=""/>
    <s v=""/>
    <s v=""/>
    <s v=""/>
    <d v="2025-11-12T00:00:00"/>
    <s v="11/12/2025"/>
    <n v="-40"/>
    <x v="1"/>
    <x v="1"/>
  </r>
  <r>
    <s v="TEN-2175"/>
    <s v="2025"/>
    <x v="3"/>
    <s v="PwC"/>
    <x v="0"/>
    <x v="108"/>
    <x v="6"/>
    <x v="18"/>
    <s v="Self-Testing"/>
    <s v=""/>
    <x v="34"/>
    <s v="Major"/>
    <s v=""/>
    <s v=""/>
    <s v="(Puebla I)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 control _x000a_2. Testing results are not updated correctly for 1 control _x000a_3. Sample details not updated per requirement for 8 controls _x000a_4. Frequency/ Type of control not aligned with the sample tested for 12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Jose Agustin Peregrina (Plant Controller) &amp; Brian Moon (Segment Controller) "/>
    <s v="Open"/>
    <s v=""/>
    <x v="1"/>
    <s v=""/>
    <s v=""/>
    <s v="N/A"/>
    <s v="Gupta"/>
    <s v=""/>
    <s v=""/>
    <s v=""/>
    <s v=""/>
    <s v=""/>
    <s v=""/>
    <s v=""/>
    <s v=""/>
    <s v=""/>
    <s v=""/>
    <s v=""/>
    <s v=""/>
    <s v=""/>
    <s v=""/>
    <s v=""/>
    <s v=""/>
    <s v=""/>
    <s v=""/>
    <d v="2025-11-12T00:00:00"/>
    <s v="11/12/2025"/>
    <n v="-40"/>
    <x v="1"/>
    <x v="1"/>
  </r>
  <r>
    <s v="TEN-2176"/>
    <s v="2025"/>
    <x v="3"/>
    <s v="PwC"/>
    <x v="0"/>
    <x v="109"/>
    <x v="6"/>
    <x v="18"/>
    <s v="Self-Testing"/>
    <s v=""/>
    <x v="34"/>
    <s v="Major"/>
    <s v=""/>
    <s v=""/>
    <s v="(Clean Air Mexico Central) (Clean Air)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2 controls _x000a_2. Sample details not updated per requirement for 2 controls _x000a_3. Controls marked as not required but additional details/segment controller not provided for 2 controls _x000a_4. Frequency/ Type of control not aligned with the sample tested for 2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Carla Cervantes (Plant Controller) &amp; Brian Moon (Segment Controller) "/>
    <s v="Open"/>
    <s v=""/>
    <x v="1"/>
    <s v=""/>
    <s v=""/>
    <s v="N/A"/>
    <s v="Gupta"/>
    <s v=""/>
    <s v=""/>
    <s v=""/>
    <s v=""/>
    <s v=""/>
    <s v=""/>
    <s v=""/>
    <s v=""/>
    <s v=""/>
    <s v=""/>
    <s v=""/>
    <s v=""/>
    <s v=""/>
    <s v=""/>
    <s v=""/>
    <s v=""/>
    <s v=""/>
    <s v=""/>
    <d v="2025-11-12T00:00:00"/>
    <s v="11/12/2025"/>
    <n v="-40"/>
    <x v="1"/>
    <x v="1"/>
  </r>
  <r>
    <s v="TEN-2178"/>
    <s v="2025"/>
    <x v="3"/>
    <s v="PwC"/>
    <x v="0"/>
    <x v="110"/>
    <x v="3"/>
    <x v="19"/>
    <s v="Self-Testing"/>
    <s v=""/>
    <x v="34"/>
    <s v="Major"/>
    <s v=""/>
    <s v=""/>
    <s v="(New Delhi - Aftermarket) (Gurgaon) (DRiV)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2 controls _x000a_2. Testing results are not updated correctly for 4 controls _x000a_3. Sample details not updated per requirement for 4 controls _x000a_4. LCD does not align with the sample tested/testing attributes for 2 controls _x000a_5. Controls marked as not required but additional details/segment controller not provided for 3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Deepak Rajput (Plant Controller) &amp; Jacko Xing (Segment Controller) "/>
    <s v="Open"/>
    <s v=""/>
    <x v="1"/>
    <s v=""/>
    <s v=""/>
    <s v="N/A"/>
    <s v="Gupta"/>
    <s v=""/>
    <s v=""/>
    <s v=""/>
    <s v=""/>
    <s v=""/>
    <s v=""/>
    <s v=""/>
    <s v=""/>
    <s v=""/>
    <s v=""/>
    <s v=""/>
    <s v=""/>
    <s v=""/>
    <s v=""/>
    <s v=""/>
    <s v=""/>
    <s v=""/>
    <s v=""/>
    <d v="2025-11-12T00:00:00"/>
    <s v="11/12/2025"/>
    <n v="-40"/>
    <x v="1"/>
    <x v="1"/>
  </r>
  <r>
    <s v="TEN-2179"/>
    <s v="2025"/>
    <x v="3"/>
    <s v="PwC"/>
    <x v="0"/>
    <x v="111"/>
    <x v="2"/>
    <x v="9"/>
    <s v="Self-Testing"/>
    <s v=""/>
    <x v="34"/>
    <s v="Major"/>
    <s v=""/>
    <s v=""/>
    <s v="(Dresden)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Testing results are not updated correctly for 2 controls _x000a_2. Sample details not updated per requirement for 18 controls _x000a_3. Controls marked as not required but additional details/segment controller not provided for 4 controls. _x000a_4. Frequency/ Type of control not aligned with the sample tested for 20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Kay Hoffmann (Plant Controller) &amp; Lidia Bellone (Segment Controller) "/>
    <s v="Open"/>
    <s v=""/>
    <x v="1"/>
    <s v=""/>
    <s v=""/>
    <s v="N/A"/>
    <s v="Gupta"/>
    <s v=""/>
    <s v=""/>
    <s v=""/>
    <s v=""/>
    <s v=""/>
    <s v=""/>
    <s v=""/>
    <s v=""/>
    <s v=""/>
    <s v=""/>
    <s v=""/>
    <s v=""/>
    <s v=""/>
    <s v=""/>
    <s v=""/>
    <s v=""/>
    <s v=""/>
    <s v=""/>
    <d v="2025-11-12T00:00:00"/>
    <s v="11/12/2025"/>
    <n v="-40"/>
    <x v="1"/>
    <x v="1"/>
  </r>
  <r>
    <s v="TEN-2180"/>
    <s v="2025"/>
    <x v="3"/>
    <s v="PwC"/>
    <x v="0"/>
    <x v="62"/>
    <x v="0"/>
    <x v="2"/>
    <s v="Self-Testing"/>
    <s v=""/>
    <x v="34"/>
    <s v="Major"/>
    <s v=""/>
    <s v=""/>
    <s v="(Ploiesti - Braking)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2 controls _x000a_2. Sample details not updated per requirement for 4 controls _x000a_3. LCD does not align with the sample tested/testing attributes for 23 controls _x000a_4. Controls marked as not required but additional details/segment controller not provided for 23 controls _x000a__x000a_Risk: Incomplete details of self-testing in Wdesk increases risk of non-compliance of applicable controls. _x000a__x000a_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Razvan Grigoriu (Plant Controller) &amp; Christian Boucher (Regional Controller)"/>
    <s v="Open"/>
    <s v=""/>
    <x v="1"/>
    <s v=""/>
    <s v=""/>
    <s v="N/A"/>
    <s v="Gupta"/>
    <s v=""/>
    <s v=""/>
    <s v=""/>
    <s v=""/>
    <s v=""/>
    <s v=""/>
    <s v=""/>
    <s v=""/>
    <s v=""/>
    <s v=""/>
    <s v=""/>
    <s v=""/>
    <s v=""/>
    <s v=""/>
    <s v=""/>
    <s v=""/>
    <s v=""/>
    <s v=""/>
    <d v="2025-11-12T00:00:00"/>
    <s v="11/12/2025"/>
    <n v="-40"/>
    <x v="1"/>
    <x v="1"/>
  </r>
  <r>
    <s v="TEN-2181"/>
    <s v="2025"/>
    <x v="3"/>
    <s v="PwC"/>
    <x v="0"/>
    <x v="56"/>
    <x v="2"/>
    <x v="5"/>
    <s v="Self-Testing"/>
    <s v=""/>
    <x v="34"/>
    <s v="Major"/>
    <s v=""/>
    <s v=""/>
    <s v="(Sealing JV Victor Gaskets)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 control _x000a_2. Testing results are not updated correctly for 5 controls _x000a_3. Sample details not updated per requirement for 39 controls _x000a_4. LCD does not align with the sample tested/testing attributes for 3 controls _x000a_5. Controls marked as not required but additional details/segment controller not provided for 2 controls. _x000a_6. Frequency/ Type of control not aligned with the sample tested for 14 controls _x000a_7. Process narratives are not updated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Dhaneswar Das (Plant Controller) &amp; Victoria Pagnucci (Segment Controller) "/>
    <s v="Open"/>
    <s v=""/>
    <x v="1"/>
    <s v=""/>
    <s v=""/>
    <s v="N/A"/>
    <s v="Gupta"/>
    <s v=""/>
    <s v=""/>
    <s v=""/>
    <s v=""/>
    <s v=""/>
    <s v=""/>
    <s v=""/>
    <s v=""/>
    <s v=""/>
    <s v=""/>
    <s v=""/>
    <s v=""/>
    <s v=""/>
    <s v=""/>
    <s v=""/>
    <s v=""/>
    <s v=""/>
    <s v=""/>
    <d v="2025-11-12T00:00:00"/>
    <s v="11/12/2025"/>
    <n v="-40"/>
    <x v="1"/>
    <x v="1"/>
  </r>
  <r>
    <s v="TEN-2182"/>
    <s v="2025"/>
    <x v="3"/>
    <s v="PwC"/>
    <x v="0"/>
    <x v="13"/>
    <x v="2"/>
    <x v="5"/>
    <s v="Self-Testing"/>
    <s v=""/>
    <x v="34"/>
    <s v="Major"/>
    <s v=""/>
    <s v=""/>
    <s v="(Parwanoo - Bearings)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1 controls _x000a_2. Frequency/ Type of control not aligned with the sample tested for 1 control _x000a_3. Process narratives are not updated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Isha Kumari (Plant Controller) &amp; Victoria Pagnucci (Segment Controller)"/>
    <s v="Open"/>
    <s v=""/>
    <x v="1"/>
    <s v=""/>
    <s v=""/>
    <s v="N/A"/>
    <s v="Gupta"/>
    <s v=""/>
    <s v=""/>
    <s v=""/>
    <s v=""/>
    <s v=""/>
    <s v=""/>
    <s v=""/>
    <s v=""/>
    <s v=""/>
    <s v=""/>
    <s v=""/>
    <s v=""/>
    <s v=""/>
    <s v=""/>
    <s v=""/>
    <s v=""/>
    <s v=""/>
    <s v=""/>
    <d v="2025-11-12T00:00:00"/>
    <s v="11/12/2025"/>
    <n v="-40"/>
    <x v="1"/>
    <x v="1"/>
  </r>
  <r>
    <s v="TEN-2183"/>
    <s v="2025"/>
    <x v="3"/>
    <s v="PwC"/>
    <x v="0"/>
    <x v="20"/>
    <x v="5"/>
    <x v="13"/>
    <s v="Self-Testing"/>
    <s v=""/>
    <x v="34"/>
    <s v="Major"/>
    <s v=""/>
    <s v=""/>
    <s v="(Bhiwadi - Ignition)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1 controls _x000a_2. Testing results are not updated correctly for 2 controls _x000a_3. Sample details not updated per requirement for 1 control _x000a_4. Controls marked as not required but additional details/segment controller not provided for 3 controls _x000a_5. Process narratives are not updated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Sumit Gupta (Plant Controller) &amp; Victoria Pagnucci (Segment Controller)"/>
    <s v="Open"/>
    <s v=""/>
    <x v="1"/>
    <s v=""/>
    <s v=""/>
    <s v="N/A"/>
    <s v="Gupta"/>
    <s v=""/>
    <s v=""/>
    <s v=""/>
    <s v=""/>
    <s v=""/>
    <s v=""/>
    <s v=""/>
    <s v=""/>
    <s v=""/>
    <s v=""/>
    <s v=""/>
    <s v=""/>
    <s v=""/>
    <s v=""/>
    <s v=""/>
    <s v=""/>
    <s v=""/>
    <s v=""/>
    <d v="2025-11-12T00:00:00"/>
    <s v="11/12/2025"/>
    <n v="-40"/>
    <x v="1"/>
    <x v="1"/>
  </r>
  <r>
    <s v="TEN-2184"/>
    <s v="2025"/>
    <x v="3"/>
    <s v="PwC"/>
    <x v="0"/>
    <x v="73"/>
    <x v="0"/>
    <x v="21"/>
    <s v="Self-Testing"/>
    <s v=""/>
    <x v="34"/>
    <s v="Major"/>
    <s v=""/>
    <s v=""/>
    <s v="(Smithville TN)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Sample details not updated per requirement for 7 controls _x000a_2. Controls marked as not required but additional details/segment controller not provided for 1 control _x000a_3. Frequency/ Type of control not aligned with the sample tested for 2 controls _x000a__x000a_Risk: Incomplete details of self-testing in Wdesk increases risk of non-compliance of applicable controls. _x000a__x000a_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Christi Pereira (Plant Controller) &amp; Holly York (Regional Controller)  "/>
    <s v="Open"/>
    <s v=""/>
    <x v="1"/>
    <s v=""/>
    <s v=""/>
    <s v="N/A"/>
    <s v="Gupta"/>
    <s v=""/>
    <s v=""/>
    <s v=""/>
    <s v=""/>
    <s v=""/>
    <s v=""/>
    <s v=""/>
    <s v=""/>
    <s v=""/>
    <s v=""/>
    <s v=""/>
    <s v=""/>
    <s v=""/>
    <s v=""/>
    <s v=""/>
    <s v=""/>
    <s v=""/>
    <s v=""/>
    <d v="2025-11-12T00:00:00"/>
    <s v="11/12/2025"/>
    <n v="-40"/>
    <x v="1"/>
    <x v="1"/>
  </r>
  <r>
    <s v="TEN-2185"/>
    <s v="2025"/>
    <x v="3"/>
    <s v="PwC"/>
    <x v="0"/>
    <x v="112"/>
    <x v="0"/>
    <x v="17"/>
    <s v="Self-Testing"/>
    <s v=""/>
    <x v="34"/>
    <s v="Major"/>
    <s v=""/>
    <s v=""/>
    <s v="(Tenneco Japan Warehouse OE)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The comments were not corrected/ received in Wdesk by the location after repeat follow-ups until October 31, 2025.  _x000a__x000a_1. Mandatory fields not populated for 4 controls _x000a_2. Sample details not updated per requirement for 25 controls _x000a_3. Controls marked as not required but additional details/segment controller not provided for 6 controls. _x000a_4. Frequency/ Type of control not aligned with the sample tested for 13 controls. _x000a_5. Process narratives are not updated.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Seiji Niwa – Plant Controller &amp; Rolf Bartels – Finance Director"/>
    <s v="Open"/>
    <s v=""/>
    <x v="1"/>
    <s v=""/>
    <s v=""/>
    <s v="N/A"/>
    <s v="Gupta"/>
    <s v=""/>
    <s v=""/>
    <s v=""/>
    <s v=""/>
    <s v=""/>
    <s v=""/>
    <s v=""/>
    <s v=""/>
    <s v=""/>
    <s v=""/>
    <s v=""/>
    <s v=""/>
    <s v=""/>
    <s v=""/>
    <s v=""/>
    <s v=""/>
    <s v=""/>
    <s v=""/>
    <d v="2025-11-12T00:00:00"/>
    <s v="11/12/2025"/>
    <n v="-40"/>
    <x v="1"/>
    <x v="1"/>
  </r>
  <r>
    <s v="TEN-2186"/>
    <s v="2025"/>
    <x v="3"/>
    <s v="PwC"/>
    <x v="0"/>
    <x v="19"/>
    <x v="0"/>
    <x v="1"/>
    <s v="Self-Testing"/>
    <s v=""/>
    <x v="34"/>
    <s v="Major"/>
    <s v=""/>
    <s v=""/>
    <s v="(Bhiwadi SPG)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1 control _x000a_2. Testing results are not updated correctly for 4 controls _x000a_3. Sample details not updated per requirement for 20 controls _x000a_4. Frequency/ Type of control not aligned with the sample tested for 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Kirpal Yadav (Plant Controller) &amp; Arup Mukherjee (Segment Controller)"/>
    <s v="Open"/>
    <s v=""/>
    <x v="1"/>
    <s v=""/>
    <s v=""/>
    <s v="N/A"/>
    <s v="Gupta"/>
    <s v=""/>
    <s v=""/>
    <s v=""/>
    <s v=""/>
    <s v=""/>
    <s v=""/>
    <s v=""/>
    <s v=""/>
    <s v=""/>
    <s v=""/>
    <s v=""/>
    <s v=""/>
    <s v=""/>
    <s v=""/>
    <s v=""/>
    <s v=""/>
    <s v=""/>
    <s v=""/>
    <d v="2025-11-12T00:00:00"/>
    <s v="11/12/2025"/>
    <n v="-40"/>
    <x v="1"/>
    <x v="1"/>
  </r>
  <r>
    <s v="TEN-2187"/>
    <s v="2025"/>
    <x v="3"/>
    <s v="PwC"/>
    <x v="0"/>
    <x v="113"/>
    <x v="2"/>
    <x v="9"/>
    <s v="Self-Testing"/>
    <s v=""/>
    <x v="34"/>
    <s v="Major"/>
    <s v=""/>
    <s v=""/>
    <s v="(Cuorgne) (Powertrain)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Mandatory fields not populated for 2 controls _x000a_2. Testing results are not updated correctly for 16 controls _x000a_3. Sample details not updated per requirement for 3 controls _x000a_4. Controls marked as not required but additional details/segment controller approval not provided for 13 controls. 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Fedele Finale (Plant Controller) &amp; Lidia Bellone (Segment Controller) "/>
    <s v="Open"/>
    <s v=""/>
    <x v="1"/>
    <s v=""/>
    <s v=""/>
    <s v="N/A"/>
    <s v="Gupta"/>
    <s v=""/>
    <s v=""/>
    <s v=""/>
    <s v=""/>
    <s v=""/>
    <s v=""/>
    <s v=""/>
    <s v=""/>
    <s v=""/>
    <s v=""/>
    <s v=""/>
    <s v=""/>
    <s v=""/>
    <s v=""/>
    <s v=""/>
    <s v=""/>
    <s v=""/>
    <s v=""/>
    <d v="2025-11-12T00:00:00"/>
    <s v="11/12/2025"/>
    <n v="-40"/>
    <x v="1"/>
    <x v="1"/>
  </r>
  <r>
    <s v="TEN-2188"/>
    <s v="2025"/>
    <x v="3"/>
    <s v="PwC"/>
    <x v="0"/>
    <x v="114"/>
    <x v="0"/>
    <x v="4"/>
    <s v="Self-Testing"/>
    <s v=""/>
    <x v="34"/>
    <s v="Major"/>
    <s v=""/>
    <s v=""/>
    <s v="(Sint Truiden) (Performance Solutions)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Testing results are not updated correctly for 9 controls _x000a_2. Sample details not updated per requirement for 9 controls _x000a_3. LCD does not align with the sample tested/testing attributes for 3 controls _x000a_4. Controls marked as not required but additional details/segment controller not provided for 3 controls. _x000a_5. Frequency/ Type of control not aligned with the sample tested for 14 controls _x000a__x000a_Risk: Incomplete details of self-testing in Wdesk increases risk of non-compliance of applicable controls. "/>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Ine Peeters (Plant Controller) &amp; Luc Ceulemans (Regional Controller) "/>
    <s v="Open"/>
    <s v=""/>
    <x v="1"/>
    <s v=""/>
    <s v=""/>
    <s v="N/A"/>
    <s v="Gupta"/>
    <s v=""/>
    <s v=""/>
    <s v=""/>
    <s v=""/>
    <s v=""/>
    <s v=""/>
    <s v=""/>
    <s v=""/>
    <s v=""/>
    <s v=""/>
    <s v=""/>
    <s v=""/>
    <s v=""/>
    <s v=""/>
    <s v=""/>
    <s v=""/>
    <s v=""/>
    <s v=""/>
    <d v="2025-11-12T00:00:00"/>
    <s v="11/12/2025"/>
    <n v="-40"/>
    <x v="1"/>
    <x v="1"/>
  </r>
  <r>
    <s v="TEN-2189"/>
    <s v="2025"/>
    <x v="3"/>
    <s v="PwC"/>
    <x v="0"/>
    <x v="33"/>
    <x v="3"/>
    <x v="7"/>
    <s v="Self-Testing"/>
    <s v=""/>
    <x v="34"/>
    <s v="Major"/>
    <s v=""/>
    <s v=""/>
    <s v="(Regional Aftermarket - NAM (Excludes Mexico)) (Regional Aftermarket - SAM) (AFFINIA (Excluding NAPD) / Southfield APS) (DRiV) - Management Self Testing Report 2025"/>
    <s v="Self-testing documentation required improvement."/>
    <s v="Background: All locations were required to complete self-testing by July 31, 2025. We reviewed the self-testing submitted by the location to ensure completeness. The explanations and comments in Wdesk were incomplete with respect to mandatory fields to be completed as per CSA guidelines.  _x000a__x000a_The comments were not corrected/ received in Wdesk by the location after repeat follow-ups until October 31, 2025.  _x000a__x000a_1. Sample details not updated per requirement for 1 control _x000a__x000a_Risk: Incomplete details of self-testing in Wdesk increases risk of non-compliance of applicable controls."/>
    <s v=""/>
    <s v="Self-testing should be completed within due date adhering to the guidelines and instructions communicated to all locations. "/>
    <s v="Incomplete information to be completed by location in Wdesk by December 31, 2025. _x000a__x000a_Regional BU Controllers should review the information and confirm the completeness.  _x000a__x000a_Self-testing for 2026 will be completed as per corporate directed timelines.  "/>
    <x v="1"/>
    <x v="1"/>
    <s v=""/>
    <s v="Michael Kurinsky (Plant Controller) &amp; Devang Parikh (Segment Controller) "/>
    <s v="Open"/>
    <s v=""/>
    <x v="1"/>
    <s v=""/>
    <s v=""/>
    <s v="N/A"/>
    <s v="Gupta"/>
    <s v=""/>
    <s v=""/>
    <s v=""/>
    <s v=""/>
    <s v=""/>
    <s v=""/>
    <s v=""/>
    <s v=""/>
    <s v=""/>
    <s v=""/>
    <s v=""/>
    <s v=""/>
    <s v=""/>
    <s v=""/>
    <s v=""/>
    <s v=""/>
    <s v=""/>
    <s v=""/>
    <d v="2025-11-12T00:00:00"/>
    <s v="11/12/2025"/>
    <n v="-40"/>
    <x v="1"/>
    <x v="1"/>
  </r>
  <r>
    <s v="TEN-2190"/>
    <s v="2025"/>
    <x v="0"/>
    <s v="PwC"/>
    <x v="1"/>
    <x v="46"/>
    <x v="3"/>
    <x v="7"/>
    <s v="Physical Security"/>
    <s v="Surveillance Camera Management ​_x000a_Door / Badge Access"/>
    <x v="2"/>
    <s v="Major"/>
    <s v=""/>
    <s v=""/>
    <s v="Skokie (DRiV) - Full Scope 2025"/>
    <s v="Inappropriate Badge Access Retention After_x000a_Termination and Lack of Formal Documentation"/>
    <s v="Inappropriate Badge Access Retention After_x000a_Termination and Lack of Formal Documentation_x000a__x000a_A review of physical access logs identified that 122 terminated employees_x000a_retained active badge access credentials. The current process lacks formal_x000a_documentation and coordination between HR and Plant Security for timely_x000a_communication of employee terminations and corresponding revocation of_x000a_badge access.​_x000a__x000a_Additionally, plant security systems are limited in their reporting capabilities,_x000a_as they can only extract door access logs in PDF format rather than in an_x000a_analyzable Excel format and therefore cannot easily assess if recent activity_x000a_was appropriate.​_x000a__x000a_CCTV Camera Installation​_x000a__x000a_During the review of physical security controls at the Skokie site, it was_x000a_noted that no CCTV cameras are installed in the Distribution Center (DC)_x000a_area. Currently, 36 cameras are operational around the office section of the_x000a_facility; however, these do not provide visibility over the DC’s interior or_x000a_surrounding areas. The absence of surveillance in this high-activity zone_x000a_limits management’s ability to monitor movements, deter theft or_x000a_unauthorized access, and investigate incidents. This lack of coverage may_x000a_create potential legal exposure in the event of workplace accidents or_x000a_disputes, as there would be no visual evidence to support investigations.​_x000a__x000a_Management indicated that a security enhancement project is being_x000a_planned to upgrade overall plant surveillance, including the DC area. As of_x000a_the audit date, no specific implementation timeline or project completion_x000a_date has been confirmed.​"/>
    <s v="No"/>
    <s v="Conduct periodic reconciliations between HR_x000a_termination records and active badge access lists to_x000a_confirm timely revocation.​_x000a__x000a_Enhance system capabilities to allow exportable and_x000a_analyzable access logs (e.g., Excel format).​_x000a__x000a_Prioritize and expedite installation of CCTV cameras_x000a_covering key areas within and around the Distribution_x000a_Center to ensure comprehensive surveillance."/>
    <s v="All 122 terminated employees have been purged from the system and policy has been written for HR to inform Security of all terminations as they occur. ​_x000a__x000a_Additionally, HR &amp; Security will reconcile on a monthly basis.​_x000a_​_x000a_The Security Enhancement project has been approved and scheduled to begin 2026. "/>
    <x v="0"/>
    <x v="13"/>
    <s v=""/>
    <s v="Ray White (Security Manager),_x000a_Kelli Antman (HR Manager)"/>
    <s v="Open"/>
    <s v=""/>
    <x v="3"/>
    <s v=""/>
    <s v=""/>
    <s v="Not Completed"/>
    <s v="Chawla"/>
    <s v=""/>
    <s v=""/>
    <s v=""/>
    <s v=""/>
    <s v=""/>
    <s v=""/>
    <s v=""/>
    <s v=""/>
    <s v=""/>
    <s v=""/>
    <s v=""/>
    <s v=""/>
    <s v=""/>
    <s v=""/>
    <s v=""/>
    <s v=""/>
    <s v=""/>
    <d v="2025-09-22T00:00:00"/>
    <d v="2025-10-31T00:00:00"/>
    <s v="11/17/2025"/>
    <n v="-221"/>
    <x v="1"/>
    <x v="1"/>
  </r>
  <r>
    <s v="TEN-2191"/>
    <s v="2025"/>
    <x v="0"/>
    <s v="PwC"/>
    <x v="0"/>
    <x v="46"/>
    <x v="3"/>
    <x v="7"/>
    <s v="Reconciliations"/>
    <s v="Bank Account Reconciliations"/>
    <x v="0"/>
    <s v="Major"/>
    <s v="REVE-29"/>
    <s v="REVE-29"/>
    <s v="Skokie (DRiV) - Full Scope 2025"/>
    <s v="Aged and Unreconciled Bank Balances"/>
    <s v="Following the merging of bank accounts for EP1 with other SAP instances,_x000a_the Juárez SSC team no longer has clear visibility into the specific_x000a_transactions and balances that need to be reconciled. The merged structure_x000a_has created ambiguity over which business unit—DRiV or other Tenneco_x000a_Business Units—owns certain cash movements and balances. As a result,_x000a_reconciliations cannot be performed accurately or timely, and there is_x000a_limited traceability of approximately USD ~8.7 million of unreconciled cash_x000a_balances in the June 2025 reconciliation.​_x000a__x000a_This reconciliation was observed in the April 2025 and the June 2025_x000a_reconciliations for JPMorgan Account Number 325005707 for both the_x000a_Concentration 5699 account reconciliation and the JPM Disbursement 5707_x000a_Account Reconciliation. Company codes 1001, 1070, and 1072 are combined_x000a_into these reconciliations. ​_x000a__x000a_The review timeline was noted as follows: The April 2025 reconciliations_x000a_were prepared between June 12-17, 2025 and reviewed July 22, 2025.  The_x000a_June 2025 reconciliations were prepared between July 21-22, 2025 and_x000a_reviewed October 12, 2025, after the audit had taken place."/>
    <s v="No"/>
    <s v="Develop and document a reconciliation support matrix_x000a_outlining points of contact for each account, entity, or_x000a_transaction type to ensure reconcilers know where to_x000a_direct questions and can obtain timely responses."/>
    <s v="Separate shared bank accounts by_x000a_legal entity to ensure clear ownership_x000a_at the DRiV level. ​_x000a__x000a_Create a reconciliation support matrix_x000a_that will document key contacts,_x000a_responsibilities, and review frequencies_x000a_for each bank account. ​_x000a__x000a_Perform the reconciliations inclusive_x000a_of reconciliation explanations and_x000a_management approval and sign off for_x000a_the reconciliation. The plan is to be_x000a_fully remediated March 2026."/>
    <x v="0"/>
    <x v="11"/>
    <s v=""/>
    <s v="Sean Okeefe (BU Treasury) and_x000a_Georgeta Diaconu (SSC Leader)"/>
    <s v="Open"/>
    <s v=""/>
    <x v="3"/>
    <s v=""/>
    <s v=""/>
    <s v="Not Completed"/>
    <s v="Chawla"/>
    <s v="E/O"/>
    <s v=""/>
    <s v=""/>
    <s v=""/>
    <s v=""/>
    <s v=""/>
    <s v=""/>
    <s v=""/>
    <s v=""/>
    <s v=""/>
    <s v=""/>
    <s v=""/>
    <s v=""/>
    <s v=""/>
    <s v=""/>
    <s v=""/>
    <s v=""/>
    <d v="2025-10-20T00:00:00"/>
    <d v="2025-10-31T00:00:00"/>
    <s v="11/17/2025"/>
    <n v="-130"/>
    <x v="1"/>
    <x v="1"/>
  </r>
  <r>
    <s v="TEN-2192"/>
    <s v="2025"/>
    <x v="0"/>
    <s v="PwC"/>
    <x v="1"/>
    <x v="46"/>
    <x v="3"/>
    <x v="7"/>
    <s v="Revenue and Receivables"/>
    <s v="Accounts Receivable Aging"/>
    <x v="0"/>
    <s v="Major"/>
    <s v=""/>
    <s v=""/>
    <s v="Skokie (DRiV) - Full Scope 2025"/>
    <s v="Accounts Receivable:_x000a_Unclear Accountability And Ownership"/>
    <s v="Accounts Receivable activities are managed by separate individuals across_x000a_functions, with minimal centralized oversight or ownership to ensure_x000a_accuracy, completeness, and timely resolution of reconciling items._x000a_Investigations into potentially erroneous or aged balances are primarily_x000a_performed at a group level, rather than at the transactional or entity level_x000a_where discrepancies originate. This weakens the control environment_x000a_around AR integrity and financial reporting accuracy. For example, AR Aging_x000a_includes ~$1.5m of unexplained credit balance between 365-720 days past_x000a_due and receivables aged over 2 years are reserved at 100% rather than_x000a_being removed as per policy.​_x000a__x000a_A review of Accounts Receivable (AR) processes identified unclear_x000a_accountability for AR management and untimely performance of_x000a_reconciliations. Reconciliations currently do not include a detailed_x000a_investigation of significant or unusual balances. Instances were noted where_x000a_credit balances ranging between $50K–$500K remained unexplained in the_x000a_receivables ledger."/>
    <s v="No"/>
    <s v="Leadership should define and assign clear ownership for_x000a_AR reconciliation and monitoring, ensuring_x000a_accountability for accuracy, completeness, and timely_x000a_completion. ​_x000a__x000a_Implement standardized reconciliation procedures_x000a_requiring investigation and documentation of all_x000a_unusual or material balances, including credit positions."/>
    <s v="Establish clear roles and_x000a_responsibilities for AR reconciliations and_x000a_monitoring activities.​_x000a__x000a_Implement standardized AR_x000a_reconciliations, including timelines, action_x000a_steps and document of investigations for_x000a_unexplained differences or aged items"/>
    <x v="0"/>
    <x v="8"/>
    <s v=""/>
    <s v="Dan Brugger (Finance_x000a_Director), Georgeta Diaconu (Head of_x000a_Global Business Services), Claudia_x000a_Montoya (NA Senior Manager General_x000a_Ledger)"/>
    <s v="Open"/>
    <s v=""/>
    <x v="3"/>
    <s v=""/>
    <s v=""/>
    <s v="Not Completed"/>
    <s v="Chawla"/>
    <s v=""/>
    <s v=""/>
    <s v=""/>
    <s v=""/>
    <s v=""/>
    <s v=""/>
    <s v=""/>
    <s v=""/>
    <s v=""/>
    <s v=""/>
    <s v=""/>
    <s v=""/>
    <s v=""/>
    <s v=""/>
    <s v=""/>
    <s v=""/>
    <s v=""/>
    <d v="2025-09-22T00:00:00"/>
    <d v="2025-10-31T00:00:00"/>
    <s v="11/17/2025"/>
    <n v="-71"/>
    <x v="1"/>
    <x v="1"/>
  </r>
  <r>
    <s v="TEN-2193"/>
    <s v="2025"/>
    <x v="0"/>
    <s v="PwC"/>
    <x v="1"/>
    <x v="46"/>
    <x v="3"/>
    <x v="7"/>
    <s v="Information Technology General Controls (ITGC)"/>
    <s v="SAP Access"/>
    <x v="12"/>
    <s v="Moderate"/>
    <s v=""/>
    <s v=""/>
    <s v="Skokie (DRiV) - Full Scope 2025"/>
    <s v="SAP Access Controls: Terminated and Shared User_x000a_Accounts Identified"/>
    <s v="During a review of the SAP user access controls, 11 terminated employees_x000a_were identified that retained active SAP accounts at the time of the audit_x000a_(September 2025). These included three contract workers and one_x000a_employee whose termination dates ranged between April and August 2025,_x000a_yet access remained enabled several months after departure (X1BRAYLO​_x000a__x000a_X1DANIO6, X1KEVIM5, X1LICVMB, MEGAOTTO, NICHDAIG, EVERAR65, X1SA_x000a_HAFA, CASTRS21, X1SHAMKH, GARCIS72).​​_x000a__x000a_It was noted that shared Packaging accounts (e.g., SKOK-FPDPCK3 and_x000a_SKOK-FPDPCK5) remain active, each assigned with high-privilege roles such_x000a_as ZSEC_PACKAGING_MANAGER_2169, ZSEC_RF_PICKING_PACKING_2169,_x000a_ZSEC_TRAFFIC_SHIPP_COORD_2169, and_x000a_ZSEC_WHS_ADMINISTRATION_2169. ​_x000a__x000a_The use of shared credentials significantly reduces transaction traceability_x000a_and weakens accountability for system activities. Active user IDs not_x000a_currently on the DRiV employee roster indicates a need for periodic review_x000a_and reconciliation of user access. ​_x000a__x000a_It was noted that no users accessed the systems post termination. "/>
    <s v="No"/>
    <s v="Establish a periodic, management-approved user access_x000a_certification process to review and confirm the validity_x000a_of all active accounts and roles.​_x000a__x000a_Review and rationalize SAP roles to align access rights_x000a_with job responsibilities.​_x000a__x000a_Review interface between AD and SAP to understand_x000a_why these individuals were not removed after_x000a_termination."/>
    <s v="Terminated users do not_x000a_have access to Active Directory and will_x000a_be removed from SAP. Shared User IDs_x000a_used for training; we have had_x000a_authorization for them since 2019 and will_x000a_continue to use and approve during PUR_x000a_reviews​."/>
    <x v="2"/>
    <x v="8"/>
    <s v=""/>
    <s v="Daniel Barrera (Distribution_x000a_Center Manager)"/>
    <s v="Open"/>
    <s v=""/>
    <x v="3"/>
    <s v=""/>
    <s v=""/>
    <s v="Not Completed"/>
    <s v="Chawla"/>
    <s v=""/>
    <s v=""/>
    <s v=""/>
    <s v=""/>
    <s v=""/>
    <s v=""/>
    <s v=""/>
    <s v=""/>
    <s v=""/>
    <s v=""/>
    <s v=""/>
    <s v=""/>
    <s v=""/>
    <s v=""/>
    <s v=""/>
    <s v=""/>
    <s v=""/>
    <d v="2025-09-22T00:00:00"/>
    <d v="2025-10-31T00:00:00"/>
    <s v="11/17/2025"/>
    <n v="-71"/>
    <x v="1"/>
    <x v="1"/>
  </r>
  <r>
    <s v="TEN-2194"/>
    <s v="2025"/>
    <x v="0"/>
    <s v="PwC"/>
    <x v="1"/>
    <x v="46"/>
    <x v="3"/>
    <x v="7"/>
    <s v="Information Technology General Controls (ITGC)"/>
    <s v="SAP Configuration"/>
    <x v="43"/>
    <s v="Moderate"/>
    <s v=""/>
    <s v=""/>
    <s v="Skokie (DRiV) - Full Scope 2025"/>
    <s v="SAP Configuration Allows Invoices to Exceed Purchase_x000a_Order Values (Two-Way Match)"/>
    <s v="A review of the SAP procure-to-pay (P2P) configuration identified that the_x000a_system is currently not set to enforce a two-way match, allowing invoices to_x000a_be processed and paid even when they exceed corresponding purchase_x000a_order (PO) amounts.​_x000a__x000a_Testing identified 30+ instances within the audit period where invoice_x000a_amounts exceeded their related POs, with individual variances of up to $74K_x000a_and aggregate differences totaling approximately $200K. The configuration_x000a_permits invoices to post without an automated tolerance control or_x000a_exception workflow to flag and block these overages for review prior to_x000a_payment.​_x000a__x000a_This configuration gap increases reliance on manual monitoring by_x000a_Accounts Payable and Procurement teams, heightening the risk of_x000a_overpayments or unapproved expenditures going undetected.​_x000a__x000a_Instances where invoices were greater than PO: 4502572042,_x000a_4502896437, 4502572041, 4502850122, 4502672808"/>
    <s v="No"/>
    <s v="Implement periodic exception reporting and review_x000a_controls to monitor and investigate invoices exceeding_x000a_PO amounts."/>
    <s v="Communication sent to all_x000a_Buyers/Planners that nothing will be Post_x000a_Good Received over the 10% limit. If over,_x000a_the PO will need to be adjusted, or a new_x000a_one will be needed. Plant has need to_x000a_receive overages from Vendors who_x000a_cannot keep up with need. "/>
    <x v="2"/>
    <x v="1"/>
    <s v=""/>
    <s v="DC Operations Team. Nestor_x000a_Narciso (Area Manager) and Daniel_x000a_Barrera (DC Manager). "/>
    <s v="Open"/>
    <s v=""/>
    <x v="1"/>
    <s v=""/>
    <s v=""/>
    <s v="Not Completed"/>
    <s v="Chawla"/>
    <s v=""/>
    <s v=""/>
    <s v=""/>
    <s v=""/>
    <s v=""/>
    <s v=""/>
    <s v=""/>
    <s v=""/>
    <s v=""/>
    <s v=""/>
    <s v=""/>
    <s v=""/>
    <s v=""/>
    <s v=""/>
    <s v=""/>
    <s v=""/>
    <s v=""/>
    <d v="2025-09-22T00:00:00"/>
    <d v="2025-10-31T00:00:00"/>
    <s v="11/17/2025"/>
    <n v="-40"/>
    <x v="1"/>
    <x v="1"/>
  </r>
  <r>
    <s v="TEN-2195"/>
    <s v="2025"/>
    <x v="0"/>
    <s v="PwC"/>
    <x v="0"/>
    <x v="46"/>
    <x v="3"/>
    <x v="7"/>
    <s v="Period End Financial Reporting"/>
    <s v="Month-End Close"/>
    <x v="22"/>
    <s v="Moderate"/>
    <s v="PEFR-19"/>
    <s v="PEFR-19"/>
    <s v="Skokie (DRiV) - Full Scope 2025"/>
    <s v="Incomplete Month-End Journal Entry Review and_x000a_Month-End Close Checklist"/>
    <s v="During month-end, the completeness check does not cover all journal_x000a_entries. In June 2025, 20 of 41 journal entries were not reviewed due to_x000a_reliance on a manual, formula-driven process. This creates a risk that entries_x000a_may remain unreviewed or misstated.​_x000a__x000a_Further, the Financial Controller does not prepare or sign off on a month-_x000a_end close checklist, and responsibility for key close activities is unclear._x000a_Without clear ownership and documentation, there is limited assurance that_x000a_all month-end procedures are performed, reviewed, and completed in a_x000a_timely manner."/>
    <s v="No"/>
    <s v="Adopt an automated or system-supported process to_x000a_ensure all journal entries are captured, reviewed, and_x000a_approved prior to close completion.​_x000a__x000a_Implement a formal month-end close checklist with_x000a_clear task ownership, review requirements, and sign-off_x000a_by the Financial Controller or designee."/>
    <s v="Create a standardized_x000a_checklist with task ownership, review_x000a_steps, and sign-off."/>
    <x v="0"/>
    <x v="8"/>
    <s v=""/>
    <s v="Dan Brugger (Finance_x000a_Director), Max Eurich (Finance Manager),_x000a_Varsha Manghnani (Distribution Center_x000a_Senior Analyst)"/>
    <s v="Open"/>
    <s v=""/>
    <x v="3"/>
    <s v=""/>
    <s v=""/>
    <s v="Not Completed"/>
    <s v="Chawla"/>
    <s v="C, CO"/>
    <s v=""/>
    <s v=""/>
    <s v=""/>
    <s v=""/>
    <s v=""/>
    <s v=""/>
    <s v=""/>
    <s v=""/>
    <s v=""/>
    <s v=""/>
    <s v=""/>
    <s v=""/>
    <s v=""/>
    <s v=""/>
    <s v=""/>
    <s v=""/>
    <d v="2025-09-22T00:00:00"/>
    <d v="2025-10-31T00:00:00"/>
    <s v="11/17/2025"/>
    <n v="-71"/>
    <x v="1"/>
    <x v="1"/>
  </r>
  <r>
    <s v="TEN-2196"/>
    <s v="2025"/>
    <x v="0"/>
    <s v="PwC"/>
    <x v="1"/>
    <x v="46"/>
    <x v="3"/>
    <x v="7"/>
    <s v="Master Data"/>
    <s v="Materials Master Data"/>
    <x v="10"/>
    <s v="Moderate"/>
    <s v=""/>
    <s v=""/>
    <s v="Skokie (DRiV) - Full Scope 2025"/>
    <s v="Lack of Material Master Data Review"/>
    <s v="The central materials team has the ability to edit material master data_x000a_directly in the system without any form of approval, review, or audit trail. No_x000a_formal process exists to monitor or validate changes made to key material_x000a_attributes such as valuation class, unit of measure, or standard cost.​_x000a__x000a_This control gap increases the risk of unauthorized or erroneous_x000a_modifications to master data, which could affect inventory valuation, cost of_x000a_goods sold, and overall financial reporting accuracy."/>
    <s v="No"/>
    <s v="Perform periodic reviews of master data changes to_x000a_ensure accuracy, completeness, and accountability."/>
    <s v="Start monthly process of_x000a_reviewing planner changes to master data​."/>
    <x v="0"/>
    <x v="19"/>
    <s v=""/>
    <s v="Marcus Bodner (Supply_x000a_Planning Manager)"/>
    <s v="Open"/>
    <s v=""/>
    <x v="2"/>
    <s v=""/>
    <s v=""/>
    <s v="Not Completed"/>
    <s v="Chawla"/>
    <s v=""/>
    <s v=""/>
    <s v=""/>
    <s v=""/>
    <s v=""/>
    <s v=""/>
    <s v=""/>
    <s v=""/>
    <s v=""/>
    <s v=""/>
    <s v=""/>
    <s v=""/>
    <s v=""/>
    <s v=""/>
    <s v=""/>
    <s v=""/>
    <s v=""/>
    <d v="2025-09-22T00:00:00"/>
    <d v="2025-10-31T00:00:00"/>
    <s v="11/17/2025"/>
    <n v="-24"/>
    <x v="1"/>
    <x v="1"/>
  </r>
  <r>
    <s v="TEN-2197"/>
    <s v="2025"/>
    <x v="0"/>
    <s v="PwC"/>
    <x v="1"/>
    <x v="46"/>
    <x v="3"/>
    <x v="7"/>
    <s v="Purchasing and Payables"/>
    <s v="Purchase Orders"/>
    <x v="5"/>
    <s v="Moderate"/>
    <s v=""/>
    <s v=""/>
    <s v="Skokie (DRiV) - Full Scope 2025"/>
    <s v="Lack of Open Purchase Order (PO) Review and_x000a_Documentation"/>
    <s v="Open purchase orders (POs) within plants 2168 and 2169 totaling_x000a_approximately $533K were identified as remaining open from 2021–2024,_x000a_including $156K across 77 open POs at the time of the audit. These POs are_x000a_not subject to an annual review to assess whether they remain valid or_x000a_should be closed.​_x000a__x000a_No formal documentation is maintained to justify why individual POs_x000a_remain open, and while a weekly open PO report is generated, there is no_x000a_formal approval or retention of the review and sign-off. The lack of periodic_x000a_and documented review increases the risk of outdated, duplicate, or_x000a_unnecessary commitments remaining on the books, impacting financial_x000a_accuracy and budgeting visibility."/>
    <s v="No"/>
    <s v="Implement a documented periodic review process (at_x000a_least annually) to validate the necessity of open POs and_x000a_close obsolete or inactive ones.​_x000a__x000a_Establish formal review and approval controls requiring_x000a_retention of evidence (e.g., sign-off or electronic record)_x000a_for open PO report reviews."/>
    <s v="Start monthly process of_x000a_recording feedback from suppliers on_x000a_orders &gt; 1 year past due."/>
    <x v="2"/>
    <x v="19"/>
    <s v=""/>
    <s v="Marcus Bodner (Supply_x000a_Planning Manager)"/>
    <s v="Open"/>
    <s v=""/>
    <x v="2"/>
    <s v=""/>
    <s v=""/>
    <s v="Not Completed"/>
    <s v="Chawla"/>
    <s v=""/>
    <s v=""/>
    <s v=""/>
    <s v=""/>
    <s v=""/>
    <s v=""/>
    <s v=""/>
    <s v=""/>
    <s v=""/>
    <s v=""/>
    <s v=""/>
    <s v=""/>
    <s v=""/>
    <s v=""/>
    <s v=""/>
    <s v=""/>
    <s v=""/>
    <d v="2025-09-22T00:00:00"/>
    <d v="2025-10-31T00:00:00"/>
    <s v="11/17/2025"/>
    <n v="-24"/>
    <x v="1"/>
    <x v="1"/>
  </r>
  <r>
    <s v="TEN-2198"/>
    <s v="2025"/>
    <x v="0"/>
    <s v="PwC"/>
    <x v="1"/>
    <x v="46"/>
    <x v="3"/>
    <x v="7"/>
    <s v="Property, Plant, and Equipment"/>
    <s v="Fixed Asset Tagging / Fixed Asset Classification"/>
    <x v="6"/>
    <s v="Moderate"/>
    <s v=""/>
    <s v=""/>
    <s v="Skokie (DRiV) - Full Scope 2025"/>
    <s v="Classification Errors, Inaccurate Depreciation,_x000a_and Inaccurate Asset Tagging"/>
    <s v="Fixed Assets Classification Errors and Inaccurate_x000a_Depreciation_x000a_Analytics identified classification errors in 89 fixed assets, resulting in_x000a_miscalculated depreciation of approximately $50K. One asset (Line Side_x000a_Labeler RR) valued at $6K was recorded under two different asset_x000a_classes (20000 Machinery &amp; Equipment and 29000 Capitalised_x000a_Software) causing inconsistent depreciation treatment compared to similar_x000a_assets.​_x000a__x000a_Inaccurate Tagging and Fixed Asset Register Records​_x000a__x000a_Several discrepancies were identified in the tagging and recording of fixed_x000a_assets within the Skokie Distribution Center (DC):​_x000a__x000a_Seven assets (baggers) physically present on the plant floor remain_x000a_tagged with “Federal-Mogul” asset numbers and are not listed on the_x000a_current fixed asset register. While these items are fully depreciated and_x000a_would have a book value of $0, their continued use without proper_x000a_recording indicates  incomplete asset tracking  and reconciliation_x000a_between physical assets and the accounting system.​_x000a__x000a_Fixed Asset “BLDG 12 RACKING” with a book value of $183K was_x000a_recorded under entity 2168, although it physically belongs to entity 2169.​_x000a__x000a_Fixed Asset “Dell Computer Laptop” (asset 5792) was capitalized despite_x000a_being below the capitalization threshold, and the original invoice was not_x000a_retained, preventing validation against the Tenneco Capitalization Policy."/>
    <s v="No"/>
    <s v="Perform a comprehensive review and cleanup of the_x000a_fixed asset master data to correct misclassifications and_x000a_ensure consistency in depreciation methods.​_x000a__x000a_Establish a periodic reconciliation process between the_x000a_fixed asset register and physical assets at each site to_x000a_verify existence, classification, tagging, and residual_x000a_values.​_x000a__x000a_Perform a full reconciliation between physical assets,_x000a_asset tags, and the fixed asset register to ensure_x000a_completeness and correct entity assignments. "/>
    <s v="Review and correct misclassified assets.​_x000a_​_x000a_Verify existence, classification, tagging, and residual values.​_x000a_​_x000a_Match physical assets, asset tags, and register entries.​_x000a_​_x000a__x000a_Confirm correct entity assignments and completeness."/>
    <x v="0"/>
    <x v="8"/>
    <s v=""/>
    <s v="Dan Brugger (Finance_x000a_Director), Max Eurich (Finance Manager),_x000a_Varsha Manghnani (Distribution Center_x000a_Senior Analyst)"/>
    <s v="Open"/>
    <s v=""/>
    <x v="3"/>
    <s v=""/>
    <s v=""/>
    <s v="Not Completed"/>
    <s v="Chawla"/>
    <s v=""/>
    <s v=""/>
    <s v=""/>
    <s v=""/>
    <s v=""/>
    <s v=""/>
    <s v=""/>
    <s v=""/>
    <s v=""/>
    <s v=""/>
    <s v=""/>
    <s v=""/>
    <s v=""/>
    <s v=""/>
    <s v=""/>
    <s v=""/>
    <s v=""/>
    <d v="2025-09-22T00:00:00"/>
    <d v="2025-10-31T00:00:00"/>
    <s v="11/17/2025"/>
    <n v="-71"/>
    <x v="1"/>
    <x v="1"/>
  </r>
  <r>
    <s v="TEN-2199"/>
    <s v="2025"/>
    <x v="0"/>
    <s v="PwC"/>
    <x v="0"/>
    <x v="46"/>
    <x v="3"/>
    <x v="7"/>
    <s v="Reconciliations"/>
    <s v="Period End Account Reconciliations"/>
    <x v="0"/>
    <s v="Moderate"/>
    <s v="PEFR-68"/>
    <s v="PEFR-68"/>
    <s v="Skokie (DRiV) - Full Scope 2025"/>
    <s v="Account Reconciliation Weaknesses and Lack_x000a_of Investigative Review"/>
    <s v="Several control deficiencies were identified within the account reconciliation_x000a_process, indicating weaknesses in the accuracy, completeness, and timeliness_x000a_of financial reconciliations:​_x000a__x000a_Unusual Balances Not Investigated: No evidence of review or follow-up_x000a_on debit balances in AP rec, which may indicate overpayments, returns, or_x000a_posting errors including balance of 89k in 2023 in the vouchered payables_x000a_listing and ~$500k credit balance in AR rec. Some unvouchered balances_x000a_over $1k date back to 2022 and remain unresolved.​_x000a__x000a_Material 2024 Balances in AP: Over $100k in current-year unvouchered_x000a_balances from 2024 require review to confirm validity.​_x000a__x000a_Intercompany AP balances dating back to 2020 in excess of $1m as well_x000a_as debit balances also dating back to 2020 in excess of $2.5m with no clear_x000a_path to clear or resolve. ​_x000a__x000a_The Intercompany reconciliation process does not include aging_x000a_analysis or any back-up documentation. It relies on a third party_x000a_inputting the GL number into an excel and inputting the corresponding IC_x000a_number into the same excel.​_x000a__x000a_Missing Extraction Parameters across AR, AP, Bank, Fixed Assets,_x000a_Intercompany and Inventory Reconciliations: No (or minimal)_x000a_screenshot/ documentation of SAP selection criteria was provided, limiting_x000a_validation of the data's completeness and relevance.​_x000a__x000a_Reconciliations Performed later than policy mandated timeframe: AR_x000a_and Bank reconciliations performed 5-15 workdays later than policy_x000a_mandate.​_x000a__x000a_These issues collectively demonstrate a breakdown in reconciliation_x000a_discipline, oversight, and documentation, increasing the risk of misstated_x000a_balances and undetected errors."/>
    <s v="No"/>
    <s v="Implement standardized reconciliation procedures_x000a_requiring timely completion, documented review, and_x000a_investigation of all unusual, aged, or material balances.​_x000a__x000a_Enhance oversight and accountability by assigning_x000a_reconciliation ownership, introducing quality review_x000a_controls, and enforcing adherence to policy timelines.​_x000a__x000a_Document SAP extraction parameters and maintain_x000a_evidence supporting reconciliation completeness and_x000a_data integrity. "/>
    <s v="Ensure timely completion by tracking and review documentation responsibly.​_x000a_​_x000a_Flag and resolve aged, unusual, or material balances. Maintain logs of investigations.​_x000a_​_x000a_Record SAP extraction parameters. Store evidence of completeness and accuracy."/>
    <x v="0"/>
    <x v="8"/>
    <s v=""/>
    <s v="Dan Brugger (Finance_x000a_Director), Max Eurich (Finance Manager),_x000a_Varsha Manghnani (Distribution Center_x000a_Senior Analyst), Claudia Montoya (NA_x000a_Senior Manager General Ledger)"/>
    <s v="Open"/>
    <s v=""/>
    <x v="3"/>
    <s v=""/>
    <s v=""/>
    <s v="Not Completed"/>
    <s v="Chawla"/>
    <s v="A, C, CO, E/O, P&amp;D, R&amp;O, V"/>
    <s v=""/>
    <s v=""/>
    <s v=""/>
    <s v=""/>
    <s v=""/>
    <s v=""/>
    <s v=""/>
    <s v=""/>
    <s v=""/>
    <s v=""/>
    <s v=""/>
    <s v=""/>
    <s v=""/>
    <s v=""/>
    <s v=""/>
    <s v=""/>
    <d v="2025-09-22T00:00:00"/>
    <d v="2025-10-31T00:00:00"/>
    <s v="11/17/2025"/>
    <n v="-71"/>
    <x v="1"/>
    <x v="1"/>
  </r>
  <r>
    <s v="TEN-717"/>
    <s v="2023"/>
    <x v="0"/>
    <s v=""/>
    <x v="1"/>
    <x v="70"/>
    <x v="2"/>
    <x v="9"/>
    <s v="Physical Security"/>
    <s v=""/>
    <x v="2"/>
    <s v="Moderate"/>
    <s v=""/>
    <s v=""/>
    <s v="Burscheid, Germany - Full Scope"/>
    <s v="Weaknesses noted in the physical security of the plant."/>
    <s v="Background: Security-related items were noted:_x000a_•_x0009_Not all cameras were in proper working order. It was noted that one out of 11 digital cameras and eight out of 11 analog cameras were defective. The defective digital camera caused a black image on the monitor of the gatekeepers from Plant 1 and 2.   _x000a_•_x0009_Camera images were displayed on the monitors of the guards but were not recorded. _x000a_•_x0009_Since the last audit monies were spent for two cameras (€2,367) without involving Global Security in the procurement process. Cameras of the Mobotix brand were purchased and not the recommended brand Avigilon._x000a_•_x0009_The main gate entry of Plant 1 is protected by a barrier and a gate. From 7 pm to 7 am Plant 1 was not manned, and it was noted that after 7 pm the gate was not always closed. The barrier does not completely close off the entrance so that a pedestrian can pass the barrier on the side. Although a camera takes pictures of the entrance area, the security situation was assessed as inadequate._x000a_•_x0009_Trees and landscaping shrubs along the fence line were not pruned in all cases. This poses a risk, as the fence can be overcome with the help of the trees. _x000a_•_x0009_Burscheid has security fencing around its perimeter. In the southern part of Plant 2, the fences of private properties serve as protection against unwanted intrusion into the factory premises. In one place, it was observed that the private fence was damaged and that only the steep slope protected against intrusion into the company premises._x000a__x000a_Risk: Inadequate security management increases the risk of property loss."/>
    <s v=""/>
    <s v="All cameras should be in proper working order._x000a__x000a_It should be discussed whether the images, which have been taken for reasons of factory safety, can be stored for at least 48 hours._x000a__x000a_Policy GSMS-17.0 requires that Global Security must provide written approval for security expenditures such as for the camera system. Management should obtain approval before purchase orders are submitted._x000a__x000a_During the time Plant 1 is unmanned it is recommended to keep the gate closed. Drivers with their cars still parked inside the facility should ask the guard from Plant 2 to open the gate once they want to leave the plant after 7 pm._x000a__x000a_The trees outside the plant should be cut back so that it is not possible to climb over the fence with their help._x000a__x000a_The fencing situation of the Plant 2 should be reviewed. Especially where there is reliance on the fences of the adjacent properties. "/>
    <s v="It is planned to rebuild the security office in plant 2. The camera system will be renewed in this context. The defective cameras do not pose a security risk. No immediate replacement is needed. Installation of recordings with new technology. Check of DSGVO (data protection law). _x000a__x000a_Responsible: Fabian Hahn_x000a_Completion Date: December 31, 2025_x000a__x000a_Immediate check and status report. Change of fences after quoting process. _x000a__x000a_Responsible: Fabian Hahn_x000a_Completion Date: March 31, 2025"/>
    <x v="1"/>
    <x v="1"/>
    <s v=""/>
    <s v="Fabian Hahn"/>
    <s v="Open"/>
    <s v=""/>
    <x v="1"/>
    <s v=""/>
    <s v=""/>
    <s v="Not Completed"/>
    <s v="Amberg"/>
    <s v=""/>
    <s v=""/>
    <s v=""/>
    <s v=""/>
    <s v=""/>
    <s v=""/>
    <s v=""/>
    <s v=""/>
    <s v=""/>
    <s v=""/>
    <s v=""/>
    <s v=""/>
    <s v=""/>
    <s v=""/>
    <s v=""/>
    <s v=""/>
    <s v=""/>
    <d v="2023-06-30T00:00:00"/>
    <d v="2023-09-20T00:00:00"/>
    <s v="09/20/2023"/>
    <n v="-40"/>
    <x v="1"/>
    <x v="1"/>
  </r>
  <r>
    <s v="TEN-718"/>
    <s v="2023"/>
    <x v="0"/>
    <s v=""/>
    <x v="1"/>
    <x v="70"/>
    <x v="2"/>
    <x v="9"/>
    <s v="Physical Security"/>
    <s v=""/>
    <x v="2"/>
    <s v="Moderate"/>
    <s v=""/>
    <s v=""/>
    <s v="Burscheid, Germany - Full Scope"/>
    <s v="Weaknesses noted in the physical security of the plant."/>
    <s v="Background: Security-related items were noted:_x000a_•_x0009_Not all cameras were in proper working order. It was noted that one out of 11 digital cameras and eight out of 11 analog cameras were defective. The defective digital camera caused a black image on the monitor of the gatekeepers from Plant 1 and 2.   _x000a_•_x0009_Camera images were displayed on the monitors of the guards but were not recorded. _x000a_•_x0009_Since the last audit monies were spent for two cameras (€2,367) without involving Global Security in the procurement process. Cameras of the Mobotix brand were purchased and not the recommended brand Avigilon._x000a_•_x0009_The main gate entry of Plant 1 is protected by a barrier and a gate. From 7 pm to 7 am Plant 1 was not manned, and it was noted that after 7 pm the gate was not always closed. The barrier does not completely close off the entrance so that a pedestrian can pass the barrier on the side. Although a camera takes pictures of the entrance area, the security situation was assessed as inadequate._x000a_•_x0009_Trees and landscaping shrubs along the fence line were not pruned in all cases. This poses a risk, as the fence can be overcome with the help of the trees. _x000a_•_x0009_Burscheid has security fencing around its perimeter. In the southern part of Plant 2, the fences of private properties serve as protection against unwanted intrusion into the factory premises. In one place, it was observed that the private fence was damaged and that only the steep slope protected against intrusion into the company premises._x000a__x000a_Risk: Inadequate security management increases the risk of property loss."/>
    <s v=""/>
    <s v="All cameras should be in proper working order._x000a__x000a_It should be discussed whether the images, which have been taken for reasons of factory safety, can be stored for at least 48 hours._x000a__x000a_Policy GSMS-17.0 requires that Global Security must provide written approval for security expenditures such as for the camera system. Management should obtain approval before purchase orders are submitted._x000a__x000a_During the time Plant 1 is unmanned it is recommended to keep the gate closed. Drivers with their cars still parked inside the facility should ask the guard from Plant 2 to open the gate once they want to leave the plant after 7 pm._x000a__x000a_The trees outside the plant should be cut back so that it is not possible to climb over the fence with their help._x000a__x000a_The fencing situation of the Plant 2 should be reviewed. Especially where there is reliance on the fences of the adjacent properties. "/>
    <s v="New orders of security equipment will require approval of global security._x000a__x000a_Responsible: Fabian Hahn_x000a_Completion Date: September 30, 2023_x000a__x000a_To always keep the main gate of Plant 1 closed after the guard goes home, approval from the worker's council is needed. The request will be provided through the plant security office._x000a__x000a_Responsible: Fabian Hahn_x000a_Completion Date: January 31, 2024_x000a__x000a_Trees and landscaping shrubs: Review the status together with facility management. Request for supplier quotes to be prepared. Suppliers will be selected and start with corrective cutback actions._x000a__x000a_Responsible: Fabian Hahn_x000a_Completion Date: March 31, 2024"/>
    <x v="1"/>
    <x v="1"/>
    <s v=""/>
    <s v="Fabian Hahn"/>
    <s v="Open"/>
    <s v=""/>
    <x v="1"/>
    <s v="All points were remediated except the camera issue, according to Sven Baudis per May 16, 2024. Camera issue is due Dec 25, 2025, target competion date adjusted accordingly."/>
    <s v=""/>
    <s v="Not Completed"/>
    <s v="Amberg"/>
    <s v=""/>
    <s v=""/>
    <s v=""/>
    <s v=""/>
    <s v=""/>
    <s v=""/>
    <s v=""/>
    <s v=""/>
    <s v=""/>
    <s v=""/>
    <s v=""/>
    <s v=""/>
    <s v=""/>
    <s v=""/>
    <s v=""/>
    <s v=""/>
    <s v=""/>
    <d v="2023-06-30T00:00:00"/>
    <d v="2023-09-20T00:00:00"/>
    <s v="09/20/2023"/>
    <n v="-40"/>
    <x v="1"/>
    <x v="1"/>
  </r>
  <r>
    <s v="TEN-975"/>
    <s v="2023"/>
    <x v="0"/>
    <s v=""/>
    <x v="0"/>
    <x v="115"/>
    <x v="1"/>
    <x v="3"/>
    <s v="Purchasing and Payables"/>
    <s v=""/>
    <x v="42"/>
    <s v="Major"/>
    <s v=""/>
    <s v=""/>
    <s v="Rybnik Shared Services Center-ICFR"/>
    <s v="Unencrypted SAP payment proposal could be manipulated prior to bank processing."/>
    <s v="Background: Once a payment proposal is approved, an unencrypted IMP file is extracted from SAP and manually uploaded into Citibank's banking platform for processing. Bank accounts or other information in the payment proposal IMP file could be manipulated prior to providing to the bank and these changes would be difficult to detect at this point of the process as there is no preventative control in place to mitigate this risk._x000a__x000a_Risk: Processing of unauthorized or fraudulent payments."/>
    <s v=""/>
    <s v="Work with the bank to establish a host-to-host payment transmission process where the payment file is automatically sent from SAP to the bank without any manual intervention. Otherwise, establish other preventative control measures, such as determining if the payment file can be encrypted or establish a validation that no information was changed in the payment file prior to processing."/>
    <s v="Host-to-host payment transmission process needs to be established in cooperation with Tenneco IT Department and the bank. _x000a__x000a_New Connection needs to be established for H2H with CITI. Specifically for company codes PL and PL10 on SAP TA2._x000a__x000a_Service Now ticket opened for Finance NSR RITM0633843. "/>
    <x v="2"/>
    <x v="6"/>
    <s v="Completion date moved from 8/31/24 to 8/31/25 due to IT resource constraints.  EE 6/25/24"/>
    <s v="Natalia Gruszczyk, Senior Finance Manager; Magdalena Łabuz, Senior Accountant; and Shivkiran Kavety, IT Manager"/>
    <s v="Open"/>
    <s v=""/>
    <x v="0"/>
    <s v=""/>
    <s v=""/>
    <s v="Not Completed"/>
    <s v="Pagnucci"/>
    <s v=""/>
    <s v=""/>
    <s v=""/>
    <s v=""/>
    <s v=""/>
    <s v=""/>
    <s v=""/>
    <s v=""/>
    <s v=""/>
    <s v=""/>
    <s v=""/>
    <s v=""/>
    <s v=""/>
    <s v=""/>
    <s v=""/>
    <s v=""/>
    <s v=""/>
    <d v="2023-11-17T00:00:00"/>
    <d v="2024-02-16T00:00:00"/>
    <s v="02/19/2024"/>
    <n v="82"/>
    <x v="2"/>
    <x v="0"/>
  </r>
  <r>
    <s v="TEN-999"/>
    <s v="2023"/>
    <x v="0"/>
    <s v=""/>
    <x v="0"/>
    <x v="116"/>
    <x v="0"/>
    <x v="8"/>
    <s v="Reconciliations"/>
    <s v=""/>
    <x v="0"/>
    <s v="Moderate"/>
    <s v="PEFR-68"/>
    <s v=""/>
    <s v=""/>
    <s v="Inadequate Finance Director review of Account Reconciliations (PEFR-68)."/>
    <s v="Background: The following deficiencies were noted in the Performance Solutions Finance Director review of Account Reconciliations:_x000a_The Finance Director of Vibration &amp; Harshness (NVH) did not perform the annual review of balance sheet account reconciliation in accordance with the Global Policy SPI 0-01._x000a__x000a_Risk: Lack of an adequate balance sheet account reconciliation process increases the risk of continued account reconciliation issues at the location level, inaccurate balance sheet accounts and financial misstatements."/>
    <s v=""/>
    <s v="Business Unit management should implement a process to review all account reconciliations on all ledgers that fall under their responsibility on an annual basis._x000a__x000a_Evidence of this review should be shared with the Business Unit CFO and maintained locally for review upon request."/>
    <s v="The NVH Global Finance Director will implement a process to ensure that all account reconciliations for ledgers under Global NVH are reviewed annually.  _x000a_The review of the individual accounts will be performed by the Performance Solutions Business Unit Controller and a subset of those reconciliations will be reviewed by the Finance Director in accordance with the Global Policy."/>
    <x v="0"/>
    <x v="0"/>
    <s v=""/>
    <s v="Pat Moran, Finance Director, NVH Global"/>
    <s v="Open"/>
    <s v=""/>
    <x v="0"/>
    <s v=""/>
    <s v=""/>
    <s v="Not Completed"/>
    <s v="Pagnucci"/>
    <s v="A, C, CO, E/O, P&amp;D, R&amp;O, V"/>
    <s v=""/>
    <s v=""/>
    <s v=""/>
    <s v=""/>
    <s v=""/>
    <s v=""/>
    <s v=""/>
    <s v=""/>
    <s v=""/>
    <s v=""/>
    <s v=""/>
    <s v=""/>
    <s v=""/>
    <s v=""/>
    <s v=""/>
    <s v=""/>
    <s v=""/>
    <s v=""/>
    <s v="03/12/2024"/>
    <n v="32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9BCB77-1B51-4036-8F14-A0909DCFB3A4}"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13" firstHeaderRow="1" firstDataRow="3" firstDataCol="1" rowPageCount="1" colPageCount="1"/>
  <pivotFields count="57">
    <pivotField dataField="1" showAll="0"/>
    <pivotField showAll="0"/>
    <pivotField showAll="0"/>
    <pivotField showAll="0"/>
    <pivotField axis="axisCol" showAll="0">
      <items count="3">
        <item x="0"/>
        <item x="1"/>
        <item t="default"/>
      </items>
    </pivotField>
    <pivotField showAll="0">
      <items count="118">
        <item x="7"/>
        <item x="107"/>
        <item x="29"/>
        <item x="81"/>
        <item x="89"/>
        <item x="27"/>
        <item x="28"/>
        <item x="68"/>
        <item x="92"/>
        <item x="96"/>
        <item x="59"/>
        <item x="60"/>
        <item x="58"/>
        <item x="52"/>
        <item x="14"/>
        <item x="44"/>
        <item x="97"/>
        <item x="54"/>
        <item x="20"/>
        <item x="19"/>
        <item x="32"/>
        <item x="72"/>
        <item x="67"/>
        <item x="70"/>
        <item x="76"/>
        <item x="6"/>
        <item x="90"/>
        <item x="24"/>
        <item x="69"/>
        <item x="98"/>
        <item x="105"/>
        <item x="94"/>
        <item x="49"/>
        <item x="11"/>
        <item x="82"/>
        <item x="35"/>
        <item x="109"/>
        <item x="45"/>
        <item x="38"/>
        <item x="83"/>
        <item x="113"/>
        <item x="12"/>
        <item x="111"/>
        <item x="78"/>
        <item x="71"/>
        <item x="55"/>
        <item x="47"/>
        <item x="99"/>
        <item x="4"/>
        <item x="50"/>
        <item x="37"/>
        <item x="34"/>
        <item x="100"/>
        <item x="88"/>
        <item x="21"/>
        <item x="101"/>
        <item x="102"/>
        <item x="103"/>
        <item x="40"/>
        <item x="30"/>
        <item x="86"/>
        <item x="8"/>
        <item x="36"/>
        <item x="80"/>
        <item x="64"/>
        <item x="104"/>
        <item x="31"/>
        <item x="106"/>
        <item x="63"/>
        <item x="66"/>
        <item x="110"/>
        <item x="51"/>
        <item x="93"/>
        <item x="13"/>
        <item x="48"/>
        <item x="5"/>
        <item x="22"/>
        <item x="2"/>
        <item x="0"/>
        <item x="116"/>
        <item x="1"/>
        <item x="62"/>
        <item x="91"/>
        <item x="74"/>
        <item x="95"/>
        <item x="108"/>
        <item x="87"/>
        <item x="33"/>
        <item x="57"/>
        <item x="9"/>
        <item x="75"/>
        <item x="115"/>
        <item x="56"/>
        <item x="79"/>
        <item x="16"/>
        <item x="17"/>
        <item x="65"/>
        <item x="18"/>
        <item x="43"/>
        <item x="42"/>
        <item x="114"/>
        <item x="46"/>
        <item x="41"/>
        <item x="73"/>
        <item x="39"/>
        <item x="61"/>
        <item x="10"/>
        <item x="3"/>
        <item x="23"/>
        <item x="112"/>
        <item x="77"/>
        <item x="53"/>
        <item x="85"/>
        <item x="26"/>
        <item x="84"/>
        <item x="15"/>
        <item x="25"/>
        <item t="default"/>
      </items>
    </pivotField>
    <pivotField axis="axisRow" multipleItemSelectionAllowed="1" showAll="0">
      <items count="8">
        <item x="5"/>
        <item x="1"/>
        <item x="3"/>
        <item x="0"/>
        <item x="2"/>
        <item x="4"/>
        <item x="6"/>
        <item t="default"/>
      </items>
    </pivotField>
    <pivotField multipleItemSelectionAllowed="1" showAll="0">
      <items count="31">
        <item x="23"/>
        <item x="7"/>
        <item x="10"/>
        <item x="25"/>
        <item x="19"/>
        <item x="3"/>
        <item x="24"/>
        <item x="14"/>
        <item x="20"/>
        <item x="27"/>
        <item x="6"/>
        <item x="9"/>
        <item x="26"/>
        <item x="13"/>
        <item x="28"/>
        <item x="5"/>
        <item x="15"/>
        <item x="0"/>
        <item x="4"/>
        <item x="18"/>
        <item x="8"/>
        <item x="29"/>
        <item x="21"/>
        <item x="17"/>
        <item x="2"/>
        <item x="22"/>
        <item x="12"/>
        <item x="11"/>
        <item x="1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1"/>
        <item x="0"/>
        <item x="2"/>
        <item t="default"/>
      </items>
    </pivotField>
    <pivotField numFmtId="14" showAll="0">
      <items count="34">
        <item x="2"/>
        <item x="0"/>
        <item x="5"/>
        <item x="9"/>
        <item x="6"/>
        <item x="4"/>
        <item x="1"/>
        <item x="3"/>
        <item x="10"/>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axis="axisCol"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7">
        <item x="1"/>
        <item x="2"/>
        <item x="3"/>
        <item x="0"/>
        <item x="4"/>
        <item x="5"/>
        <item t="default"/>
      </items>
    </pivotField>
  </pivotFields>
  <rowFields count="1">
    <field x="6"/>
  </rowFields>
  <rowItems count="8">
    <i>
      <x/>
    </i>
    <i>
      <x v="1"/>
    </i>
    <i>
      <x v="2"/>
    </i>
    <i>
      <x v="3"/>
    </i>
    <i>
      <x v="4"/>
    </i>
    <i>
      <x v="5"/>
    </i>
    <i>
      <x v="6"/>
    </i>
    <i t="grand">
      <x/>
    </i>
  </rowItems>
  <colFields count="2">
    <field x="53"/>
    <field x="4"/>
  </colFields>
  <colItems count="7">
    <i>
      <x/>
      <x/>
    </i>
    <i r="1">
      <x v="1"/>
    </i>
    <i t="default">
      <x/>
    </i>
    <i>
      <x v="1"/>
      <x/>
    </i>
    <i r="1">
      <x v="1"/>
    </i>
    <i t="default">
      <x v="1"/>
    </i>
    <i t="grand">
      <x/>
    </i>
  </colItems>
  <pageFields count="1">
    <pageField fld="20" hier="-1"/>
  </pageFields>
  <dataFields count="1">
    <dataField name="Count of Issu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BB53E6-1CA8-46F6-83CE-ACEAB7E3F4C8}"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5" firstHeaderRow="1" firstDataRow="3" firstDataCol="1" rowPageCount="2" colPageCount="1"/>
  <pivotFields count="57">
    <pivotField dataField="1" showAll="0"/>
    <pivotField showAll="0"/>
    <pivotField axis="axisPage" multipleItemSelectionAllowed="1" showAll="0">
      <items count="6">
        <item h="1" x="1"/>
        <item h="1" x="0"/>
        <item x="2"/>
        <item h="1" x="4"/>
        <item h="1" x="3"/>
        <item t="default"/>
      </items>
    </pivotField>
    <pivotField showAll="0"/>
    <pivotField axis="axisCol" showAll="0">
      <items count="3">
        <item x="0"/>
        <item x="1"/>
        <item t="default"/>
      </items>
    </pivotField>
    <pivotField showAll="0">
      <items count="118">
        <item x="7"/>
        <item x="107"/>
        <item x="29"/>
        <item x="81"/>
        <item x="89"/>
        <item x="27"/>
        <item x="28"/>
        <item x="68"/>
        <item x="92"/>
        <item x="96"/>
        <item x="59"/>
        <item x="60"/>
        <item x="58"/>
        <item x="52"/>
        <item x="14"/>
        <item x="44"/>
        <item x="97"/>
        <item x="54"/>
        <item x="20"/>
        <item x="19"/>
        <item x="32"/>
        <item x="72"/>
        <item x="67"/>
        <item x="70"/>
        <item x="76"/>
        <item x="6"/>
        <item x="90"/>
        <item x="24"/>
        <item x="69"/>
        <item x="98"/>
        <item x="105"/>
        <item x="94"/>
        <item x="49"/>
        <item x="11"/>
        <item x="82"/>
        <item x="35"/>
        <item x="109"/>
        <item x="45"/>
        <item x="38"/>
        <item x="83"/>
        <item x="113"/>
        <item x="12"/>
        <item x="111"/>
        <item x="78"/>
        <item x="71"/>
        <item x="55"/>
        <item x="47"/>
        <item x="99"/>
        <item x="4"/>
        <item x="50"/>
        <item x="37"/>
        <item x="34"/>
        <item x="100"/>
        <item x="88"/>
        <item x="21"/>
        <item x="101"/>
        <item x="102"/>
        <item x="103"/>
        <item x="40"/>
        <item x="30"/>
        <item x="86"/>
        <item x="8"/>
        <item x="36"/>
        <item x="80"/>
        <item x="64"/>
        <item x="104"/>
        <item x="31"/>
        <item x="106"/>
        <item x="63"/>
        <item x="66"/>
        <item x="110"/>
        <item x="51"/>
        <item x="93"/>
        <item x="13"/>
        <item x="48"/>
        <item x="5"/>
        <item x="22"/>
        <item x="2"/>
        <item x="0"/>
        <item x="116"/>
        <item x="1"/>
        <item x="62"/>
        <item x="91"/>
        <item x="74"/>
        <item x="95"/>
        <item x="108"/>
        <item x="87"/>
        <item x="33"/>
        <item x="57"/>
        <item x="9"/>
        <item x="75"/>
        <item x="115"/>
        <item x="56"/>
        <item x="79"/>
        <item x="16"/>
        <item x="17"/>
        <item x="65"/>
        <item x="18"/>
        <item x="43"/>
        <item x="42"/>
        <item x="114"/>
        <item x="46"/>
        <item x="41"/>
        <item x="73"/>
        <item x="39"/>
        <item x="61"/>
        <item x="10"/>
        <item x="3"/>
        <item x="23"/>
        <item x="112"/>
        <item x="77"/>
        <item x="53"/>
        <item x="85"/>
        <item x="26"/>
        <item x="84"/>
        <item x="15"/>
        <item x="25"/>
        <item t="default"/>
      </items>
    </pivotField>
    <pivotField axis="axisRow" showAll="0">
      <items count="8">
        <item x="5"/>
        <item x="1"/>
        <item x="3"/>
        <item x="0"/>
        <item x="2"/>
        <item x="4"/>
        <item x="6"/>
        <item t="default"/>
      </items>
    </pivotField>
    <pivotField showAll="0">
      <items count="31">
        <item x="23"/>
        <item x="7"/>
        <item x="10"/>
        <item x="25"/>
        <item x="19"/>
        <item x="3"/>
        <item x="24"/>
        <item x="14"/>
        <item x="20"/>
        <item x="27"/>
        <item x="6"/>
        <item x="9"/>
        <item x="26"/>
        <item x="13"/>
        <item x="28"/>
        <item x="5"/>
        <item x="15"/>
        <item x="0"/>
        <item x="4"/>
        <item x="18"/>
        <item x="8"/>
        <item x="29"/>
        <item x="21"/>
        <item x="17"/>
        <item x="2"/>
        <item x="22"/>
        <item x="12"/>
        <item x="11"/>
        <item x="1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1"/>
        <item x="0"/>
        <item x="2"/>
        <item t="default"/>
      </items>
    </pivotField>
    <pivotField numFmtId="14" showAll="0">
      <items count="34">
        <item x="2"/>
        <item x="0"/>
        <item x="5"/>
        <item x="9"/>
        <item x="6"/>
        <item x="4"/>
        <item x="1"/>
        <item x="3"/>
        <item x="10"/>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axis="axisCol"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7">
        <item x="1"/>
        <item x="2"/>
        <item x="3"/>
        <item x="0"/>
        <item x="4"/>
        <item x="5"/>
        <item t="default"/>
      </items>
    </pivotField>
  </pivotFields>
  <rowFields count="1">
    <field x="6"/>
  </rowFields>
  <rowItems count="8">
    <i>
      <x/>
    </i>
    <i>
      <x v="1"/>
    </i>
    <i>
      <x v="2"/>
    </i>
    <i>
      <x v="3"/>
    </i>
    <i>
      <x v="4"/>
    </i>
    <i>
      <x v="5"/>
    </i>
    <i>
      <x v="6"/>
    </i>
    <i t="grand">
      <x/>
    </i>
  </rowItems>
  <colFields count="2">
    <field x="53"/>
    <field x="4"/>
  </colFields>
  <colItems count="5">
    <i>
      <x/>
      <x/>
    </i>
    <i t="default">
      <x/>
    </i>
    <i>
      <x v="1"/>
      <x/>
    </i>
    <i t="default">
      <x v="1"/>
    </i>
    <i t="grand">
      <x/>
    </i>
  </colItems>
  <pageFields count="2">
    <pageField fld="2" hier="-1"/>
    <pageField fld="20" hier="-1"/>
  </pageFields>
  <dataFields count="1">
    <dataField name="Count of Issu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39DBF6-95DD-44D0-A57A-275170EF0EFD}" name="PivotTable6"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O38" firstHeaderRow="1" firstDataRow="4" firstDataCol="1" rowPageCount="2" colPageCount="1"/>
  <pivotFields count="57">
    <pivotField dataField="1" showAll="0"/>
    <pivotField showAll="0"/>
    <pivotField showAll="0"/>
    <pivotField showAll="0"/>
    <pivotField axis="axisPage" showAll="0">
      <items count="3">
        <item x="0"/>
        <item x="1"/>
        <item t="default"/>
      </items>
    </pivotField>
    <pivotField showAll="0"/>
    <pivotField axis="axisRow" showAll="0">
      <items count="8">
        <item x="1"/>
        <item x="3"/>
        <item x="0"/>
        <item x="2"/>
        <item x="5"/>
        <item x="4"/>
        <item x="6"/>
        <item t="default"/>
      </items>
    </pivotField>
    <pivotField axis="axisRow" showAll="0">
      <items count="31">
        <item x="7"/>
        <item x="10"/>
        <item x="3"/>
        <item x="9"/>
        <item x="5"/>
        <item x="6"/>
        <item x="11"/>
        <item x="12"/>
        <item x="14"/>
        <item x="18"/>
        <item x="16"/>
        <item x="28"/>
        <item x="19"/>
        <item x="20"/>
        <item x="22"/>
        <item x="24"/>
        <item x="0"/>
        <item x="1"/>
        <item x="2"/>
        <item x="4"/>
        <item x="8"/>
        <item x="13"/>
        <item x="15"/>
        <item x="17"/>
        <item x="21"/>
        <item x="23"/>
        <item x="25"/>
        <item x="26"/>
        <item x="27"/>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34">
        <item x="2"/>
        <item x="0"/>
        <item x="5"/>
        <item x="9"/>
        <item x="6"/>
        <item x="4"/>
        <item x="1"/>
        <item x="3"/>
        <item x="10"/>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axis="axisPage" showAll="0">
      <items count="5">
        <item x="2"/>
        <item x="1"/>
        <item x="3"/>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axis="axisCol" showAll="0">
      <items count="15">
        <item x="0"/>
        <item x="1"/>
        <item x="2"/>
        <item x="3"/>
        <item x="4"/>
        <item x="5"/>
        <item x="6"/>
        <item x="7"/>
        <item x="8"/>
        <item x="9"/>
        <item x="10"/>
        <item x="11"/>
        <item x="12"/>
        <item x="13"/>
        <item t="default"/>
      </items>
    </pivotField>
    <pivotField axis="axisCol" showAll="0">
      <items count="7">
        <item x="1"/>
        <item x="2"/>
        <item x="3"/>
        <item x="4"/>
        <item x="0"/>
        <item x="5"/>
        <item t="default"/>
      </items>
    </pivotField>
    <pivotField axis="axisCol" showAll="0">
      <items count="7">
        <item x="1"/>
        <item x="2"/>
        <item x="3"/>
        <item x="0"/>
        <item x="4"/>
        <item x="5"/>
        <item t="default"/>
      </items>
    </pivotField>
  </pivotFields>
  <rowFields count="2">
    <field x="6"/>
    <field x="7"/>
  </rowFields>
  <rowItems count="31">
    <i>
      <x/>
    </i>
    <i r="1">
      <x v="2"/>
    </i>
    <i>
      <x v="1"/>
    </i>
    <i r="1">
      <x/>
    </i>
    <i r="1">
      <x v="7"/>
    </i>
    <i r="1">
      <x v="12"/>
    </i>
    <i>
      <x v="2"/>
    </i>
    <i r="1">
      <x v="8"/>
    </i>
    <i r="1">
      <x v="14"/>
    </i>
    <i r="1">
      <x v="16"/>
    </i>
    <i r="1">
      <x v="17"/>
    </i>
    <i r="1">
      <x v="18"/>
    </i>
    <i r="1">
      <x v="19"/>
    </i>
    <i r="1">
      <x v="20"/>
    </i>
    <i r="1">
      <x v="22"/>
    </i>
    <i r="1">
      <x v="23"/>
    </i>
    <i r="1">
      <x v="24"/>
    </i>
    <i>
      <x v="3"/>
    </i>
    <i r="1">
      <x v="1"/>
    </i>
    <i r="1">
      <x v="3"/>
    </i>
    <i r="1">
      <x v="4"/>
    </i>
    <i r="1">
      <x v="13"/>
    </i>
    <i>
      <x v="4"/>
    </i>
    <i r="1">
      <x v="25"/>
    </i>
    <i>
      <x v="5"/>
    </i>
    <i r="1">
      <x v="6"/>
    </i>
    <i>
      <x v="6"/>
    </i>
    <i r="1">
      <x v="9"/>
    </i>
    <i r="1">
      <x v="10"/>
    </i>
    <i r="1">
      <x v="26"/>
    </i>
    <i t="grand">
      <x/>
    </i>
  </rowItems>
  <colFields count="3">
    <field x="56"/>
    <field x="55"/>
    <field x="54"/>
  </colFields>
  <colItems count="14">
    <i>
      <x/>
      <x v="3"/>
      <x v="12"/>
    </i>
    <i t="default" r="1">
      <x v="3"/>
    </i>
    <i t="default">
      <x/>
    </i>
    <i>
      <x v="1"/>
      <x v="1"/>
      <x v="6"/>
    </i>
    <i t="default" r="1">
      <x v="1"/>
    </i>
    <i r="1">
      <x v="2"/>
      <x v="7"/>
    </i>
    <i r="2">
      <x v="8"/>
    </i>
    <i r="2">
      <x v="9"/>
    </i>
    <i t="default" r="1">
      <x v="2"/>
    </i>
    <i r="1">
      <x v="3"/>
      <x v="10"/>
    </i>
    <i r="2">
      <x v="11"/>
    </i>
    <i t="default" r="1">
      <x v="3"/>
    </i>
    <i t="default">
      <x v="1"/>
    </i>
    <i t="grand">
      <x/>
    </i>
  </colItems>
  <pageFields count="2">
    <pageField fld="26" item="3" hier="-1"/>
    <pageField fld="4" hier="-1"/>
  </pageFields>
  <dataFields count="1">
    <dataField name="Count of Issu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E40CF1-2436-4965-AD1D-3826BB91D4F5}"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I49" firstHeaderRow="1" firstDataRow="2" firstDataCol="1"/>
  <pivotFields count="57">
    <pivotField dataField="1" showAll="0"/>
    <pivotField showAll="0"/>
    <pivotField showAll="0"/>
    <pivotField showAll="0"/>
    <pivotField showAll="0"/>
    <pivotField showAll="0"/>
    <pivotField axis="axisCol" showAll="0">
      <items count="8">
        <item x="5"/>
        <item x="1"/>
        <item x="3"/>
        <item x="0"/>
        <item x="2"/>
        <item x="4"/>
        <item x="6"/>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45">
        <item x="12"/>
        <item x="0"/>
        <item x="19"/>
        <item x="29"/>
        <item x="9"/>
        <item x="16"/>
        <item x="4"/>
        <item x="1"/>
        <item x="17"/>
        <item x="21"/>
        <item x="8"/>
        <item x="24"/>
        <item x="23"/>
        <item x="6"/>
        <item x="7"/>
        <item x="11"/>
        <item x="22"/>
        <item x="32"/>
        <item x="14"/>
        <item x="36"/>
        <item x="20"/>
        <item x="13"/>
        <item x="27"/>
        <item x="28"/>
        <item x="30"/>
        <item x="18"/>
        <item x="10"/>
        <item x="26"/>
        <item x="3"/>
        <item x="2"/>
        <item x="31"/>
        <item x="5"/>
        <item x="25"/>
        <item x="15"/>
        <item x="42"/>
        <item x="33"/>
        <item x="35"/>
        <item x="37"/>
        <item x="38"/>
        <item x="39"/>
        <item x="40"/>
        <item x="34"/>
        <item x="41"/>
        <item x="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numFmtId="14" showAll="0">
      <items count="34">
        <item x="2"/>
        <item x="0"/>
        <item x="5"/>
        <item x="9"/>
        <item x="6"/>
        <item x="4"/>
        <item x="10"/>
        <item x="3"/>
        <item x="1"/>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items count="7">
        <item x="1"/>
        <item x="2"/>
        <item x="3"/>
        <item x="0"/>
        <item x="4"/>
        <item x="5"/>
        <item t="default"/>
      </items>
    </pivotField>
  </pivotFields>
  <rowFields count="1">
    <field x="10"/>
  </rowFields>
  <rowItems count="45">
    <i>
      <x v="1"/>
    </i>
    <i>
      <x v="41"/>
    </i>
    <i>
      <x v="36"/>
    </i>
    <i>
      <x v="9"/>
    </i>
    <i>
      <x v="18"/>
    </i>
    <i>
      <x v="31"/>
    </i>
    <i>
      <x v="26"/>
    </i>
    <i>
      <x v="29"/>
    </i>
    <i>
      <x v="14"/>
    </i>
    <i>
      <x v="13"/>
    </i>
    <i>
      <x v="20"/>
    </i>
    <i>
      <x v="23"/>
    </i>
    <i>
      <x/>
    </i>
    <i>
      <x v="35"/>
    </i>
    <i>
      <x v="28"/>
    </i>
    <i>
      <x v="30"/>
    </i>
    <i>
      <x v="24"/>
    </i>
    <i>
      <x v="4"/>
    </i>
    <i>
      <x v="11"/>
    </i>
    <i>
      <x v="3"/>
    </i>
    <i>
      <x v="6"/>
    </i>
    <i>
      <x v="2"/>
    </i>
    <i>
      <x v="8"/>
    </i>
    <i>
      <x v="27"/>
    </i>
    <i>
      <x v="5"/>
    </i>
    <i>
      <x v="15"/>
    </i>
    <i>
      <x v="39"/>
    </i>
    <i>
      <x v="16"/>
    </i>
    <i>
      <x v="17"/>
    </i>
    <i>
      <x v="21"/>
    </i>
    <i>
      <x v="34"/>
    </i>
    <i>
      <x v="42"/>
    </i>
    <i>
      <x v="22"/>
    </i>
    <i>
      <x v="25"/>
    </i>
    <i>
      <x v="32"/>
    </i>
    <i>
      <x v="7"/>
    </i>
    <i>
      <x v="43"/>
    </i>
    <i>
      <x v="12"/>
    </i>
    <i>
      <x v="40"/>
    </i>
    <i>
      <x v="37"/>
    </i>
    <i>
      <x v="10"/>
    </i>
    <i>
      <x v="38"/>
    </i>
    <i>
      <x v="19"/>
    </i>
    <i>
      <x v="33"/>
    </i>
    <i t="grand">
      <x/>
    </i>
  </rowItems>
  <colFields count="1">
    <field x="6"/>
  </colFields>
  <colItems count="8">
    <i>
      <x/>
    </i>
    <i>
      <x v="1"/>
    </i>
    <i>
      <x v="2"/>
    </i>
    <i>
      <x v="3"/>
    </i>
    <i>
      <x v="4"/>
    </i>
    <i>
      <x v="5"/>
    </i>
    <i>
      <x v="6"/>
    </i>
    <i t="grand">
      <x/>
    </i>
  </colItems>
  <dataFields count="1">
    <dataField name="Count of Issue ID" fld="0" subtotal="count" baseField="0" baseItem="0"/>
  </dataFields>
  <chartFormats count="7">
    <chartFormat chart="2" format="0" series="1">
      <pivotArea type="data" outline="0" fieldPosition="0">
        <references count="2">
          <reference field="4294967294" count="1" selected="0">
            <x v="0"/>
          </reference>
          <reference field="6" count="1" selected="0">
            <x v="0"/>
          </reference>
        </references>
      </pivotArea>
    </chartFormat>
    <chartFormat chart="2" format="2" series="1">
      <pivotArea type="data" outline="0" fieldPosition="0">
        <references count="2">
          <reference field="4294967294" count="1" selected="0">
            <x v="0"/>
          </reference>
          <reference field="6" count="1" selected="0">
            <x v="1"/>
          </reference>
        </references>
      </pivotArea>
    </chartFormat>
    <chartFormat chart="2" format="3" series="1">
      <pivotArea type="data" outline="0" fieldPosition="0">
        <references count="2">
          <reference field="4294967294" count="1" selected="0">
            <x v="0"/>
          </reference>
          <reference field="6" count="1" selected="0">
            <x v="2"/>
          </reference>
        </references>
      </pivotArea>
    </chartFormat>
    <chartFormat chart="2" format="4" series="1">
      <pivotArea type="data" outline="0" fieldPosition="0">
        <references count="2">
          <reference field="4294967294" count="1" selected="0">
            <x v="0"/>
          </reference>
          <reference field="6" count="1" selected="0">
            <x v="3"/>
          </reference>
        </references>
      </pivotArea>
    </chartFormat>
    <chartFormat chart="2" format="5" series="1">
      <pivotArea type="data" outline="0" fieldPosition="0">
        <references count="2">
          <reference field="4294967294" count="1" selected="0">
            <x v="0"/>
          </reference>
          <reference field="6" count="1" selected="0">
            <x v="4"/>
          </reference>
        </references>
      </pivotArea>
    </chartFormat>
    <chartFormat chart="2" format="6" series="1">
      <pivotArea type="data" outline="0" fieldPosition="0">
        <references count="2">
          <reference field="4294967294" count="1" selected="0">
            <x v="0"/>
          </reference>
          <reference field="6" count="1" selected="0">
            <x v="5"/>
          </reference>
        </references>
      </pivotArea>
    </chartFormat>
    <chartFormat chart="2" format="7" series="1">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6BE75C-9CE3-403F-980A-E87A86472ACB}"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E14" firstHeaderRow="1" firstDataRow="2" firstDataCol="1" rowPageCount="1" colPageCount="1"/>
  <pivotFields count="57">
    <pivotField dataField="1" showAll="0"/>
    <pivotField showAll="0"/>
    <pivotField showAll="0"/>
    <pivotField showAll="0"/>
    <pivotField showAll="0"/>
    <pivotField showAll="0">
      <items count="118">
        <item x="29"/>
        <item x="27"/>
        <item x="28"/>
        <item x="68"/>
        <item x="59"/>
        <item x="60"/>
        <item x="58"/>
        <item x="52"/>
        <item x="14"/>
        <item x="44"/>
        <item x="54"/>
        <item x="20"/>
        <item x="19"/>
        <item x="32"/>
        <item x="72"/>
        <item x="67"/>
        <item x="70"/>
        <item x="76"/>
        <item x="6"/>
        <item x="24"/>
        <item x="69"/>
        <item x="49"/>
        <item x="11"/>
        <item x="35"/>
        <item x="45"/>
        <item x="38"/>
        <item x="12"/>
        <item x="78"/>
        <item x="71"/>
        <item x="55"/>
        <item x="47"/>
        <item x="4"/>
        <item x="50"/>
        <item x="37"/>
        <item x="21"/>
        <item x="40"/>
        <item x="30"/>
        <item x="8"/>
        <item x="36"/>
        <item x="64"/>
        <item x="31"/>
        <item x="63"/>
        <item x="66"/>
        <item x="51"/>
        <item x="13"/>
        <item x="48"/>
        <item x="5"/>
        <item x="22"/>
        <item x="2"/>
        <item x="0"/>
        <item x="116"/>
        <item x="1"/>
        <item x="62"/>
        <item x="74"/>
        <item x="33"/>
        <item x="57"/>
        <item x="9"/>
        <item x="75"/>
        <item x="115"/>
        <item x="56"/>
        <item x="16"/>
        <item x="17"/>
        <item x="65"/>
        <item x="18"/>
        <item x="43"/>
        <item x="42"/>
        <item x="114"/>
        <item x="46"/>
        <item x="41"/>
        <item x="73"/>
        <item x="39"/>
        <item x="61"/>
        <item x="10"/>
        <item x="3"/>
        <item x="23"/>
        <item x="77"/>
        <item x="53"/>
        <item x="26"/>
        <item x="15"/>
        <item x="25"/>
        <item x="7"/>
        <item x="34"/>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axis="axisRow" showAll="0">
      <items count="8">
        <item x="5"/>
        <item x="1"/>
        <item x="3"/>
        <item x="0"/>
        <item x="2"/>
        <item x="4"/>
        <item x="6"/>
        <item t="default"/>
      </items>
    </pivotField>
    <pivotField showAll="0">
      <items count="31">
        <item x="23"/>
        <item x="7"/>
        <item x="10"/>
        <item x="25"/>
        <item x="19"/>
        <item x="3"/>
        <item x="24"/>
        <item x="14"/>
        <item x="20"/>
        <item x="27"/>
        <item x="6"/>
        <item x="9"/>
        <item x="26"/>
        <item x="13"/>
        <item x="28"/>
        <item x="5"/>
        <item x="15"/>
        <item x="0"/>
        <item x="4"/>
        <item x="18"/>
        <item x="8"/>
        <item x="29"/>
        <item x="21"/>
        <item x="17"/>
        <item x="2"/>
        <item x="22"/>
        <item x="12"/>
        <item x="11"/>
        <item x="1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34">
        <item x="2"/>
        <item x="0"/>
        <item x="5"/>
        <item x="9"/>
        <item x="6"/>
        <item x="4"/>
        <item x="1"/>
        <item x="3"/>
        <item x="10"/>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axis="axisCol" showAll="0">
      <items count="5">
        <item x="2"/>
        <item x="3"/>
        <item x="1"/>
        <item x="0"/>
        <item t="default"/>
      </items>
    </pivotField>
    <pivotField axis="axisPage" showAll="0">
      <items count="3">
        <item x="1"/>
        <item x="0"/>
        <item t="default"/>
      </items>
    </pivotField>
    <pivotField showAll="0"/>
    <pivotField showAll="0"/>
    <pivotField showAll="0">
      <items count="7">
        <item x="1"/>
        <item x="2"/>
        <item x="3"/>
        <item x="0"/>
        <item x="4"/>
        <item x="5"/>
        <item t="default"/>
      </items>
    </pivotField>
  </pivotFields>
  <rowFields count="1">
    <field x="6"/>
  </rowFields>
  <rowItems count="8">
    <i>
      <x/>
    </i>
    <i>
      <x v="1"/>
    </i>
    <i>
      <x v="2"/>
    </i>
    <i>
      <x v="3"/>
    </i>
    <i>
      <x v="4"/>
    </i>
    <i>
      <x v="5"/>
    </i>
    <i>
      <x v="6"/>
    </i>
    <i t="grand">
      <x/>
    </i>
  </rowItems>
  <colFields count="1">
    <field x="52"/>
  </colFields>
  <colItems count="4">
    <i>
      <x/>
    </i>
    <i>
      <x v="1"/>
    </i>
    <i>
      <x v="3"/>
    </i>
    <i t="grand">
      <x/>
    </i>
  </colItems>
  <pageFields count="1">
    <pageField fld="53" item="1" hier="-1"/>
  </pageFields>
  <dataFields count="1">
    <dataField name="Count of Issu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9310C0-0145-4B77-9E2B-8EA9E1E0842F}"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E14" firstHeaderRow="1" firstDataRow="2" firstDataCol="1" rowPageCount="1" colPageCount="1"/>
  <pivotFields count="57">
    <pivotField dataField="1" showAll="0"/>
    <pivotField showAll="0"/>
    <pivotField showAll="0"/>
    <pivotField showAll="0"/>
    <pivotField showAll="0"/>
    <pivotField showAll="0">
      <items count="118">
        <item x="7"/>
        <item x="107"/>
        <item x="29"/>
        <item x="81"/>
        <item x="89"/>
        <item x="27"/>
        <item x="28"/>
        <item x="68"/>
        <item x="92"/>
        <item x="96"/>
        <item x="59"/>
        <item x="60"/>
        <item x="58"/>
        <item x="52"/>
        <item x="14"/>
        <item x="44"/>
        <item x="97"/>
        <item x="54"/>
        <item x="20"/>
        <item x="19"/>
        <item x="32"/>
        <item x="72"/>
        <item x="67"/>
        <item x="70"/>
        <item x="76"/>
        <item x="6"/>
        <item x="90"/>
        <item x="24"/>
        <item x="69"/>
        <item x="98"/>
        <item x="105"/>
        <item x="94"/>
        <item x="49"/>
        <item x="11"/>
        <item x="82"/>
        <item x="35"/>
        <item x="109"/>
        <item x="45"/>
        <item x="38"/>
        <item x="83"/>
        <item x="113"/>
        <item x="12"/>
        <item x="111"/>
        <item x="78"/>
        <item x="71"/>
        <item x="55"/>
        <item x="47"/>
        <item x="99"/>
        <item x="4"/>
        <item x="50"/>
        <item x="37"/>
        <item x="34"/>
        <item x="100"/>
        <item x="88"/>
        <item x="21"/>
        <item x="101"/>
        <item x="102"/>
        <item x="103"/>
        <item x="40"/>
        <item x="30"/>
        <item x="86"/>
        <item x="8"/>
        <item x="36"/>
        <item x="80"/>
        <item x="64"/>
        <item x="104"/>
        <item x="31"/>
        <item x="106"/>
        <item x="63"/>
        <item x="66"/>
        <item x="110"/>
        <item x="51"/>
        <item x="93"/>
        <item x="13"/>
        <item x="48"/>
        <item x="5"/>
        <item x="22"/>
        <item x="2"/>
        <item x="0"/>
        <item x="116"/>
        <item x="1"/>
        <item x="62"/>
        <item x="91"/>
        <item x="74"/>
        <item x="95"/>
        <item x="108"/>
        <item x="87"/>
        <item x="33"/>
        <item x="57"/>
        <item x="9"/>
        <item x="75"/>
        <item x="115"/>
        <item x="56"/>
        <item x="79"/>
        <item x="16"/>
        <item x="17"/>
        <item x="65"/>
        <item x="18"/>
        <item x="43"/>
        <item x="42"/>
        <item x="114"/>
        <item x="46"/>
        <item x="41"/>
        <item x="73"/>
        <item x="39"/>
        <item x="61"/>
        <item x="10"/>
        <item x="3"/>
        <item x="23"/>
        <item x="112"/>
        <item x="77"/>
        <item x="53"/>
        <item x="85"/>
        <item x="26"/>
        <item x="84"/>
        <item x="15"/>
        <item x="25"/>
        <item t="default"/>
      </items>
    </pivotField>
    <pivotField axis="axisRow" showAll="0">
      <items count="8">
        <item x="5"/>
        <item x="1"/>
        <item x="3"/>
        <item x="0"/>
        <item x="2"/>
        <item x="4"/>
        <item x="6"/>
        <item t="default"/>
      </items>
    </pivotField>
    <pivotField showAll="0">
      <items count="31">
        <item x="23"/>
        <item x="7"/>
        <item x="10"/>
        <item x="25"/>
        <item x="19"/>
        <item x="3"/>
        <item x="24"/>
        <item x="14"/>
        <item x="20"/>
        <item x="27"/>
        <item x="6"/>
        <item x="9"/>
        <item x="26"/>
        <item x="13"/>
        <item x="28"/>
        <item x="5"/>
        <item x="15"/>
        <item x="0"/>
        <item x="4"/>
        <item x="18"/>
        <item x="8"/>
        <item x="29"/>
        <item x="21"/>
        <item x="17"/>
        <item x="2"/>
        <item x="22"/>
        <item x="12"/>
        <item x="11"/>
        <item x="1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34">
        <item x="2"/>
        <item x="0"/>
        <item x="5"/>
        <item x="9"/>
        <item x="6"/>
        <item x="4"/>
        <item x="1"/>
        <item x="3"/>
        <item x="10"/>
        <item x="7"/>
        <item x="11"/>
        <item x="8"/>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axis="axisCol" showAll="0">
      <items count="5">
        <item x="2"/>
        <item x="1"/>
        <item x="3"/>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axis="axisPage" multipleItemSelectionAllowed="1" showAll="0">
      <items count="3">
        <item x="1"/>
        <item h="1" x="0"/>
        <item t="default"/>
      </items>
    </pivotField>
    <pivotField showAll="0"/>
    <pivotField showAll="0"/>
    <pivotField showAll="0">
      <items count="7">
        <item x="1"/>
        <item x="2"/>
        <item x="3"/>
        <item x="0"/>
        <item x="4"/>
        <item x="5"/>
        <item t="default"/>
      </items>
    </pivotField>
  </pivotFields>
  <rowFields count="1">
    <field x="6"/>
  </rowFields>
  <rowItems count="8">
    <i>
      <x/>
    </i>
    <i>
      <x v="1"/>
    </i>
    <i>
      <x v="2"/>
    </i>
    <i>
      <x v="3"/>
    </i>
    <i>
      <x v="4"/>
    </i>
    <i>
      <x v="5"/>
    </i>
    <i>
      <x v="6"/>
    </i>
    <i t="grand">
      <x/>
    </i>
  </rowItems>
  <colFields count="1">
    <field x="26"/>
  </colFields>
  <colItems count="4">
    <i>
      <x/>
    </i>
    <i>
      <x v="1"/>
    </i>
    <i>
      <x v="2"/>
    </i>
    <i t="grand">
      <x/>
    </i>
  </colItems>
  <pageFields count="1">
    <pageField fld="53" hier="-1"/>
  </pageFields>
  <dataFields count="1">
    <dataField name="Count of Issu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CF8A2-7BD6-402B-9094-A1DD8B2ED1B9}">
  <sheetPr>
    <tabColor theme="9"/>
  </sheetPr>
  <dimension ref="A1:H13"/>
  <sheetViews>
    <sheetView zoomScale="106" zoomScaleNormal="106" workbookViewId="0">
      <pane ySplit="3" topLeftCell="A4" activePane="bottomLeft" state="frozen"/>
      <selection pane="bottomLeft" activeCell="B15" sqref="B15"/>
    </sheetView>
  </sheetViews>
  <sheetFormatPr defaultRowHeight="14.5" x14ac:dyDescent="0.35"/>
  <cols>
    <col min="1" max="1" width="21.1796875" bestFit="1" customWidth="1"/>
    <col min="2" max="2" width="15.6328125" bestFit="1" customWidth="1"/>
    <col min="3" max="3" width="10.6328125" bestFit="1" customWidth="1"/>
    <col min="4" max="4" width="11.6328125" bestFit="1" customWidth="1"/>
    <col min="5" max="5" width="9.90625" bestFit="1" customWidth="1"/>
    <col min="6" max="6" width="10.6328125" bestFit="1" customWidth="1"/>
    <col min="7" max="7" width="12.6328125" bestFit="1" customWidth="1"/>
    <col min="8" max="8" width="10.36328125" bestFit="1" customWidth="1"/>
    <col min="9" max="9" width="11.81640625" bestFit="1" customWidth="1"/>
    <col min="10" max="10" width="8.1796875" bestFit="1" customWidth="1"/>
  </cols>
  <sheetData>
    <row r="1" spans="1:8" x14ac:dyDescent="0.35">
      <c r="A1" s="1" t="s">
        <v>19</v>
      </c>
      <c r="B1" t="s">
        <v>345</v>
      </c>
    </row>
    <row r="3" spans="1:8" x14ac:dyDescent="0.35">
      <c r="A3" s="1" t="s">
        <v>333</v>
      </c>
      <c r="B3" s="1" t="s">
        <v>331</v>
      </c>
    </row>
    <row r="4" spans="1:8" x14ac:dyDescent="0.35">
      <c r="B4" t="s">
        <v>335</v>
      </c>
      <c r="D4" t="s">
        <v>336</v>
      </c>
      <c r="E4" t="s">
        <v>66</v>
      </c>
      <c r="G4" t="s">
        <v>332</v>
      </c>
      <c r="H4" t="s">
        <v>330</v>
      </c>
    </row>
    <row r="5" spans="1:8" x14ac:dyDescent="0.35">
      <c r="A5" s="1" t="s">
        <v>329</v>
      </c>
      <c r="B5" t="s">
        <v>52</v>
      </c>
      <c r="C5" t="s">
        <v>108</v>
      </c>
      <c r="E5" t="s">
        <v>52</v>
      </c>
      <c r="F5" t="s">
        <v>108</v>
      </c>
    </row>
    <row r="6" spans="1:8" x14ac:dyDescent="0.35">
      <c r="A6" s="2" t="s">
        <v>493</v>
      </c>
      <c r="B6" s="4">
        <v>11</v>
      </c>
      <c r="C6" s="4">
        <v>4</v>
      </c>
      <c r="D6" s="4">
        <v>15</v>
      </c>
      <c r="E6" s="4"/>
      <c r="F6" s="4">
        <v>1</v>
      </c>
      <c r="G6" s="4">
        <v>1</v>
      </c>
      <c r="H6" s="4">
        <v>16</v>
      </c>
    </row>
    <row r="7" spans="1:8" x14ac:dyDescent="0.35">
      <c r="A7" s="2" t="s">
        <v>84</v>
      </c>
      <c r="B7" s="4">
        <v>4</v>
      </c>
      <c r="C7" s="4"/>
      <c r="D7" s="4">
        <v>4</v>
      </c>
      <c r="E7" s="4">
        <v>5</v>
      </c>
      <c r="F7" s="4">
        <v>1</v>
      </c>
      <c r="G7" s="4">
        <v>6</v>
      </c>
      <c r="H7" s="4">
        <v>10</v>
      </c>
    </row>
    <row r="8" spans="1:8" x14ac:dyDescent="0.35">
      <c r="A8" s="2" t="s">
        <v>94</v>
      </c>
      <c r="B8" s="4">
        <v>20</v>
      </c>
      <c r="C8" s="4">
        <v>16</v>
      </c>
      <c r="D8" s="4">
        <v>36</v>
      </c>
      <c r="E8" s="4">
        <v>16</v>
      </c>
      <c r="F8" s="4">
        <v>2</v>
      </c>
      <c r="G8" s="4">
        <v>18</v>
      </c>
      <c r="H8" s="4">
        <v>54</v>
      </c>
    </row>
    <row r="9" spans="1:8" x14ac:dyDescent="0.35">
      <c r="A9" s="2" t="s">
        <v>54</v>
      </c>
      <c r="B9" s="4">
        <v>67</v>
      </c>
      <c r="C9" s="4">
        <v>16</v>
      </c>
      <c r="D9" s="4">
        <v>83</v>
      </c>
      <c r="E9" s="4">
        <v>46</v>
      </c>
      <c r="F9" s="4">
        <v>11</v>
      </c>
      <c r="G9" s="4">
        <v>57</v>
      </c>
      <c r="H9" s="4">
        <v>140</v>
      </c>
    </row>
    <row r="10" spans="1:8" x14ac:dyDescent="0.35">
      <c r="A10" s="2" t="s">
        <v>126</v>
      </c>
      <c r="B10" s="4">
        <v>52</v>
      </c>
      <c r="C10" s="4">
        <v>16</v>
      </c>
      <c r="D10" s="4">
        <v>68</v>
      </c>
      <c r="E10" s="4">
        <v>34</v>
      </c>
      <c r="F10" s="4"/>
      <c r="G10" s="4">
        <v>34</v>
      </c>
      <c r="H10" s="4">
        <v>102</v>
      </c>
    </row>
    <row r="11" spans="1:8" x14ac:dyDescent="0.35">
      <c r="A11" s="2" t="s">
        <v>371</v>
      </c>
      <c r="B11" s="4">
        <v>10</v>
      </c>
      <c r="C11" s="4">
        <v>2</v>
      </c>
      <c r="D11" s="4">
        <v>12</v>
      </c>
      <c r="E11" s="4">
        <v>4</v>
      </c>
      <c r="F11" s="4">
        <v>7</v>
      </c>
      <c r="G11" s="4">
        <v>11</v>
      </c>
      <c r="H11" s="4">
        <v>23</v>
      </c>
    </row>
    <row r="12" spans="1:8" x14ac:dyDescent="0.35">
      <c r="A12" s="2" t="s">
        <v>606</v>
      </c>
      <c r="B12" s="4">
        <v>23</v>
      </c>
      <c r="C12" s="4">
        <v>17</v>
      </c>
      <c r="D12" s="4">
        <v>40</v>
      </c>
      <c r="E12" s="4">
        <v>7</v>
      </c>
      <c r="F12" s="4">
        <v>3</v>
      </c>
      <c r="G12" s="4">
        <v>10</v>
      </c>
      <c r="H12" s="4">
        <v>50</v>
      </c>
    </row>
    <row r="13" spans="1:8" x14ac:dyDescent="0.35">
      <c r="A13" s="2" t="s">
        <v>330</v>
      </c>
      <c r="B13" s="4">
        <v>187</v>
      </c>
      <c r="C13" s="4">
        <v>71</v>
      </c>
      <c r="D13" s="4">
        <v>258</v>
      </c>
      <c r="E13" s="4">
        <v>112</v>
      </c>
      <c r="F13" s="4">
        <v>25</v>
      </c>
      <c r="G13" s="4">
        <v>137</v>
      </c>
      <c r="H13" s="4">
        <v>395</v>
      </c>
    </row>
  </sheetData>
  <pageMargins left="0.7" right="0.7" top="0.75" bottom="0.75" header="0.3" footer="0.3"/>
  <headerFooter>
    <oddHeader>&amp;L&amp;"Calibri"&amp;10&amp;K000000 General Business - Tenneco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0A19-501C-4D1B-B8E6-EEF49440C927}">
  <sheetPr>
    <tabColor theme="9"/>
  </sheetPr>
  <dimension ref="A1:K15"/>
  <sheetViews>
    <sheetView workbookViewId="0">
      <selection activeCell="E16" sqref="E16"/>
    </sheetView>
  </sheetViews>
  <sheetFormatPr defaultRowHeight="14.5" x14ac:dyDescent="0.35"/>
  <cols>
    <col min="1" max="1" width="21.1796875" bestFit="1" customWidth="1"/>
    <col min="2" max="2" width="15.6328125" bestFit="1" customWidth="1"/>
    <col min="3" max="3" width="11.6328125" bestFit="1" customWidth="1"/>
    <col min="4" max="4" width="9.90625" bestFit="1" customWidth="1"/>
    <col min="5" max="5" width="12.6328125" bestFit="1" customWidth="1"/>
    <col min="6" max="6" width="10.36328125" bestFit="1" customWidth="1"/>
    <col min="7" max="7" width="12.6328125" bestFit="1" customWidth="1"/>
    <col min="8" max="9" width="10.36328125" bestFit="1" customWidth="1"/>
    <col min="10" max="10" width="12.6328125" bestFit="1" customWidth="1"/>
    <col min="11" max="11" width="10.36328125" bestFit="1" customWidth="1"/>
  </cols>
  <sheetData>
    <row r="1" spans="1:6" ht="21" x14ac:dyDescent="0.55000000000000004">
      <c r="A1" s="6" t="s">
        <v>2557</v>
      </c>
    </row>
    <row r="2" spans="1:6" x14ac:dyDescent="0.35">
      <c r="A2" s="1" t="s">
        <v>2</v>
      </c>
      <c r="B2" t="s">
        <v>116</v>
      </c>
    </row>
    <row r="3" spans="1:6" x14ac:dyDescent="0.35">
      <c r="A3" s="1" t="s">
        <v>19</v>
      </c>
      <c r="B3" t="s">
        <v>345</v>
      </c>
    </row>
    <row r="5" spans="1:6" x14ac:dyDescent="0.35">
      <c r="A5" s="1" t="s">
        <v>333</v>
      </c>
      <c r="B5" s="1" t="s">
        <v>331</v>
      </c>
    </row>
    <row r="6" spans="1:6" x14ac:dyDescent="0.35">
      <c r="B6" t="s">
        <v>335</v>
      </c>
      <c r="C6" t="s">
        <v>336</v>
      </c>
      <c r="D6" t="s">
        <v>66</v>
      </c>
      <c r="E6" t="s">
        <v>332</v>
      </c>
      <c r="F6" t="s">
        <v>330</v>
      </c>
    </row>
    <row r="7" spans="1:6" x14ac:dyDescent="0.35">
      <c r="A7" s="1" t="s">
        <v>329</v>
      </c>
      <c r="B7" t="s">
        <v>52</v>
      </c>
      <c r="D7" t="s">
        <v>52</v>
      </c>
    </row>
    <row r="8" spans="1:6" x14ac:dyDescent="0.35">
      <c r="A8" s="2" t="s">
        <v>493</v>
      </c>
      <c r="B8" s="4">
        <v>5</v>
      </c>
      <c r="C8" s="4">
        <v>5</v>
      </c>
      <c r="D8" s="4"/>
      <c r="E8" s="4"/>
      <c r="F8" s="4">
        <v>5</v>
      </c>
    </row>
    <row r="9" spans="1:6" x14ac:dyDescent="0.35">
      <c r="A9" s="2" t="s">
        <v>84</v>
      </c>
      <c r="B9" s="4">
        <v>3</v>
      </c>
      <c r="C9" s="4">
        <v>3</v>
      </c>
      <c r="D9" s="4">
        <v>3</v>
      </c>
      <c r="E9" s="4">
        <v>3</v>
      </c>
      <c r="F9" s="4">
        <v>6</v>
      </c>
    </row>
    <row r="10" spans="1:6" x14ac:dyDescent="0.35">
      <c r="A10" s="2" t="s">
        <v>94</v>
      </c>
      <c r="B10" s="4">
        <v>10</v>
      </c>
      <c r="C10" s="4">
        <v>10</v>
      </c>
      <c r="D10" s="4">
        <v>15</v>
      </c>
      <c r="E10" s="4">
        <v>15</v>
      </c>
      <c r="F10" s="4">
        <v>25</v>
      </c>
    </row>
    <row r="11" spans="1:6" x14ac:dyDescent="0.35">
      <c r="A11" s="2" t="s">
        <v>54</v>
      </c>
      <c r="B11" s="4">
        <v>33</v>
      </c>
      <c r="C11" s="4">
        <v>33</v>
      </c>
      <c r="D11" s="4">
        <v>25</v>
      </c>
      <c r="E11" s="4">
        <v>25</v>
      </c>
      <c r="F11" s="4">
        <v>58</v>
      </c>
    </row>
    <row r="12" spans="1:6" x14ac:dyDescent="0.35">
      <c r="A12" s="2" t="s">
        <v>126</v>
      </c>
      <c r="B12" s="4">
        <v>21</v>
      </c>
      <c r="C12" s="4">
        <v>21</v>
      </c>
      <c r="D12" s="4">
        <v>29</v>
      </c>
      <c r="E12" s="4">
        <v>29</v>
      </c>
      <c r="F12" s="4">
        <v>50</v>
      </c>
    </row>
    <row r="13" spans="1:6" x14ac:dyDescent="0.35">
      <c r="A13" s="2" t="s">
        <v>371</v>
      </c>
      <c r="B13" s="4">
        <v>9</v>
      </c>
      <c r="C13" s="4">
        <v>9</v>
      </c>
      <c r="D13" s="4"/>
      <c r="E13" s="4"/>
      <c r="F13" s="4">
        <v>9</v>
      </c>
    </row>
    <row r="14" spans="1:6" x14ac:dyDescent="0.35">
      <c r="A14" s="2" t="s">
        <v>606</v>
      </c>
      <c r="B14" s="4">
        <v>9</v>
      </c>
      <c r="C14" s="4">
        <v>9</v>
      </c>
      <c r="D14" s="4">
        <v>4</v>
      </c>
      <c r="E14" s="4">
        <v>4</v>
      </c>
      <c r="F14" s="4">
        <v>13</v>
      </c>
    </row>
    <row r="15" spans="1:6" x14ac:dyDescent="0.35">
      <c r="A15" s="2" t="s">
        <v>330</v>
      </c>
      <c r="B15" s="4">
        <v>90</v>
      </c>
      <c r="C15" s="4">
        <v>90</v>
      </c>
      <c r="D15" s="4">
        <v>76</v>
      </c>
      <c r="E15" s="4">
        <v>76</v>
      </c>
      <c r="F15" s="4">
        <v>166</v>
      </c>
    </row>
  </sheetData>
  <pageMargins left="0.7" right="0.7" top="0.75" bottom="0.75" header="0.3" footer="0.3"/>
  <headerFooter>
    <oddHeader>&amp;L&amp;"Calibri"&amp;10&amp;K000000 General Business - Tenneco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E9A1E-9E0D-4662-A4F3-7B08F5F8A0DD}">
  <sheetPr>
    <tabColor theme="9"/>
  </sheetPr>
  <dimension ref="A1:O38"/>
  <sheetViews>
    <sheetView workbookViewId="0">
      <pane xSplit="1" ySplit="8" topLeftCell="B24" activePane="bottomRight" state="frozen"/>
      <selection activeCell="I14" sqref="I14"/>
      <selection pane="topRight" activeCell="I14" sqref="I14"/>
      <selection pane="bottomLeft" activeCell="I14" sqref="I14"/>
      <selection pane="bottomRight" activeCell="B3" sqref="B3"/>
    </sheetView>
  </sheetViews>
  <sheetFormatPr defaultRowHeight="14.5" x14ac:dyDescent="0.35"/>
  <cols>
    <col min="1" max="1" width="51.7265625" bestFit="1" customWidth="1"/>
    <col min="2" max="2" width="15.6328125" bestFit="1" customWidth="1"/>
    <col min="3" max="3" width="8.81640625" bestFit="1" customWidth="1"/>
    <col min="4" max="4" width="9.26953125" bestFit="1" customWidth="1"/>
    <col min="5" max="5" width="6.54296875" bestFit="1" customWidth="1"/>
    <col min="6" max="6" width="8.81640625" bestFit="1" customWidth="1"/>
    <col min="7" max="7" width="6.08984375" bestFit="1" customWidth="1"/>
    <col min="8" max="8" width="3.90625" bestFit="1" customWidth="1"/>
    <col min="9" max="9" width="4" bestFit="1" customWidth="1"/>
    <col min="10" max="10" width="8.81640625" bestFit="1" customWidth="1"/>
    <col min="11" max="11" width="6.08984375" bestFit="1" customWidth="1"/>
    <col min="12" max="12" width="4" bestFit="1" customWidth="1"/>
    <col min="13" max="13" width="8.81640625" bestFit="1" customWidth="1"/>
    <col min="14" max="14" width="9.26953125" bestFit="1" customWidth="1"/>
    <col min="15" max="15" width="10.36328125" bestFit="1" customWidth="1"/>
    <col min="16" max="16" width="8.81640625" bestFit="1" customWidth="1"/>
    <col min="17" max="17" width="9.26953125" bestFit="1" customWidth="1"/>
    <col min="18" max="18" width="10.36328125" bestFit="1" customWidth="1"/>
    <col min="19" max="19" width="6.54296875" bestFit="1" customWidth="1"/>
    <col min="20" max="20" width="8.81640625" bestFit="1" customWidth="1"/>
    <col min="21" max="21" width="6.08984375" bestFit="1" customWidth="1"/>
    <col min="22" max="22" width="4" bestFit="1" customWidth="1"/>
    <col min="23" max="23" width="4.08984375" bestFit="1" customWidth="1"/>
    <col min="24" max="24" width="8.81640625" bestFit="1" customWidth="1"/>
    <col min="25" max="25" width="9.26953125" bestFit="1" customWidth="1"/>
    <col min="26" max="27" width="10.36328125" bestFit="1" customWidth="1"/>
    <col min="28" max="28" width="8.81640625" bestFit="1" customWidth="1"/>
    <col min="29" max="29" width="6.08984375" bestFit="1" customWidth="1"/>
    <col min="30" max="30" width="4" bestFit="1" customWidth="1"/>
    <col min="31" max="31" width="4.08984375" bestFit="1" customWidth="1"/>
    <col min="32" max="32" width="8.81640625" bestFit="1" customWidth="1"/>
    <col min="33" max="33" width="9.26953125" bestFit="1" customWidth="1"/>
    <col min="34" max="34" width="6.54296875" bestFit="1" customWidth="1"/>
    <col min="35" max="35" width="8.81640625" bestFit="1" customWidth="1"/>
    <col min="36" max="36" width="6.08984375" bestFit="1" customWidth="1"/>
    <col min="37" max="37" width="4.1796875" bestFit="1" customWidth="1"/>
    <col min="38" max="38" width="8.81640625" bestFit="1" customWidth="1"/>
    <col min="39" max="39" width="9.26953125" bestFit="1" customWidth="1"/>
    <col min="40" max="40" width="10.36328125" bestFit="1" customWidth="1"/>
  </cols>
  <sheetData>
    <row r="1" spans="1:15" x14ac:dyDescent="0.35">
      <c r="A1" s="1" t="s">
        <v>25</v>
      </c>
      <c r="B1" t="s">
        <v>66</v>
      </c>
    </row>
    <row r="2" spans="1:15" x14ac:dyDescent="0.35">
      <c r="A2" s="1" t="s">
        <v>3</v>
      </c>
      <c r="B2" t="s">
        <v>345</v>
      </c>
    </row>
    <row r="4" spans="1:15" x14ac:dyDescent="0.35">
      <c r="A4" s="1" t="s">
        <v>333</v>
      </c>
      <c r="B4" s="1" t="s">
        <v>331</v>
      </c>
    </row>
    <row r="5" spans="1:15" x14ac:dyDescent="0.35">
      <c r="B5" t="s">
        <v>115</v>
      </c>
      <c r="D5" t="s">
        <v>346</v>
      </c>
      <c r="E5" t="s">
        <v>347</v>
      </c>
      <c r="N5" t="s">
        <v>348</v>
      </c>
      <c r="O5" t="s">
        <v>330</v>
      </c>
    </row>
    <row r="6" spans="1:15" x14ac:dyDescent="0.35">
      <c r="B6" t="s">
        <v>353</v>
      </c>
      <c r="C6" t="s">
        <v>354</v>
      </c>
      <c r="E6" t="s">
        <v>349</v>
      </c>
      <c r="F6" t="s">
        <v>350</v>
      </c>
      <c r="G6" t="s">
        <v>351</v>
      </c>
      <c r="J6" t="s">
        <v>352</v>
      </c>
      <c r="K6" t="s">
        <v>353</v>
      </c>
      <c r="M6" t="s">
        <v>354</v>
      </c>
    </row>
    <row r="7" spans="1:15" x14ac:dyDescent="0.35">
      <c r="A7" s="1" t="s">
        <v>329</v>
      </c>
      <c r="B7" t="s">
        <v>357</v>
      </c>
      <c r="E7" t="s">
        <v>355</v>
      </c>
      <c r="G7" t="s">
        <v>364</v>
      </c>
      <c r="H7" t="s">
        <v>356</v>
      </c>
      <c r="I7" t="s">
        <v>859</v>
      </c>
      <c r="K7" t="s">
        <v>1710</v>
      </c>
      <c r="L7" t="s">
        <v>2556</v>
      </c>
    </row>
    <row r="8" spans="1:15" x14ac:dyDescent="0.35">
      <c r="A8" s="2" t="s">
        <v>84</v>
      </c>
      <c r="B8" s="4">
        <v>2</v>
      </c>
      <c r="C8" s="4">
        <v>2</v>
      </c>
      <c r="D8" s="4">
        <v>2</v>
      </c>
      <c r="E8" s="4"/>
      <c r="F8" s="4"/>
      <c r="G8" s="4"/>
      <c r="H8" s="4">
        <v>1</v>
      </c>
      <c r="I8" s="4"/>
      <c r="J8" s="4">
        <v>1</v>
      </c>
      <c r="K8" s="4">
        <v>3</v>
      </c>
      <c r="L8" s="4"/>
      <c r="M8" s="4">
        <v>3</v>
      </c>
      <c r="N8" s="4">
        <v>4</v>
      </c>
      <c r="O8" s="4">
        <v>6</v>
      </c>
    </row>
    <row r="9" spans="1:15" x14ac:dyDescent="0.35">
      <c r="A9" s="3" t="s">
        <v>84</v>
      </c>
      <c r="B9" s="4">
        <v>2</v>
      </c>
      <c r="C9" s="4">
        <v>2</v>
      </c>
      <c r="D9" s="4">
        <v>2</v>
      </c>
      <c r="E9" s="4"/>
      <c r="F9" s="4"/>
      <c r="G9" s="4"/>
      <c r="H9" s="4">
        <v>1</v>
      </c>
      <c r="I9" s="4"/>
      <c r="J9" s="4">
        <v>1</v>
      </c>
      <c r="K9" s="4">
        <v>3</v>
      </c>
      <c r="L9" s="4"/>
      <c r="M9" s="4">
        <v>3</v>
      </c>
      <c r="N9" s="4">
        <v>4</v>
      </c>
      <c r="O9" s="4">
        <v>6</v>
      </c>
    </row>
    <row r="10" spans="1:15" x14ac:dyDescent="0.35">
      <c r="A10" s="2" t="s">
        <v>94</v>
      </c>
      <c r="B10" s="4"/>
      <c r="C10" s="4"/>
      <c r="D10" s="4"/>
      <c r="E10" s="4"/>
      <c r="F10" s="4"/>
      <c r="G10" s="4"/>
      <c r="H10" s="4">
        <v>2</v>
      </c>
      <c r="I10" s="4">
        <v>1</v>
      </c>
      <c r="J10" s="4">
        <v>3</v>
      </c>
      <c r="K10" s="4">
        <v>15</v>
      </c>
      <c r="L10" s="4"/>
      <c r="M10" s="4">
        <v>15</v>
      </c>
      <c r="N10" s="4">
        <v>18</v>
      </c>
      <c r="O10" s="4">
        <v>18</v>
      </c>
    </row>
    <row r="11" spans="1:15" x14ac:dyDescent="0.35">
      <c r="A11" s="3" t="s">
        <v>95</v>
      </c>
      <c r="B11" s="4"/>
      <c r="C11" s="4"/>
      <c r="D11" s="4"/>
      <c r="E11" s="4"/>
      <c r="F11" s="4"/>
      <c r="G11" s="4"/>
      <c r="H11" s="4"/>
      <c r="I11" s="4">
        <v>1</v>
      </c>
      <c r="J11" s="4">
        <v>1</v>
      </c>
      <c r="K11" s="4">
        <v>14</v>
      </c>
      <c r="L11" s="4"/>
      <c r="M11" s="4">
        <v>14</v>
      </c>
      <c r="N11" s="4">
        <v>15</v>
      </c>
      <c r="O11" s="4">
        <v>15</v>
      </c>
    </row>
    <row r="12" spans="1:15" x14ac:dyDescent="0.35">
      <c r="A12" s="3" t="s">
        <v>449</v>
      </c>
      <c r="B12" s="4"/>
      <c r="C12" s="4"/>
      <c r="D12" s="4"/>
      <c r="E12" s="4"/>
      <c r="F12" s="4"/>
      <c r="G12" s="4"/>
      <c r="H12" s="4">
        <v>2</v>
      </c>
      <c r="I12" s="4"/>
      <c r="J12" s="4">
        <v>2</v>
      </c>
      <c r="K12" s="4"/>
      <c r="L12" s="4"/>
      <c r="M12" s="4"/>
      <c r="N12" s="4">
        <v>2</v>
      </c>
      <c r="O12" s="4">
        <v>2</v>
      </c>
    </row>
    <row r="13" spans="1:15" x14ac:dyDescent="0.35">
      <c r="A13" s="3" t="s">
        <v>1117</v>
      </c>
      <c r="B13" s="4"/>
      <c r="C13" s="4"/>
      <c r="D13" s="4"/>
      <c r="E13" s="4"/>
      <c r="F13" s="4"/>
      <c r="G13" s="4"/>
      <c r="H13" s="4"/>
      <c r="I13" s="4"/>
      <c r="J13" s="4"/>
      <c r="K13" s="4">
        <v>1</v>
      </c>
      <c r="L13" s="4"/>
      <c r="M13" s="4">
        <v>1</v>
      </c>
      <c r="N13" s="4">
        <v>1</v>
      </c>
      <c r="O13" s="4">
        <v>1</v>
      </c>
    </row>
    <row r="14" spans="1:15" x14ac:dyDescent="0.35">
      <c r="A14" s="2" t="s">
        <v>54</v>
      </c>
      <c r="B14" s="4">
        <v>5</v>
      </c>
      <c r="C14" s="4">
        <v>5</v>
      </c>
      <c r="D14" s="4">
        <v>5</v>
      </c>
      <c r="E14" s="4">
        <v>2</v>
      </c>
      <c r="F14" s="4">
        <v>2</v>
      </c>
      <c r="G14" s="4">
        <v>1</v>
      </c>
      <c r="H14" s="4"/>
      <c r="I14" s="4">
        <v>19</v>
      </c>
      <c r="J14" s="4">
        <v>20</v>
      </c>
      <c r="K14" s="4">
        <v>25</v>
      </c>
      <c r="L14" s="4">
        <v>5</v>
      </c>
      <c r="M14" s="4">
        <v>30</v>
      </c>
      <c r="N14" s="4">
        <v>52</v>
      </c>
      <c r="O14" s="4">
        <v>57</v>
      </c>
    </row>
    <row r="15" spans="1:15" x14ac:dyDescent="0.35">
      <c r="A15" s="3" t="s">
        <v>510</v>
      </c>
      <c r="B15" s="4"/>
      <c r="C15" s="4"/>
      <c r="D15" s="4"/>
      <c r="E15" s="4"/>
      <c r="F15" s="4"/>
      <c r="G15" s="4"/>
      <c r="H15" s="4"/>
      <c r="I15" s="4">
        <v>1</v>
      </c>
      <c r="J15" s="4">
        <v>1</v>
      </c>
      <c r="K15" s="4">
        <v>1</v>
      </c>
      <c r="L15" s="4"/>
      <c r="M15" s="4">
        <v>1</v>
      </c>
      <c r="N15" s="4">
        <v>2</v>
      </c>
      <c r="O15" s="4">
        <v>2</v>
      </c>
    </row>
    <row r="16" spans="1:15" x14ac:dyDescent="0.35">
      <c r="A16" s="3" t="s">
        <v>1506</v>
      </c>
      <c r="B16" s="4"/>
      <c r="C16" s="4"/>
      <c r="D16" s="4"/>
      <c r="E16" s="4"/>
      <c r="F16" s="4"/>
      <c r="G16" s="4"/>
      <c r="H16" s="4"/>
      <c r="I16" s="4"/>
      <c r="J16" s="4"/>
      <c r="K16" s="4">
        <v>4</v>
      </c>
      <c r="L16" s="4"/>
      <c r="M16" s="4">
        <v>4</v>
      </c>
      <c r="N16" s="4">
        <v>4</v>
      </c>
      <c r="O16" s="4">
        <v>4</v>
      </c>
    </row>
    <row r="17" spans="1:15" x14ac:dyDescent="0.35">
      <c r="A17" s="3" t="s">
        <v>1711</v>
      </c>
      <c r="B17" s="4">
        <v>1</v>
      </c>
      <c r="C17" s="4">
        <v>1</v>
      </c>
      <c r="D17" s="4">
        <v>1</v>
      </c>
      <c r="E17" s="4">
        <v>2</v>
      </c>
      <c r="F17" s="4">
        <v>2</v>
      </c>
      <c r="G17" s="4">
        <v>1</v>
      </c>
      <c r="H17" s="4"/>
      <c r="I17" s="4">
        <v>3</v>
      </c>
      <c r="J17" s="4">
        <v>4</v>
      </c>
      <c r="K17" s="4"/>
      <c r="L17" s="4"/>
      <c r="M17" s="4"/>
      <c r="N17" s="4">
        <v>6</v>
      </c>
      <c r="O17" s="4">
        <v>7</v>
      </c>
    </row>
    <row r="18" spans="1:15" x14ac:dyDescent="0.35">
      <c r="A18" s="3" t="s">
        <v>1712</v>
      </c>
      <c r="B18" s="4">
        <v>1</v>
      </c>
      <c r="C18" s="4">
        <v>1</v>
      </c>
      <c r="D18" s="4">
        <v>1</v>
      </c>
      <c r="E18" s="4"/>
      <c r="F18" s="4"/>
      <c r="G18" s="4"/>
      <c r="H18" s="4"/>
      <c r="I18" s="4">
        <v>3</v>
      </c>
      <c r="J18" s="4">
        <v>3</v>
      </c>
      <c r="K18" s="4"/>
      <c r="L18" s="4"/>
      <c r="M18" s="4"/>
      <c r="N18" s="4">
        <v>3</v>
      </c>
      <c r="O18" s="4">
        <v>4</v>
      </c>
    </row>
    <row r="19" spans="1:15" x14ac:dyDescent="0.35">
      <c r="A19" s="3" t="s">
        <v>1713</v>
      </c>
      <c r="B19" s="4">
        <v>1</v>
      </c>
      <c r="C19" s="4">
        <v>1</v>
      </c>
      <c r="D19" s="4">
        <v>1</v>
      </c>
      <c r="E19" s="4"/>
      <c r="F19" s="4"/>
      <c r="G19" s="4"/>
      <c r="H19" s="4"/>
      <c r="I19" s="4"/>
      <c r="J19" s="4"/>
      <c r="K19" s="4">
        <v>7</v>
      </c>
      <c r="L19" s="4"/>
      <c r="M19" s="4">
        <v>7</v>
      </c>
      <c r="N19" s="4">
        <v>7</v>
      </c>
      <c r="O19" s="4">
        <v>8</v>
      </c>
    </row>
    <row r="20" spans="1:15" x14ac:dyDescent="0.35">
      <c r="A20" s="3" t="s">
        <v>1714</v>
      </c>
      <c r="B20" s="4">
        <v>1</v>
      </c>
      <c r="C20" s="4">
        <v>1</v>
      </c>
      <c r="D20" s="4">
        <v>1</v>
      </c>
      <c r="E20" s="4"/>
      <c r="F20" s="4"/>
      <c r="G20" s="4"/>
      <c r="H20" s="4"/>
      <c r="I20" s="4"/>
      <c r="J20" s="4"/>
      <c r="K20" s="4"/>
      <c r="L20" s="4"/>
      <c r="M20" s="4"/>
      <c r="N20" s="4"/>
      <c r="O20" s="4">
        <v>1</v>
      </c>
    </row>
    <row r="21" spans="1:15" x14ac:dyDescent="0.35">
      <c r="A21" s="3" t="s">
        <v>1716</v>
      </c>
      <c r="B21" s="4">
        <v>1</v>
      </c>
      <c r="C21" s="4">
        <v>1</v>
      </c>
      <c r="D21" s="4">
        <v>1</v>
      </c>
      <c r="E21" s="4"/>
      <c r="F21" s="4"/>
      <c r="G21" s="4"/>
      <c r="H21" s="4"/>
      <c r="I21" s="4">
        <v>1</v>
      </c>
      <c r="J21" s="4">
        <v>1</v>
      </c>
      <c r="K21" s="4">
        <v>5</v>
      </c>
      <c r="L21" s="4"/>
      <c r="M21" s="4">
        <v>5</v>
      </c>
      <c r="N21" s="4">
        <v>6</v>
      </c>
      <c r="O21" s="4">
        <v>7</v>
      </c>
    </row>
    <row r="22" spans="1:15" x14ac:dyDescent="0.35">
      <c r="A22" s="3" t="s">
        <v>1719</v>
      </c>
      <c r="B22" s="4"/>
      <c r="C22" s="4"/>
      <c r="D22" s="4"/>
      <c r="E22" s="4"/>
      <c r="F22" s="4"/>
      <c r="G22" s="4"/>
      <c r="H22" s="4"/>
      <c r="I22" s="4">
        <v>11</v>
      </c>
      <c r="J22" s="4">
        <v>11</v>
      </c>
      <c r="K22" s="4">
        <v>2</v>
      </c>
      <c r="L22" s="4">
        <v>1</v>
      </c>
      <c r="M22" s="4">
        <v>3</v>
      </c>
      <c r="N22" s="4">
        <v>14</v>
      </c>
      <c r="O22" s="4">
        <v>14</v>
      </c>
    </row>
    <row r="23" spans="1:15" x14ac:dyDescent="0.35">
      <c r="A23" s="3" t="s">
        <v>1727</v>
      </c>
      <c r="B23" s="4"/>
      <c r="C23" s="4"/>
      <c r="D23" s="4"/>
      <c r="E23" s="4"/>
      <c r="F23" s="4"/>
      <c r="G23" s="4"/>
      <c r="H23" s="4"/>
      <c r="I23" s="4"/>
      <c r="J23" s="4"/>
      <c r="K23" s="4">
        <v>1</v>
      </c>
      <c r="L23" s="4"/>
      <c r="M23" s="4">
        <v>1</v>
      </c>
      <c r="N23" s="4">
        <v>1</v>
      </c>
      <c r="O23" s="4">
        <v>1</v>
      </c>
    </row>
    <row r="24" spans="1:15" x14ac:dyDescent="0.35">
      <c r="A24" s="3" t="s">
        <v>1728</v>
      </c>
      <c r="B24" s="4"/>
      <c r="C24" s="4"/>
      <c r="D24" s="4"/>
      <c r="E24" s="4"/>
      <c r="F24" s="4"/>
      <c r="G24" s="4"/>
      <c r="H24" s="4"/>
      <c r="I24" s="4"/>
      <c r="J24" s="4"/>
      <c r="K24" s="4">
        <v>5</v>
      </c>
      <c r="L24" s="4">
        <v>4</v>
      </c>
      <c r="M24" s="4">
        <v>9</v>
      </c>
      <c r="N24" s="4">
        <v>9</v>
      </c>
      <c r="O24" s="4">
        <v>9</v>
      </c>
    </row>
    <row r="25" spans="1:15" x14ac:dyDescent="0.35">
      <c r="A25" s="2" t="s">
        <v>126</v>
      </c>
      <c r="B25" s="4"/>
      <c r="C25" s="4"/>
      <c r="D25" s="4"/>
      <c r="E25" s="4"/>
      <c r="F25" s="4"/>
      <c r="G25" s="4"/>
      <c r="H25" s="4"/>
      <c r="I25" s="4">
        <v>3</v>
      </c>
      <c r="J25" s="4">
        <v>3</v>
      </c>
      <c r="K25" s="4">
        <v>28</v>
      </c>
      <c r="L25" s="4">
        <v>3</v>
      </c>
      <c r="M25" s="4">
        <v>31</v>
      </c>
      <c r="N25" s="4">
        <v>34</v>
      </c>
      <c r="O25" s="4">
        <v>34</v>
      </c>
    </row>
    <row r="26" spans="1:15" x14ac:dyDescent="0.35">
      <c r="A26" s="3" t="s">
        <v>138</v>
      </c>
      <c r="B26" s="4"/>
      <c r="C26" s="4"/>
      <c r="D26" s="4"/>
      <c r="E26" s="4"/>
      <c r="F26" s="4"/>
      <c r="G26" s="4"/>
      <c r="H26" s="4"/>
      <c r="I26" s="4">
        <v>2</v>
      </c>
      <c r="J26" s="4">
        <v>2</v>
      </c>
      <c r="K26" s="4">
        <v>25</v>
      </c>
      <c r="L26" s="4">
        <v>2</v>
      </c>
      <c r="M26" s="4">
        <v>27</v>
      </c>
      <c r="N26" s="4">
        <v>29</v>
      </c>
      <c r="O26" s="4">
        <v>29</v>
      </c>
    </row>
    <row r="27" spans="1:15" x14ac:dyDescent="0.35">
      <c r="A27" s="3" t="s">
        <v>157</v>
      </c>
      <c r="B27" s="4"/>
      <c r="C27" s="4"/>
      <c r="D27" s="4"/>
      <c r="E27" s="4"/>
      <c r="F27" s="4"/>
      <c r="G27" s="4"/>
      <c r="H27" s="4"/>
      <c r="I27" s="4"/>
      <c r="J27" s="4"/>
      <c r="K27" s="4"/>
      <c r="L27" s="4">
        <v>1</v>
      </c>
      <c r="M27" s="4">
        <v>1</v>
      </c>
      <c r="N27" s="4">
        <v>1</v>
      </c>
      <c r="O27" s="4">
        <v>1</v>
      </c>
    </row>
    <row r="28" spans="1:15" x14ac:dyDescent="0.35">
      <c r="A28" s="3" t="s">
        <v>127</v>
      </c>
      <c r="B28" s="4"/>
      <c r="C28" s="4"/>
      <c r="D28" s="4"/>
      <c r="E28" s="4"/>
      <c r="F28" s="4"/>
      <c r="G28" s="4"/>
      <c r="H28" s="4"/>
      <c r="I28" s="4">
        <v>1</v>
      </c>
      <c r="J28" s="4">
        <v>1</v>
      </c>
      <c r="K28" s="4">
        <v>1</v>
      </c>
      <c r="L28" s="4"/>
      <c r="M28" s="4">
        <v>1</v>
      </c>
      <c r="N28" s="4">
        <v>2</v>
      </c>
      <c r="O28" s="4">
        <v>2</v>
      </c>
    </row>
    <row r="29" spans="1:15" x14ac:dyDescent="0.35">
      <c r="A29" s="3" t="s">
        <v>1137</v>
      </c>
      <c r="B29" s="4"/>
      <c r="C29" s="4"/>
      <c r="D29" s="4"/>
      <c r="E29" s="4"/>
      <c r="F29" s="4"/>
      <c r="G29" s="4"/>
      <c r="H29" s="4"/>
      <c r="I29" s="4"/>
      <c r="J29" s="4"/>
      <c r="K29" s="4">
        <v>2</v>
      </c>
      <c r="L29" s="4"/>
      <c r="M29" s="4">
        <v>2</v>
      </c>
      <c r="N29" s="4">
        <v>2</v>
      </c>
      <c r="O29" s="4">
        <v>2</v>
      </c>
    </row>
    <row r="30" spans="1:15" x14ac:dyDescent="0.35">
      <c r="A30" s="2" t="s">
        <v>493</v>
      </c>
      <c r="B30" s="4"/>
      <c r="C30" s="4"/>
      <c r="D30" s="4"/>
      <c r="E30" s="4"/>
      <c r="F30" s="4"/>
      <c r="G30" s="4"/>
      <c r="H30" s="4"/>
      <c r="I30" s="4"/>
      <c r="J30" s="4"/>
      <c r="K30" s="4">
        <v>1</v>
      </c>
      <c r="L30" s="4"/>
      <c r="M30" s="4">
        <v>1</v>
      </c>
      <c r="N30" s="4">
        <v>1</v>
      </c>
      <c r="O30" s="4">
        <v>1</v>
      </c>
    </row>
    <row r="31" spans="1:15" x14ac:dyDescent="0.35">
      <c r="A31" s="3" t="s">
        <v>1729</v>
      </c>
      <c r="B31" s="4"/>
      <c r="C31" s="4"/>
      <c r="D31" s="4"/>
      <c r="E31" s="4"/>
      <c r="F31" s="4"/>
      <c r="G31" s="4"/>
      <c r="H31" s="4"/>
      <c r="I31" s="4"/>
      <c r="J31" s="4"/>
      <c r="K31" s="4">
        <v>1</v>
      </c>
      <c r="L31" s="4"/>
      <c r="M31" s="4">
        <v>1</v>
      </c>
      <c r="N31" s="4">
        <v>1</v>
      </c>
      <c r="O31" s="4">
        <v>1</v>
      </c>
    </row>
    <row r="32" spans="1:15" x14ac:dyDescent="0.35">
      <c r="A32" s="2" t="s">
        <v>371</v>
      </c>
      <c r="B32" s="4"/>
      <c r="C32" s="4"/>
      <c r="D32" s="4"/>
      <c r="E32" s="4"/>
      <c r="F32" s="4"/>
      <c r="G32" s="4"/>
      <c r="H32" s="4">
        <v>11</v>
      </c>
      <c r="I32" s="4"/>
      <c r="J32" s="4">
        <v>11</v>
      </c>
      <c r="K32" s="4"/>
      <c r="L32" s="4"/>
      <c r="M32" s="4"/>
      <c r="N32" s="4">
        <v>11</v>
      </c>
      <c r="O32" s="4">
        <v>11</v>
      </c>
    </row>
    <row r="33" spans="1:15" x14ac:dyDescent="0.35">
      <c r="A33" s="3" t="s">
        <v>372</v>
      </c>
      <c r="B33" s="4"/>
      <c r="C33" s="4"/>
      <c r="D33" s="4"/>
      <c r="E33" s="4"/>
      <c r="F33" s="4"/>
      <c r="G33" s="4"/>
      <c r="H33" s="4">
        <v>11</v>
      </c>
      <c r="I33" s="4"/>
      <c r="J33" s="4">
        <v>11</v>
      </c>
      <c r="K33" s="4"/>
      <c r="L33" s="4"/>
      <c r="M33" s="4"/>
      <c r="N33" s="4">
        <v>11</v>
      </c>
      <c r="O33" s="4">
        <v>11</v>
      </c>
    </row>
    <row r="34" spans="1:15" x14ac:dyDescent="0.35">
      <c r="A34" s="2" t="s">
        <v>606</v>
      </c>
      <c r="B34" s="4"/>
      <c r="C34" s="4"/>
      <c r="D34" s="4"/>
      <c r="E34" s="4"/>
      <c r="F34" s="4"/>
      <c r="G34" s="4"/>
      <c r="H34" s="4"/>
      <c r="I34" s="4">
        <v>1</v>
      </c>
      <c r="J34" s="4">
        <v>1</v>
      </c>
      <c r="K34" s="4">
        <v>8</v>
      </c>
      <c r="L34" s="4">
        <v>1</v>
      </c>
      <c r="M34" s="4">
        <v>9</v>
      </c>
      <c r="N34" s="4">
        <v>10</v>
      </c>
      <c r="O34" s="4">
        <v>10</v>
      </c>
    </row>
    <row r="35" spans="1:15" x14ac:dyDescent="0.35">
      <c r="A35" s="3" t="s">
        <v>607</v>
      </c>
      <c r="B35" s="4"/>
      <c r="C35" s="4"/>
      <c r="D35" s="4"/>
      <c r="E35" s="4"/>
      <c r="F35" s="4"/>
      <c r="G35" s="4"/>
      <c r="H35" s="4"/>
      <c r="I35" s="4"/>
      <c r="J35" s="4"/>
      <c r="K35" s="4">
        <v>6</v>
      </c>
      <c r="L35" s="4">
        <v>1</v>
      </c>
      <c r="M35" s="4">
        <v>7</v>
      </c>
      <c r="N35" s="4">
        <v>7</v>
      </c>
      <c r="O35" s="4">
        <v>7</v>
      </c>
    </row>
    <row r="36" spans="1:15" x14ac:dyDescent="0.35">
      <c r="A36" s="3" t="s">
        <v>818</v>
      </c>
      <c r="B36" s="4"/>
      <c r="C36" s="4"/>
      <c r="D36" s="4"/>
      <c r="E36" s="4"/>
      <c r="F36" s="4"/>
      <c r="G36" s="4"/>
      <c r="H36" s="4"/>
      <c r="I36" s="4"/>
      <c r="J36" s="4"/>
      <c r="K36" s="4">
        <v>1</v>
      </c>
      <c r="L36" s="4"/>
      <c r="M36" s="4">
        <v>1</v>
      </c>
      <c r="N36" s="4">
        <v>1</v>
      </c>
      <c r="O36" s="4">
        <v>1</v>
      </c>
    </row>
    <row r="37" spans="1:15" x14ac:dyDescent="0.35">
      <c r="A37" s="3" t="s">
        <v>1732</v>
      </c>
      <c r="B37" s="4"/>
      <c r="C37" s="4"/>
      <c r="D37" s="4"/>
      <c r="E37" s="4"/>
      <c r="F37" s="4"/>
      <c r="G37" s="4"/>
      <c r="H37" s="4"/>
      <c r="I37" s="4">
        <v>1</v>
      </c>
      <c r="J37" s="4">
        <v>1</v>
      </c>
      <c r="K37" s="4">
        <v>1</v>
      </c>
      <c r="L37" s="4"/>
      <c r="M37" s="4">
        <v>1</v>
      </c>
      <c r="N37" s="4">
        <v>2</v>
      </c>
      <c r="O37" s="4">
        <v>2</v>
      </c>
    </row>
    <row r="38" spans="1:15" x14ac:dyDescent="0.35">
      <c r="A38" s="2" t="s">
        <v>330</v>
      </c>
      <c r="B38" s="4">
        <v>7</v>
      </c>
      <c r="C38" s="4">
        <v>7</v>
      </c>
      <c r="D38" s="4">
        <v>7</v>
      </c>
      <c r="E38" s="4">
        <v>2</v>
      </c>
      <c r="F38" s="4">
        <v>2</v>
      </c>
      <c r="G38" s="4">
        <v>1</v>
      </c>
      <c r="H38" s="4">
        <v>14</v>
      </c>
      <c r="I38" s="4">
        <v>24</v>
      </c>
      <c r="J38" s="4">
        <v>39</v>
      </c>
      <c r="K38" s="4">
        <v>80</v>
      </c>
      <c r="L38" s="4">
        <v>9</v>
      </c>
      <c r="M38" s="4">
        <v>89</v>
      </c>
      <c r="N38" s="4">
        <v>130</v>
      </c>
      <c r="O38" s="4">
        <v>137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1FB01-C60E-4456-B984-EC999A836B46}">
  <sheetPr>
    <tabColor theme="9"/>
  </sheetPr>
  <dimension ref="A1:J49"/>
  <sheetViews>
    <sheetView topLeftCell="A10" workbookViewId="0">
      <selection activeCell="I14" sqref="I5:I14"/>
    </sheetView>
  </sheetViews>
  <sheetFormatPr defaultRowHeight="14.5" x14ac:dyDescent="0.35"/>
  <cols>
    <col min="1" max="1" width="62.90625" bestFit="1" customWidth="1"/>
    <col min="2" max="2" width="15.6328125" customWidth="1"/>
    <col min="3" max="3" width="9.08984375" customWidth="1"/>
    <col min="4" max="4" width="4.90625" customWidth="1"/>
    <col min="5" max="5" width="20" customWidth="1"/>
    <col min="6" max="6" width="9.81640625" bestFit="1" customWidth="1"/>
    <col min="7" max="7" width="20.81640625" bestFit="1" customWidth="1"/>
    <col min="8" max="8" width="8.36328125" bestFit="1" customWidth="1"/>
    <col min="9" max="9" width="10.36328125" bestFit="1" customWidth="1"/>
  </cols>
  <sheetData>
    <row r="1" spans="1:10" x14ac:dyDescent="0.35">
      <c r="A1" t="s">
        <v>860</v>
      </c>
    </row>
    <row r="3" spans="1:10" x14ac:dyDescent="0.35">
      <c r="A3" s="1" t="s">
        <v>333</v>
      </c>
      <c r="B3" s="1" t="s">
        <v>331</v>
      </c>
    </row>
    <row r="4" spans="1:10" x14ac:dyDescent="0.35">
      <c r="A4" s="1" t="s">
        <v>329</v>
      </c>
      <c r="B4" t="s">
        <v>493</v>
      </c>
      <c r="C4" t="s">
        <v>84</v>
      </c>
      <c r="D4" t="s">
        <v>94</v>
      </c>
      <c r="E4" t="s">
        <v>54</v>
      </c>
      <c r="F4" t="s">
        <v>126</v>
      </c>
      <c r="G4" t="s">
        <v>371</v>
      </c>
      <c r="H4" t="s">
        <v>606</v>
      </c>
      <c r="I4" t="s">
        <v>330</v>
      </c>
    </row>
    <row r="5" spans="1:10" x14ac:dyDescent="0.35">
      <c r="A5" s="2" t="s">
        <v>572</v>
      </c>
      <c r="B5" s="4">
        <v>2</v>
      </c>
      <c r="C5" s="4">
        <v>1</v>
      </c>
      <c r="D5" s="4">
        <v>17</v>
      </c>
      <c r="E5" s="4">
        <v>16</v>
      </c>
      <c r="F5" s="4">
        <v>18</v>
      </c>
      <c r="G5" s="4">
        <v>6</v>
      </c>
      <c r="H5" s="4"/>
      <c r="I5" s="4">
        <v>60</v>
      </c>
      <c r="J5">
        <f>GETPIVOTDATA("Issue ID",$A$3,"Business Segment","Champion","Issue Classification","Account Reconciliations - Unapproved / Unsupported / Not done / Not Timely")+GETPIVOTDATA("Issue ID",$A$3,"Business Segment","Powertrain","Issue Classification","Account Reconciliations - Unapproved / Unsupported / Not done / Not Timely")+GETPIVOTDATA("Issue ID",$A$3,"Business Segment","IceCo (Shared Services)","Issue Classification","Account Reconciliations - Unapproved / Unsupported / Not done / Not Timely")+GETPIVOTDATA("Issue ID",$A$3,"Business Segment","Clean Air","Issue Classification","Account Reconciliations - Unapproved / Unsupported / Not done / Not Timely")</f>
        <v>26</v>
      </c>
    </row>
    <row r="6" spans="1:10" x14ac:dyDescent="0.35">
      <c r="A6" s="2" t="s">
        <v>1720</v>
      </c>
      <c r="B6" s="4">
        <v>1</v>
      </c>
      <c r="C6" s="4">
        <v>1</v>
      </c>
      <c r="D6" s="4">
        <v>4</v>
      </c>
      <c r="E6" s="4">
        <v>20</v>
      </c>
      <c r="F6" s="4">
        <v>14</v>
      </c>
      <c r="G6" s="4"/>
      <c r="H6" s="4">
        <v>7</v>
      </c>
      <c r="I6" s="4">
        <v>47</v>
      </c>
      <c r="J6">
        <f>GETPIVOTDATA("Issue ID",$A$3,"Business Segment","Champion","Issue Classification","Self-testing not completed timely/ not updated as per guidelines")+GETPIVOTDATA("Issue ID",$A$3,"Business Segment","Powertrain","Issue Classification","Self-testing not completed timely/ not updated as per guidelines")+GETPIVOTDATA("Issue ID",$A$3,"Business Segment","Clean Air","Issue Classification","Self-testing not completed timely/ not updated as per guidelines")+GETPIVOTDATA("Issue ID",$A$3,"Business Segment","IceCo (Shared Services)","Issue Classification","Self-testing not completed timely/ not updated as per guidelines")</f>
        <v>22</v>
      </c>
    </row>
    <row r="7" spans="1:10" x14ac:dyDescent="0.35">
      <c r="A7" s="2" t="s">
        <v>868</v>
      </c>
      <c r="B7" s="4">
        <v>1</v>
      </c>
      <c r="C7" s="4">
        <v>2</v>
      </c>
      <c r="D7" s="4">
        <v>6</v>
      </c>
      <c r="E7" s="4">
        <v>6</v>
      </c>
      <c r="F7" s="4">
        <v>12</v>
      </c>
      <c r="G7" s="4">
        <v>1</v>
      </c>
      <c r="H7" s="4">
        <v>10</v>
      </c>
      <c r="I7" s="4">
        <v>38</v>
      </c>
      <c r="J7">
        <f>GETPIVOTDATA("Issue ID",$A$3,"Business Segment","Champion","Issue Classification","Periodic reviews not performed as per policy")+GETPIVOTDATA("Issue ID",$A$3,"Business Segment","Powertrain","Issue Classification","Periodic reviews not performed as per policy")+GETPIVOTDATA("Issue ID",$A$3,"Business Segment","IceCo (Shared Services)","Issue Classification","Periodic reviews not performed as per policy")+GETPIVOTDATA("Issue ID",$A$3,"Business Segment","Clean Air","Issue Classification","Periodic reviews not performed as per policy")</f>
        <v>24</v>
      </c>
    </row>
    <row r="8" spans="1:10" x14ac:dyDescent="0.35">
      <c r="A8" s="2" t="s">
        <v>594</v>
      </c>
      <c r="B8" s="4">
        <v>3</v>
      </c>
      <c r="C8" s="4">
        <v>2</v>
      </c>
      <c r="D8" s="4"/>
      <c r="E8" s="4">
        <v>15</v>
      </c>
      <c r="F8" s="4">
        <v>10</v>
      </c>
      <c r="G8" s="4"/>
      <c r="H8" s="4">
        <v>3</v>
      </c>
      <c r="I8" s="4">
        <v>33</v>
      </c>
      <c r="J8">
        <f>GETPIVOTDATA("Issue ID",$A$3,"Business Segment","Champion","Issue Classification","Documentation non-compliance")+GETPIVOTDATA("Issue ID",$A$3,"Business Segment","Powertrain","Issue Classification","Documentation non-compliance")+GETPIVOTDATA("Issue ID",$A$3,"Business Segment","IceCo (Shared Services)","Issue Classification","Documentation non-compliance")+GETPIVOTDATA("Issue ID",$A$3,"Business Segment","Clean Air","Issue Classification","Documentation non-compliance")</f>
        <v>16</v>
      </c>
    </row>
    <row r="9" spans="1:10" x14ac:dyDescent="0.35">
      <c r="A9" s="2" t="s">
        <v>584</v>
      </c>
      <c r="B9" s="4">
        <v>3</v>
      </c>
      <c r="C9" s="4"/>
      <c r="D9" s="4">
        <v>3</v>
      </c>
      <c r="E9" s="4">
        <v>5</v>
      </c>
      <c r="F9" s="4">
        <v>5</v>
      </c>
      <c r="G9" s="4">
        <v>3</v>
      </c>
      <c r="H9" s="4">
        <v>4</v>
      </c>
      <c r="I9" s="4">
        <v>23</v>
      </c>
      <c r="J9">
        <f>GETPIVOTDATA("Issue ID",$A$3,"Business Segment","Champion","Issue Classification","Improper approvals")+GETPIVOTDATA("Issue ID",$A$3,"Business Segment","Powertrain","Issue Classification","Improper approvals")+GETPIVOTDATA("Issue ID",$A$3,"Business Segment","IceCo (Shared Services)","Issue Classification","Improper approvals")+GETPIVOTDATA("Issue ID",$A$3,"Business Segment","Clean Air","Issue Classification","Improper approvals")</f>
        <v>15</v>
      </c>
    </row>
    <row r="10" spans="1:10" x14ac:dyDescent="0.35">
      <c r="A10" s="2" t="s">
        <v>558</v>
      </c>
      <c r="B10" s="4"/>
      <c r="C10" s="4"/>
      <c r="D10" s="4">
        <v>2</v>
      </c>
      <c r="E10" s="4">
        <v>7</v>
      </c>
      <c r="F10" s="4">
        <v>7</v>
      </c>
      <c r="G10" s="4"/>
      <c r="H10" s="4">
        <v>3</v>
      </c>
      <c r="I10" s="4">
        <v>19</v>
      </c>
      <c r="J10">
        <f>GETPIVOTDATA("Issue ID",$A$3,"Business Segment","Champion","Issue Classification","Purchasing - Inadequate Process / Unapproved PO / SA")+GETPIVOTDATA("Issue ID",$A$3,"Business Segment","Powertrain","Issue Classification","Purchasing - Inadequate Process / Unapproved PO / SA")+GETPIVOTDATA("Issue ID",$A$3,"Business Segment","IceCo (Shared Services)","Issue Classification","Purchasing - Inadequate Process / Unapproved PO / SA")+GETPIVOTDATA("Issue ID",$A$3,"Business Segment","Clean Air","Issue Classification","Purchasing - Inadequate Process / Unapproved PO / SA")</f>
        <v>10</v>
      </c>
    </row>
    <row r="11" spans="1:10" x14ac:dyDescent="0.35">
      <c r="A11" s="2" t="s">
        <v>561</v>
      </c>
      <c r="B11" s="4">
        <v>1</v>
      </c>
      <c r="C11" s="4"/>
      <c r="D11" s="4">
        <v>2</v>
      </c>
      <c r="E11" s="4">
        <v>6</v>
      </c>
      <c r="F11" s="4">
        <v>4</v>
      </c>
      <c r="G11" s="4"/>
      <c r="H11" s="4">
        <v>1</v>
      </c>
      <c r="I11" s="4">
        <v>14</v>
      </c>
      <c r="J11">
        <f>GETPIVOTDATA("Issue ID",$A$3,"Business Segment","Champion","Issue Classification","Master Data - Unapproved / Unsupported / Incorrect Updates")+GETPIVOTDATA("Issue ID",$A$3,"Business Segment","Powertrain","Issue Classification","Master Data - Unapproved / Unsupported / Incorrect Updates")+GETPIVOTDATA("Issue ID",$A$3,"Business Segment","IceCo (Shared Services)","Issue Classification","Master Data - Unapproved / Unsupported / Incorrect Updates")+GETPIVOTDATA("Issue ID",$A$3,"Business Segment","Clean Air","Issue Classification","Master Data - Unapproved / Unsupported / Incorrect Updates")</f>
        <v>6</v>
      </c>
    </row>
    <row r="12" spans="1:10" x14ac:dyDescent="0.35">
      <c r="A12" s="2" t="s">
        <v>586</v>
      </c>
      <c r="B12" s="4"/>
      <c r="C12" s="4"/>
      <c r="D12" s="4">
        <v>4</v>
      </c>
      <c r="E12" s="4">
        <v>4</v>
      </c>
      <c r="F12" s="4">
        <v>4</v>
      </c>
      <c r="G12" s="4"/>
      <c r="H12" s="4">
        <v>2</v>
      </c>
      <c r="I12" s="4">
        <v>14</v>
      </c>
      <c r="J12">
        <f>GETPIVOTDATA("Issue ID",$A$3,"Business Segment","Champion","Issue Classification","Physical Security concerns")+GETPIVOTDATA("Issue ID",$A$3,"Business Segment","Powertrain","Issue Classification","Physical Security concerns")+GETPIVOTDATA("Issue ID",$A$3,"Business Segment","IceCo (Shared Services)","Issue Classification","Physical Security concerns")+GETPIVOTDATA("Issue ID",$A$3,"Business Segment","Clean Air","Issue Classification","Physical Security concerns")</f>
        <v>6</v>
      </c>
    </row>
    <row r="13" spans="1:10" x14ac:dyDescent="0.35">
      <c r="A13" s="2" t="s">
        <v>552</v>
      </c>
      <c r="B13" s="4">
        <v>1</v>
      </c>
      <c r="C13" s="4"/>
      <c r="D13" s="4">
        <v>1</v>
      </c>
      <c r="E13" s="4">
        <v>7</v>
      </c>
      <c r="F13" s="4">
        <v>3</v>
      </c>
      <c r="G13" s="4"/>
      <c r="H13" s="4">
        <v>2</v>
      </c>
      <c r="I13" s="4">
        <v>14</v>
      </c>
      <c r="J13">
        <f>GETPIVOTDATA("Issue ID",$A$3,"Business Segment","Champion","Issue Classification","Fixed Assets - Physical Inventory Issues")+GETPIVOTDATA("Issue ID",$A$3,"Business Segment","Powertrain","Issue Classification","Fixed Assets - Physical Inventory Issues")+GETPIVOTDATA("Issue ID",$A$3,"Business Segment","IceCo (Shared Services)","Issue Classification","Fixed Assets - Physical Inventory Issues")+GETPIVOTDATA("Issue ID",$A$3,"Business Segment","Clean Air","Issue Classification","Fixed Assets - Physical Inventory Issues")</f>
        <v>6</v>
      </c>
    </row>
    <row r="14" spans="1:10" x14ac:dyDescent="0.35">
      <c r="A14" s="2" t="s">
        <v>544</v>
      </c>
      <c r="B14" s="4"/>
      <c r="C14" s="4"/>
      <c r="D14" s="4">
        <v>3</v>
      </c>
      <c r="E14" s="4">
        <v>5</v>
      </c>
      <c r="F14" s="4">
        <v>5</v>
      </c>
      <c r="G14" s="4"/>
      <c r="H14" s="4"/>
      <c r="I14" s="4">
        <v>13</v>
      </c>
      <c r="J14">
        <f>GETPIVOTDATA("Issue ID",$A$3,"Business Segment","Champion","Issue Classification","Fixed Assets - Inadequate review / management")+GETPIVOTDATA("Issue ID",$A$3,"Business Segment","Powertrain","Issue Classification","Fixed Assets - Inadequate review / management")+GETPIVOTDATA("Issue ID",$A$3,"Business Segment","IceCo (Shared Services)","Issue Classification","Fixed Assets - Inadequate review / management")+GETPIVOTDATA("Issue ID",$A$3,"Business Segment","Clean Air","Issue Classification","Fixed Assets - Inadequate review / management")</f>
        <v>5</v>
      </c>
    </row>
    <row r="15" spans="1:10" x14ac:dyDescent="0.35">
      <c r="A15" s="2" t="s">
        <v>564</v>
      </c>
      <c r="B15" s="4"/>
      <c r="C15" s="4"/>
      <c r="D15" s="4">
        <v>1</v>
      </c>
      <c r="E15" s="4">
        <v>8</v>
      </c>
      <c r="F15" s="4">
        <v>2</v>
      </c>
      <c r="G15" s="4"/>
      <c r="H15" s="4">
        <v>2</v>
      </c>
      <c r="I15" s="4">
        <v>13</v>
      </c>
    </row>
    <row r="16" spans="1:10" x14ac:dyDescent="0.35">
      <c r="A16" s="2" t="s">
        <v>565</v>
      </c>
      <c r="B16" s="4"/>
      <c r="C16" s="4"/>
      <c r="D16" s="4">
        <v>1</v>
      </c>
      <c r="E16" s="4">
        <v>6</v>
      </c>
      <c r="F16" s="4"/>
      <c r="G16" s="4"/>
      <c r="H16" s="4">
        <v>2</v>
      </c>
      <c r="I16" s="4">
        <v>9</v>
      </c>
    </row>
    <row r="17" spans="1:9" x14ac:dyDescent="0.35">
      <c r="A17" s="2" t="s">
        <v>593</v>
      </c>
      <c r="B17" s="4"/>
      <c r="C17" s="4"/>
      <c r="D17" s="4">
        <v>2</v>
      </c>
      <c r="E17" s="4">
        <v>1</v>
      </c>
      <c r="F17" s="4">
        <v>1</v>
      </c>
      <c r="G17" s="4">
        <v>3</v>
      </c>
      <c r="H17" s="4">
        <v>2</v>
      </c>
      <c r="I17" s="4">
        <v>9</v>
      </c>
    </row>
    <row r="18" spans="1:9" x14ac:dyDescent="0.35">
      <c r="A18" s="2" t="s">
        <v>867</v>
      </c>
      <c r="B18" s="4">
        <v>2</v>
      </c>
      <c r="C18" s="4"/>
      <c r="D18" s="4"/>
      <c r="E18" s="4">
        <v>1</v>
      </c>
      <c r="F18" s="4">
        <v>5</v>
      </c>
      <c r="G18" s="4"/>
      <c r="H18" s="4">
        <v>1</v>
      </c>
      <c r="I18" s="4">
        <v>9</v>
      </c>
    </row>
    <row r="19" spans="1:9" x14ac:dyDescent="0.35">
      <c r="A19" s="2" t="s">
        <v>576</v>
      </c>
      <c r="B19" s="4"/>
      <c r="C19" s="4"/>
      <c r="D19" s="4">
        <v>1</v>
      </c>
      <c r="E19" s="4">
        <v>4</v>
      </c>
      <c r="F19" s="4">
        <v>2</v>
      </c>
      <c r="G19" s="4"/>
      <c r="H19" s="4">
        <v>1</v>
      </c>
      <c r="I19" s="4">
        <v>8</v>
      </c>
    </row>
    <row r="20" spans="1:9" x14ac:dyDescent="0.35">
      <c r="A20" s="2" t="s">
        <v>745</v>
      </c>
      <c r="B20" s="4"/>
      <c r="C20" s="4"/>
      <c r="D20" s="4"/>
      <c r="E20" s="4">
        <v>3</v>
      </c>
      <c r="F20" s="4">
        <v>1</v>
      </c>
      <c r="G20" s="4"/>
      <c r="H20" s="4">
        <v>1</v>
      </c>
      <c r="I20" s="4">
        <v>5</v>
      </c>
    </row>
    <row r="21" spans="1:9" x14ac:dyDescent="0.35">
      <c r="A21" s="2" t="s">
        <v>589</v>
      </c>
      <c r="B21" s="4"/>
      <c r="C21" s="4"/>
      <c r="D21" s="4"/>
      <c r="E21" s="4">
        <v>3</v>
      </c>
      <c r="F21" s="4">
        <v>1</v>
      </c>
      <c r="G21" s="4"/>
      <c r="H21" s="4">
        <v>1</v>
      </c>
      <c r="I21" s="4">
        <v>5</v>
      </c>
    </row>
    <row r="22" spans="1:9" x14ac:dyDescent="0.35">
      <c r="A22" s="2" t="s">
        <v>591</v>
      </c>
      <c r="B22" s="4"/>
      <c r="C22" s="4"/>
      <c r="D22" s="4"/>
      <c r="E22" s="4"/>
      <c r="F22" s="4">
        <v>1</v>
      </c>
      <c r="G22" s="4">
        <v>3</v>
      </c>
      <c r="H22" s="4"/>
      <c r="I22" s="4">
        <v>4</v>
      </c>
    </row>
    <row r="23" spans="1:9" x14ac:dyDescent="0.35">
      <c r="A23" s="2" t="s">
        <v>603</v>
      </c>
      <c r="B23" s="4"/>
      <c r="C23" s="4"/>
      <c r="D23" s="4"/>
      <c r="E23" s="4">
        <v>3</v>
      </c>
      <c r="F23" s="4"/>
      <c r="G23" s="4"/>
      <c r="H23" s="4">
        <v>1</v>
      </c>
      <c r="I23" s="4">
        <v>4</v>
      </c>
    </row>
    <row r="24" spans="1:9" x14ac:dyDescent="0.35">
      <c r="A24" s="2" t="s">
        <v>559</v>
      </c>
      <c r="B24" s="4">
        <v>1</v>
      </c>
      <c r="C24" s="4"/>
      <c r="D24" s="4"/>
      <c r="E24" s="4">
        <v>3</v>
      </c>
      <c r="F24" s="4"/>
      <c r="G24" s="4"/>
      <c r="H24" s="4"/>
      <c r="I24" s="4">
        <v>4</v>
      </c>
    </row>
    <row r="25" spans="1:9" x14ac:dyDescent="0.35">
      <c r="A25" s="2" t="s">
        <v>587</v>
      </c>
      <c r="B25" s="4"/>
      <c r="C25" s="4">
        <v>1</v>
      </c>
      <c r="D25" s="4"/>
      <c r="E25" s="4"/>
      <c r="F25" s="4"/>
      <c r="G25" s="4">
        <v>1</v>
      </c>
      <c r="H25" s="4">
        <v>1</v>
      </c>
      <c r="I25" s="4">
        <v>3</v>
      </c>
    </row>
    <row r="26" spans="1:9" x14ac:dyDescent="0.35">
      <c r="A26" s="2" t="s">
        <v>600</v>
      </c>
      <c r="B26" s="4"/>
      <c r="C26" s="4"/>
      <c r="D26" s="4">
        <v>2</v>
      </c>
      <c r="E26" s="4"/>
      <c r="F26" s="4">
        <v>1</v>
      </c>
      <c r="G26" s="4"/>
      <c r="H26" s="4"/>
      <c r="I26" s="4">
        <v>3</v>
      </c>
    </row>
    <row r="27" spans="1:9" x14ac:dyDescent="0.35">
      <c r="A27" s="2" t="s">
        <v>597</v>
      </c>
      <c r="B27" s="4"/>
      <c r="C27" s="4"/>
      <c r="D27" s="4"/>
      <c r="E27" s="4">
        <v>1</v>
      </c>
      <c r="F27" s="4"/>
      <c r="G27" s="4">
        <v>2</v>
      </c>
      <c r="H27" s="4"/>
      <c r="I27" s="4">
        <v>3</v>
      </c>
    </row>
    <row r="28" spans="1:9" x14ac:dyDescent="0.35">
      <c r="A28" s="2" t="s">
        <v>605</v>
      </c>
      <c r="B28" s="4"/>
      <c r="C28" s="4"/>
      <c r="D28" s="4"/>
      <c r="E28" s="4">
        <v>1</v>
      </c>
      <c r="F28" s="4">
        <v>2</v>
      </c>
      <c r="G28" s="4"/>
      <c r="H28" s="4"/>
      <c r="I28" s="4">
        <v>3</v>
      </c>
    </row>
    <row r="29" spans="1:9" x14ac:dyDescent="0.35">
      <c r="A29" s="2" t="s">
        <v>596</v>
      </c>
      <c r="B29" s="4"/>
      <c r="C29" s="4"/>
      <c r="D29" s="4"/>
      <c r="E29" s="4">
        <v>2</v>
      </c>
      <c r="F29" s="4"/>
      <c r="G29" s="4">
        <v>1</v>
      </c>
      <c r="H29" s="4"/>
      <c r="I29" s="4">
        <v>3</v>
      </c>
    </row>
    <row r="30" spans="1:9" x14ac:dyDescent="0.35">
      <c r="A30" s="2" t="s">
        <v>592</v>
      </c>
      <c r="B30" s="4"/>
      <c r="C30" s="4"/>
      <c r="D30" s="4"/>
      <c r="E30" s="4">
        <v>3</v>
      </c>
      <c r="F30" s="4"/>
      <c r="G30" s="4"/>
      <c r="H30" s="4"/>
      <c r="I30" s="4">
        <v>3</v>
      </c>
    </row>
    <row r="31" spans="1:9" x14ac:dyDescent="0.35">
      <c r="A31" s="2" t="s">
        <v>1385</v>
      </c>
      <c r="B31" s="4"/>
      <c r="C31" s="4"/>
      <c r="D31" s="4"/>
      <c r="E31" s="4">
        <v>1</v>
      </c>
      <c r="F31" s="4">
        <v>1</v>
      </c>
      <c r="G31" s="4"/>
      <c r="H31" s="4">
        <v>1</v>
      </c>
      <c r="I31" s="4">
        <v>3</v>
      </c>
    </row>
    <row r="32" spans="1:9" x14ac:dyDescent="0.35">
      <c r="A32" s="2" t="s">
        <v>602</v>
      </c>
      <c r="B32" s="4">
        <v>1</v>
      </c>
      <c r="C32" s="4">
        <v>1</v>
      </c>
      <c r="D32" s="4">
        <v>1</v>
      </c>
      <c r="E32" s="4"/>
      <c r="F32" s="4"/>
      <c r="G32" s="4"/>
      <c r="H32" s="4"/>
      <c r="I32" s="4">
        <v>3</v>
      </c>
    </row>
    <row r="33" spans="1:9" x14ac:dyDescent="0.35">
      <c r="A33" s="2" t="s">
        <v>573</v>
      </c>
      <c r="B33" s="4"/>
      <c r="C33" s="4"/>
      <c r="D33" s="4"/>
      <c r="E33" s="4">
        <v>1</v>
      </c>
      <c r="F33" s="4">
        <v>1</v>
      </c>
      <c r="G33" s="4"/>
      <c r="H33" s="4">
        <v>1</v>
      </c>
      <c r="I33" s="4">
        <v>3</v>
      </c>
    </row>
    <row r="34" spans="1:9" x14ac:dyDescent="0.35">
      <c r="A34" s="2" t="s">
        <v>563</v>
      </c>
      <c r="B34" s="4"/>
      <c r="C34" s="4"/>
      <c r="D34" s="4"/>
      <c r="E34" s="4">
        <v>1</v>
      </c>
      <c r="F34" s="4"/>
      <c r="G34" s="4">
        <v>1</v>
      </c>
      <c r="H34" s="4">
        <v>1</v>
      </c>
      <c r="I34" s="4">
        <v>3</v>
      </c>
    </row>
    <row r="35" spans="1:9" x14ac:dyDescent="0.35">
      <c r="A35" s="2" t="s">
        <v>858</v>
      </c>
      <c r="B35" s="4"/>
      <c r="C35" s="4">
        <v>1</v>
      </c>
      <c r="D35" s="4"/>
      <c r="E35" s="4"/>
      <c r="F35" s="4"/>
      <c r="G35" s="4"/>
      <c r="H35" s="4">
        <v>1</v>
      </c>
      <c r="I35" s="4">
        <v>2</v>
      </c>
    </row>
    <row r="36" spans="1:9" x14ac:dyDescent="0.35">
      <c r="A36" s="2" t="s">
        <v>1921</v>
      </c>
      <c r="B36" s="4"/>
      <c r="C36" s="4"/>
      <c r="D36" s="4"/>
      <c r="E36" s="4"/>
      <c r="F36" s="4"/>
      <c r="G36" s="4"/>
      <c r="H36" s="4">
        <v>2</v>
      </c>
      <c r="I36" s="4">
        <v>2</v>
      </c>
    </row>
    <row r="37" spans="1:9" x14ac:dyDescent="0.35">
      <c r="A37" s="2" t="s">
        <v>613</v>
      </c>
      <c r="B37" s="4"/>
      <c r="C37" s="4"/>
      <c r="D37" s="4"/>
      <c r="E37" s="4">
        <v>2</v>
      </c>
      <c r="F37" s="4"/>
      <c r="G37" s="4"/>
      <c r="H37" s="4"/>
      <c r="I37" s="4">
        <v>2</v>
      </c>
    </row>
    <row r="38" spans="1:9" x14ac:dyDescent="0.35">
      <c r="A38" s="2" t="s">
        <v>601</v>
      </c>
      <c r="B38" s="4"/>
      <c r="C38" s="4"/>
      <c r="D38" s="4">
        <v>1</v>
      </c>
      <c r="E38" s="4"/>
      <c r="F38" s="4">
        <v>1</v>
      </c>
      <c r="G38" s="4"/>
      <c r="H38" s="4"/>
      <c r="I38" s="4">
        <v>2</v>
      </c>
    </row>
    <row r="39" spans="1:9" x14ac:dyDescent="0.35">
      <c r="A39" s="2" t="s">
        <v>604</v>
      </c>
      <c r="B39" s="4"/>
      <c r="C39" s="4"/>
      <c r="D39" s="4"/>
      <c r="E39" s="4">
        <v>2</v>
      </c>
      <c r="F39" s="4"/>
      <c r="G39" s="4"/>
      <c r="H39" s="4"/>
      <c r="I39" s="4">
        <v>2</v>
      </c>
    </row>
    <row r="40" spans="1:9" x14ac:dyDescent="0.35">
      <c r="A40" s="2" t="s">
        <v>585</v>
      </c>
      <c r="B40" s="4"/>
      <c r="C40" s="4">
        <v>1</v>
      </c>
      <c r="D40" s="4">
        <v>1</v>
      </c>
      <c r="E40" s="4"/>
      <c r="F40" s="4"/>
      <c r="G40" s="4"/>
      <c r="H40" s="4"/>
      <c r="I40" s="4">
        <v>2</v>
      </c>
    </row>
    <row r="41" spans="1:9" x14ac:dyDescent="0.35">
      <c r="A41" s="2" t="s">
        <v>2516</v>
      </c>
      <c r="B41" s="4"/>
      <c r="C41" s="4"/>
      <c r="D41" s="4">
        <v>1</v>
      </c>
      <c r="E41" s="4"/>
      <c r="F41" s="4"/>
      <c r="G41" s="4"/>
      <c r="H41" s="4"/>
      <c r="I41" s="4">
        <v>1</v>
      </c>
    </row>
    <row r="42" spans="1:9" x14ac:dyDescent="0.35">
      <c r="A42" s="2" t="s">
        <v>534</v>
      </c>
      <c r="B42" s="4"/>
      <c r="C42" s="4"/>
      <c r="D42" s="4"/>
      <c r="E42" s="4">
        <v>1</v>
      </c>
      <c r="F42" s="4"/>
      <c r="G42" s="4"/>
      <c r="H42" s="4"/>
      <c r="I42" s="4">
        <v>1</v>
      </c>
    </row>
    <row r="43" spans="1:9" x14ac:dyDescent="0.35">
      <c r="A43" s="2" t="s">
        <v>1407</v>
      </c>
      <c r="B43" s="4"/>
      <c r="C43" s="4"/>
      <c r="D43" s="4"/>
      <c r="E43" s="4"/>
      <c r="F43" s="4"/>
      <c r="G43" s="4">
        <v>1</v>
      </c>
      <c r="H43" s="4"/>
      <c r="I43" s="4">
        <v>1</v>
      </c>
    </row>
    <row r="44" spans="1:9" x14ac:dyDescent="0.35">
      <c r="A44" s="2" t="s">
        <v>1197</v>
      </c>
      <c r="B44" s="4"/>
      <c r="C44" s="4"/>
      <c r="D44" s="4"/>
      <c r="E44" s="4">
        <v>1</v>
      </c>
      <c r="F44" s="4"/>
      <c r="G44" s="4"/>
      <c r="H44" s="4"/>
      <c r="I44" s="4">
        <v>1</v>
      </c>
    </row>
    <row r="45" spans="1:9" x14ac:dyDescent="0.35">
      <c r="A45" s="2" t="s">
        <v>590</v>
      </c>
      <c r="B45" s="4"/>
      <c r="C45" s="4"/>
      <c r="D45" s="4"/>
      <c r="E45" s="4"/>
      <c r="F45" s="4">
        <v>1</v>
      </c>
      <c r="G45" s="4"/>
      <c r="H45" s="4"/>
      <c r="I45" s="4">
        <v>1</v>
      </c>
    </row>
    <row r="46" spans="1:9" x14ac:dyDescent="0.35">
      <c r="A46" s="2" t="s">
        <v>1212</v>
      </c>
      <c r="B46" s="4"/>
      <c r="C46" s="4"/>
      <c r="D46" s="4"/>
      <c r="E46" s="4">
        <v>1</v>
      </c>
      <c r="F46" s="4"/>
      <c r="G46" s="4"/>
      <c r="H46" s="4"/>
      <c r="I46" s="4">
        <v>1</v>
      </c>
    </row>
    <row r="47" spans="1:9" x14ac:dyDescent="0.35">
      <c r="A47" s="2" t="s">
        <v>1119</v>
      </c>
      <c r="B47" s="4"/>
      <c r="C47" s="4"/>
      <c r="D47" s="4">
        <v>1</v>
      </c>
      <c r="E47" s="4"/>
      <c r="F47" s="4"/>
      <c r="G47" s="4"/>
      <c r="H47" s="4"/>
      <c r="I47" s="4">
        <v>1</v>
      </c>
    </row>
    <row r="48" spans="1:9" x14ac:dyDescent="0.35">
      <c r="A48" s="2" t="s">
        <v>595</v>
      </c>
      <c r="B48" s="4"/>
      <c r="C48" s="4"/>
      <c r="D48" s="4"/>
      <c r="E48" s="4"/>
      <c r="F48" s="4"/>
      <c r="G48" s="4">
        <v>1</v>
      </c>
      <c r="H48" s="4"/>
      <c r="I48" s="4">
        <v>1</v>
      </c>
    </row>
    <row r="49" spans="1:9" x14ac:dyDescent="0.35">
      <c r="A49" s="2" t="s">
        <v>330</v>
      </c>
      <c r="B49" s="4">
        <v>16</v>
      </c>
      <c r="C49" s="4">
        <v>10</v>
      </c>
      <c r="D49" s="4">
        <v>54</v>
      </c>
      <c r="E49" s="4">
        <v>140</v>
      </c>
      <c r="F49" s="4">
        <v>102</v>
      </c>
      <c r="G49" s="4">
        <v>23</v>
      </c>
      <c r="H49" s="4">
        <v>50</v>
      </c>
      <c r="I49" s="4">
        <v>395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89D9A-0288-410A-A220-4CC849A9ADFC}">
  <sheetPr>
    <tabColor theme="9"/>
  </sheetPr>
  <dimension ref="A1:E14"/>
  <sheetViews>
    <sheetView workbookViewId="0">
      <pane ySplit="6" topLeftCell="A7" activePane="bottomLeft" state="frozen"/>
      <selection pane="bottomLeft" activeCell="A5" sqref="A5"/>
    </sheetView>
  </sheetViews>
  <sheetFormatPr defaultRowHeight="14.5" x14ac:dyDescent="0.35"/>
  <cols>
    <col min="1" max="1" width="20.1796875" bestFit="1" customWidth="1"/>
    <col min="2" max="2" width="15.6328125" bestFit="1" customWidth="1"/>
    <col min="3" max="3" width="10.1796875" bestFit="1" customWidth="1"/>
    <col min="4" max="4" width="12.1796875" bestFit="1" customWidth="1"/>
    <col min="5" max="8" width="10.36328125" bestFit="1" customWidth="1"/>
  </cols>
  <sheetData>
    <row r="1" spans="1:5" ht="25" x14ac:dyDescent="0.7">
      <c r="A1" s="5" t="s">
        <v>344</v>
      </c>
    </row>
    <row r="3" spans="1:5" x14ac:dyDescent="0.35">
      <c r="A3" s="1" t="s">
        <v>334</v>
      </c>
      <c r="B3" t="s">
        <v>66</v>
      </c>
    </row>
    <row r="5" spans="1:5" x14ac:dyDescent="0.35">
      <c r="A5" s="1" t="s">
        <v>333</v>
      </c>
      <c r="B5" s="1" t="s">
        <v>331</v>
      </c>
    </row>
    <row r="6" spans="1:5" x14ac:dyDescent="0.35">
      <c r="A6" s="1" t="s">
        <v>329</v>
      </c>
      <c r="B6" t="s">
        <v>340</v>
      </c>
      <c r="C6" t="s">
        <v>341</v>
      </c>
      <c r="D6" t="s">
        <v>359</v>
      </c>
      <c r="E6" t="s">
        <v>330</v>
      </c>
    </row>
    <row r="7" spans="1:5" x14ac:dyDescent="0.35">
      <c r="A7" s="2" t="s">
        <v>493</v>
      </c>
      <c r="B7" s="4">
        <v>1</v>
      </c>
      <c r="C7" s="4"/>
      <c r="D7" s="4"/>
      <c r="E7" s="4">
        <v>1</v>
      </c>
    </row>
    <row r="8" spans="1:5" x14ac:dyDescent="0.35">
      <c r="A8" s="2" t="s">
        <v>84</v>
      </c>
      <c r="B8" s="4">
        <v>4</v>
      </c>
      <c r="C8" s="4"/>
      <c r="D8" s="4">
        <v>2</v>
      </c>
      <c r="E8" s="4">
        <v>6</v>
      </c>
    </row>
    <row r="9" spans="1:5" x14ac:dyDescent="0.35">
      <c r="A9" s="2" t="s">
        <v>94</v>
      </c>
      <c r="B9" s="4">
        <v>18</v>
      </c>
      <c r="C9" s="4"/>
      <c r="D9" s="4"/>
      <c r="E9" s="4">
        <v>18</v>
      </c>
    </row>
    <row r="10" spans="1:5" x14ac:dyDescent="0.35">
      <c r="A10" s="2" t="s">
        <v>54</v>
      </c>
      <c r="B10" s="4">
        <v>49</v>
      </c>
      <c r="C10" s="4">
        <v>3</v>
      </c>
      <c r="D10" s="4">
        <v>5</v>
      </c>
      <c r="E10" s="4">
        <v>57</v>
      </c>
    </row>
    <row r="11" spans="1:5" x14ac:dyDescent="0.35">
      <c r="A11" s="2" t="s">
        <v>126</v>
      </c>
      <c r="B11" s="4">
        <v>34</v>
      </c>
      <c r="C11" s="4"/>
      <c r="D11" s="4"/>
      <c r="E11" s="4">
        <v>34</v>
      </c>
    </row>
    <row r="12" spans="1:5" x14ac:dyDescent="0.35">
      <c r="A12" s="2" t="s">
        <v>371</v>
      </c>
      <c r="B12" s="4">
        <v>11</v>
      </c>
      <c r="C12" s="4"/>
      <c r="D12" s="4"/>
      <c r="E12" s="4">
        <v>11</v>
      </c>
    </row>
    <row r="13" spans="1:5" x14ac:dyDescent="0.35">
      <c r="A13" s="2" t="s">
        <v>606</v>
      </c>
      <c r="B13" s="4">
        <v>10</v>
      </c>
      <c r="C13" s="4"/>
      <c r="D13" s="4"/>
      <c r="E13" s="4">
        <v>10</v>
      </c>
    </row>
    <row r="14" spans="1:5" x14ac:dyDescent="0.35">
      <c r="A14" s="2" t="s">
        <v>330</v>
      </c>
      <c r="B14" s="4">
        <v>127</v>
      </c>
      <c r="C14" s="4">
        <v>3</v>
      </c>
      <c r="D14" s="4">
        <v>7</v>
      </c>
      <c r="E14" s="4">
        <v>137</v>
      </c>
    </row>
  </sheetData>
  <pageMargins left="0.7" right="0.7" top="0.75" bottom="0.75" header="0.3" footer="0.3"/>
  <headerFooter>
    <oddHeader>&amp;L&amp;"Calibri"&amp;10&amp;K000000 General Business - Tenneco Confidential&amp;1#_x000D_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5B505-20B0-4236-8B96-ED61EC7C4786}">
  <sheetPr>
    <tabColor theme="9"/>
  </sheetPr>
  <dimension ref="A1:H16"/>
  <sheetViews>
    <sheetView workbookViewId="0">
      <pane ySplit="6" topLeftCell="A7" activePane="bottomLeft" state="frozen"/>
      <selection pane="bottomLeft" activeCell="A6" sqref="A6"/>
    </sheetView>
  </sheetViews>
  <sheetFormatPr defaultRowHeight="14.5" x14ac:dyDescent="0.35"/>
  <cols>
    <col min="1" max="1" width="20.1796875" bestFit="1" customWidth="1"/>
    <col min="2" max="2" width="15.6328125" bestFit="1" customWidth="1"/>
    <col min="3" max="3" width="13.54296875" bestFit="1" customWidth="1"/>
    <col min="4" max="4" width="11.81640625" bestFit="1" customWidth="1"/>
    <col min="5" max="5" width="10.36328125" bestFit="1" customWidth="1"/>
    <col min="6" max="6" width="12.1796875" bestFit="1" customWidth="1"/>
    <col min="7" max="7" width="10.36328125" bestFit="1" customWidth="1"/>
    <col min="8" max="8" width="10.36328125" hidden="1" customWidth="1"/>
  </cols>
  <sheetData>
    <row r="1" spans="1:8" ht="25" x14ac:dyDescent="0.7">
      <c r="A1" s="5" t="s">
        <v>2555</v>
      </c>
    </row>
    <row r="3" spans="1:8" x14ac:dyDescent="0.35">
      <c r="A3" s="1" t="s">
        <v>334</v>
      </c>
      <c r="B3" t="s">
        <v>335</v>
      </c>
    </row>
    <row r="5" spans="1:8" x14ac:dyDescent="0.35">
      <c r="A5" s="1" t="s">
        <v>333</v>
      </c>
      <c r="B5" s="1" t="s">
        <v>331</v>
      </c>
    </row>
    <row r="6" spans="1:8" x14ac:dyDescent="0.35">
      <c r="A6" s="1" t="s">
        <v>329</v>
      </c>
      <c r="B6" t="s">
        <v>152</v>
      </c>
      <c r="C6" t="s">
        <v>221</v>
      </c>
      <c r="D6" t="s">
        <v>155</v>
      </c>
      <c r="E6" t="s">
        <v>330</v>
      </c>
    </row>
    <row r="7" spans="1:8" x14ac:dyDescent="0.35">
      <c r="A7" s="2" t="s">
        <v>493</v>
      </c>
      <c r="B7" s="4">
        <v>9</v>
      </c>
      <c r="C7" s="4">
        <v>3</v>
      </c>
      <c r="D7" s="4">
        <v>3</v>
      </c>
      <c r="E7" s="4">
        <v>15</v>
      </c>
    </row>
    <row r="8" spans="1:8" x14ac:dyDescent="0.35">
      <c r="A8" s="2" t="s">
        <v>84</v>
      </c>
      <c r="B8" s="4"/>
      <c r="C8" s="4">
        <v>4</v>
      </c>
      <c r="D8" s="4"/>
      <c r="E8" s="4">
        <v>4</v>
      </c>
    </row>
    <row r="9" spans="1:8" x14ac:dyDescent="0.35">
      <c r="A9" s="2" t="s">
        <v>94</v>
      </c>
      <c r="B9" s="4">
        <v>12</v>
      </c>
      <c r="C9" s="4">
        <v>10</v>
      </c>
      <c r="D9" s="4">
        <v>14</v>
      </c>
      <c r="E9" s="4">
        <v>36</v>
      </c>
    </row>
    <row r="10" spans="1:8" x14ac:dyDescent="0.35">
      <c r="A10" s="2" t="s">
        <v>54</v>
      </c>
      <c r="B10" s="4">
        <v>34</v>
      </c>
      <c r="C10" s="4">
        <v>47</v>
      </c>
      <c r="D10" s="4">
        <v>2</v>
      </c>
      <c r="E10" s="4">
        <v>83</v>
      </c>
    </row>
    <row r="11" spans="1:8" x14ac:dyDescent="0.35">
      <c r="A11" s="2" t="s">
        <v>126</v>
      </c>
      <c r="B11" s="4">
        <v>16</v>
      </c>
      <c r="C11" s="4">
        <v>45</v>
      </c>
      <c r="D11" s="4">
        <v>7</v>
      </c>
      <c r="E11" s="4">
        <v>68</v>
      </c>
    </row>
    <row r="12" spans="1:8" x14ac:dyDescent="0.35">
      <c r="A12" s="2" t="s">
        <v>371</v>
      </c>
      <c r="B12" s="4">
        <v>7</v>
      </c>
      <c r="C12" s="4">
        <v>4</v>
      </c>
      <c r="D12" s="4">
        <v>1</v>
      </c>
      <c r="E12" s="4">
        <v>12</v>
      </c>
    </row>
    <row r="13" spans="1:8" x14ac:dyDescent="0.35">
      <c r="A13" s="2" t="s">
        <v>606</v>
      </c>
      <c r="B13" s="4">
        <v>20</v>
      </c>
      <c r="C13" s="4">
        <v>17</v>
      </c>
      <c r="D13" s="4">
        <v>3</v>
      </c>
      <c r="E13" s="4">
        <v>40</v>
      </c>
      <c r="H13">
        <v>38</v>
      </c>
    </row>
    <row r="14" spans="1:8" x14ac:dyDescent="0.35">
      <c r="A14" s="2" t="s">
        <v>330</v>
      </c>
      <c r="B14" s="4">
        <v>98</v>
      </c>
      <c r="C14" s="4">
        <v>130</v>
      </c>
      <c r="D14" s="4">
        <v>30</v>
      </c>
      <c r="E14" s="4">
        <v>258</v>
      </c>
      <c r="H14">
        <v>11</v>
      </c>
    </row>
    <row r="15" spans="1:8" x14ac:dyDescent="0.35">
      <c r="H15">
        <v>26</v>
      </c>
    </row>
    <row r="16" spans="1:8" x14ac:dyDescent="0.35">
      <c r="H16">
        <v>6</v>
      </c>
    </row>
  </sheetData>
  <pageMargins left="0.7" right="0.7" top="0.75" bottom="0.75" header="0.3" footer="0.3"/>
  <headerFooter>
    <oddHeader>&amp;L&amp;"Calibri"&amp;10&amp;K000000 General Business - Tenneco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BCA4-5B67-431E-8E94-7A8FD197A4D1}">
  <sheetPr>
    <tabColor theme="9"/>
  </sheetPr>
  <dimension ref="A1:AY8"/>
  <sheetViews>
    <sheetView workbookViewId="0"/>
  </sheetViews>
  <sheetFormatPr defaultColWidth="53.1796875" defaultRowHeight="14.5" x14ac:dyDescent="0.35"/>
  <cols>
    <col min="1" max="1" width="8.6328125" bestFit="1" customWidth="1"/>
    <col min="2" max="2" width="4.81640625" bestFit="1" customWidth="1"/>
    <col min="3" max="3" width="11.36328125" bestFit="1" customWidth="1"/>
    <col min="4" max="4" width="11.36328125" customWidth="1"/>
    <col min="5" max="5" width="10.36328125" bestFit="1" customWidth="1"/>
    <col min="6" max="6" width="12.90625" customWidth="1"/>
    <col min="7" max="7" width="19.26953125" bestFit="1" customWidth="1"/>
    <col min="8" max="8" width="39.1796875" bestFit="1" customWidth="1"/>
    <col min="9" max="9" width="34.08984375" bestFit="1" customWidth="1"/>
    <col min="10" max="10" width="10.90625" bestFit="1" customWidth="1"/>
    <col min="11" max="11" width="35.453125" bestFit="1" customWidth="1"/>
    <col min="12" max="12" width="8.54296875" bestFit="1" customWidth="1"/>
    <col min="13" max="13" width="15.1796875" bestFit="1" customWidth="1"/>
    <col min="14" max="14" width="28.36328125" bestFit="1" customWidth="1"/>
    <col min="15" max="15" width="48.453125" bestFit="1" customWidth="1"/>
    <col min="17" max="17" width="81" bestFit="1" customWidth="1"/>
    <col min="18" max="18" width="11.453125" bestFit="1" customWidth="1"/>
    <col min="20" max="20" width="179.36328125" bestFit="1" customWidth="1"/>
    <col min="21" max="21" width="22.36328125" bestFit="1" customWidth="1"/>
    <col min="22" max="22" width="21.08984375" bestFit="1" customWidth="1"/>
    <col min="23" max="23" width="30.08984375" bestFit="1" customWidth="1"/>
    <col min="24" max="24" width="53.08984375" bestFit="1" customWidth="1"/>
    <col min="25" max="25" width="20.26953125" bestFit="1" customWidth="1"/>
    <col min="26" max="26" width="23.81640625" bestFit="1" customWidth="1"/>
    <col min="27" max="27" width="11.453125" bestFit="1" customWidth="1"/>
    <col min="29" max="29" width="74.36328125" bestFit="1" customWidth="1"/>
    <col min="30" max="30" width="20.7265625" bestFit="1" customWidth="1"/>
    <col min="31" max="31" width="9.90625" bestFit="1" customWidth="1"/>
    <col min="32" max="32" width="22.81640625" bestFit="1" customWidth="1"/>
    <col min="33" max="33" width="51.6328125" bestFit="1" customWidth="1"/>
    <col min="34" max="34" width="29" bestFit="1" customWidth="1"/>
    <col min="35" max="35" width="50.7265625" bestFit="1" customWidth="1"/>
    <col min="36" max="36" width="18.1796875" bestFit="1" customWidth="1"/>
    <col min="37" max="37" width="50.90625" bestFit="1" customWidth="1"/>
    <col min="38" max="38" width="28.81640625" bestFit="1" customWidth="1"/>
    <col min="39" max="39" width="20.54296875" bestFit="1" customWidth="1"/>
    <col min="40" max="40" width="33" bestFit="1" customWidth="1"/>
    <col min="41" max="41" width="48.54296875" bestFit="1" customWidth="1"/>
    <col min="42" max="42" width="18.08984375" bestFit="1" customWidth="1"/>
    <col min="43" max="43" width="46.26953125" bestFit="1" customWidth="1"/>
    <col min="44" max="44" width="18.08984375" bestFit="1" customWidth="1"/>
    <col min="45" max="45" width="49.54296875" bestFit="1" customWidth="1"/>
    <col min="46" max="46" width="21.08984375" bestFit="1" customWidth="1"/>
    <col min="47" max="47" width="22.26953125" bestFit="1" customWidth="1"/>
    <col min="48" max="48" width="20.54296875" bestFit="1" customWidth="1"/>
    <col min="49" max="49" width="10.54296875" bestFit="1" customWidth="1"/>
    <col min="50" max="50" width="13.1796875" bestFit="1" customWidth="1"/>
    <col min="51" max="51" width="12.453125" bestFit="1" customWidth="1"/>
  </cols>
  <sheetData>
    <row r="1" spans="1:51" ht="29" x14ac:dyDescent="0.35">
      <c r="A1" s="10" t="s">
        <v>0</v>
      </c>
      <c r="B1" s="10" t="s">
        <v>1</v>
      </c>
      <c r="C1" s="10" t="s">
        <v>2</v>
      </c>
      <c r="D1" s="12" t="s">
        <v>365</v>
      </c>
      <c r="E1" s="10" t="s">
        <v>3</v>
      </c>
      <c r="F1" s="10" t="s">
        <v>4</v>
      </c>
      <c r="G1" s="10" t="s">
        <v>5</v>
      </c>
      <c r="H1" s="10" t="s">
        <v>6</v>
      </c>
      <c r="I1" s="10" t="s">
        <v>7</v>
      </c>
      <c r="J1" s="10" t="s">
        <v>8</v>
      </c>
      <c r="K1" s="10" t="s">
        <v>9</v>
      </c>
      <c r="L1" s="10" t="s">
        <v>10</v>
      </c>
      <c r="M1" s="10" t="s">
        <v>11</v>
      </c>
      <c r="N1" s="10" t="s">
        <v>12</v>
      </c>
      <c r="O1" s="10" t="s">
        <v>13</v>
      </c>
      <c r="P1" s="10" t="s">
        <v>14</v>
      </c>
      <c r="Q1" s="10" t="s">
        <v>15</v>
      </c>
      <c r="R1" s="10" t="s">
        <v>16</v>
      </c>
      <c r="S1" s="10" t="s">
        <v>17</v>
      </c>
      <c r="T1" s="10" t="s">
        <v>18</v>
      </c>
      <c r="U1" s="10" t="s">
        <v>19</v>
      </c>
      <c r="V1" s="10" t="s">
        <v>20</v>
      </c>
      <c r="W1" s="10" t="s">
        <v>21</v>
      </c>
      <c r="X1" s="10" t="s">
        <v>22</v>
      </c>
      <c r="Y1" s="10" t="s">
        <v>23</v>
      </c>
      <c r="Z1" s="10" t="s">
        <v>24</v>
      </c>
      <c r="AA1" s="10" t="s">
        <v>25</v>
      </c>
      <c r="AB1" s="10" t="s">
        <v>26</v>
      </c>
      <c r="AC1" s="10" t="s">
        <v>27</v>
      </c>
      <c r="AD1" s="10" t="s">
        <v>28</v>
      </c>
      <c r="AE1" s="10" t="s">
        <v>29</v>
      </c>
      <c r="AF1" s="10" t="s">
        <v>30</v>
      </c>
      <c r="AG1" s="10" t="s">
        <v>31</v>
      </c>
      <c r="AH1" s="10" t="s">
        <v>32</v>
      </c>
      <c r="AI1" s="10" t="s">
        <v>33</v>
      </c>
      <c r="AJ1" s="10" t="s">
        <v>34</v>
      </c>
      <c r="AK1" s="10" t="s">
        <v>35</v>
      </c>
      <c r="AL1" s="10" t="s">
        <v>36</v>
      </c>
      <c r="AM1" s="10" t="s">
        <v>37</v>
      </c>
      <c r="AN1" s="10" t="s">
        <v>38</v>
      </c>
      <c r="AO1" s="10" t="s">
        <v>39</v>
      </c>
      <c r="AP1" s="10" t="s">
        <v>40</v>
      </c>
      <c r="AQ1" s="10" t="s">
        <v>41</v>
      </c>
      <c r="AR1" s="10" t="s">
        <v>40</v>
      </c>
      <c r="AS1" s="10" t="s">
        <v>42</v>
      </c>
      <c r="AT1" s="10" t="s">
        <v>43</v>
      </c>
      <c r="AU1" s="10" t="s">
        <v>44</v>
      </c>
      <c r="AV1" s="10" t="s">
        <v>45</v>
      </c>
      <c r="AW1" s="10" t="s">
        <v>46</v>
      </c>
      <c r="AX1" s="10" t="s">
        <v>47</v>
      </c>
      <c r="AY1" s="10" t="s">
        <v>48</v>
      </c>
    </row>
    <row r="2" spans="1:51" ht="116" x14ac:dyDescent="0.35">
      <c r="A2" s="22" t="s">
        <v>49</v>
      </c>
      <c r="B2" s="22" t="s">
        <v>50</v>
      </c>
      <c r="C2" s="22" t="s">
        <v>51</v>
      </c>
      <c r="D2" s="22" t="s">
        <v>55</v>
      </c>
      <c r="E2" s="22" t="s">
        <v>52</v>
      </c>
      <c r="F2" s="22" t="s">
        <v>53</v>
      </c>
      <c r="G2" s="22" t="s">
        <v>54</v>
      </c>
      <c r="H2" s="22" t="s">
        <v>1711</v>
      </c>
      <c r="I2" s="22" t="s">
        <v>56</v>
      </c>
      <c r="J2" s="22" t="s">
        <v>55</v>
      </c>
      <c r="K2" s="22" t="s">
        <v>572</v>
      </c>
      <c r="L2" s="22" t="s">
        <v>57</v>
      </c>
      <c r="M2" s="22" t="s">
        <v>58</v>
      </c>
      <c r="N2" s="22" t="s">
        <v>55</v>
      </c>
      <c r="O2" s="22" t="s">
        <v>55</v>
      </c>
      <c r="P2" s="22" t="s">
        <v>59</v>
      </c>
      <c r="Q2" s="22" t="s">
        <v>60</v>
      </c>
      <c r="R2" s="22" t="s">
        <v>55</v>
      </c>
      <c r="S2" s="22" t="s">
        <v>61</v>
      </c>
      <c r="T2" s="22" t="s">
        <v>62</v>
      </c>
      <c r="U2" s="22" t="s">
        <v>63</v>
      </c>
      <c r="V2" s="27">
        <v>45657</v>
      </c>
      <c r="W2" s="22" t="s">
        <v>55</v>
      </c>
      <c r="X2" s="22" t="s">
        <v>64</v>
      </c>
      <c r="Y2" s="22" t="s">
        <v>65</v>
      </c>
      <c r="Z2" s="22" t="s">
        <v>55</v>
      </c>
      <c r="AA2" s="22" t="s">
        <v>66</v>
      </c>
      <c r="AB2" s="22" t="s">
        <v>55</v>
      </c>
      <c r="AC2" s="22" t="s">
        <v>55</v>
      </c>
      <c r="AD2" s="22" t="s">
        <v>67</v>
      </c>
      <c r="AE2" s="22" t="s">
        <v>68</v>
      </c>
      <c r="AF2" s="22" t="s">
        <v>69</v>
      </c>
      <c r="AG2" s="22" t="s">
        <v>55</v>
      </c>
      <c r="AH2" s="22" t="s">
        <v>55</v>
      </c>
      <c r="AI2" s="22" t="s">
        <v>55</v>
      </c>
      <c r="AJ2" s="22" t="s">
        <v>55</v>
      </c>
      <c r="AK2" s="22" t="s">
        <v>55</v>
      </c>
      <c r="AL2" s="22" t="s">
        <v>55</v>
      </c>
      <c r="AM2" s="22" t="s">
        <v>55</v>
      </c>
      <c r="AN2" s="22" t="s">
        <v>55</v>
      </c>
      <c r="AO2" s="22" t="s">
        <v>55</v>
      </c>
      <c r="AP2" s="22" t="s">
        <v>55</v>
      </c>
      <c r="AQ2" s="22" t="s">
        <v>55</v>
      </c>
      <c r="AR2" s="22" t="s">
        <v>55</v>
      </c>
      <c r="AS2" s="22" t="s">
        <v>55</v>
      </c>
      <c r="AT2" s="22" t="s">
        <v>55</v>
      </c>
      <c r="AU2" s="22" t="s">
        <v>55</v>
      </c>
      <c r="AV2" s="22" t="s">
        <v>55</v>
      </c>
      <c r="AW2" s="22" t="s">
        <v>55</v>
      </c>
      <c r="AX2" s="22" t="s">
        <v>55</v>
      </c>
      <c r="AY2" s="22" t="s">
        <v>70</v>
      </c>
    </row>
    <row r="3" spans="1:51" ht="116" x14ac:dyDescent="0.35">
      <c r="A3" s="22" t="s">
        <v>71</v>
      </c>
      <c r="B3" s="22" t="s">
        <v>50</v>
      </c>
      <c r="C3" s="22" t="s">
        <v>51</v>
      </c>
      <c r="D3" s="22" t="s">
        <v>55</v>
      </c>
      <c r="E3" s="22" t="s">
        <v>52</v>
      </c>
      <c r="F3" s="22" t="s">
        <v>72</v>
      </c>
      <c r="G3" s="22" t="s">
        <v>54</v>
      </c>
      <c r="H3" s="22" t="s">
        <v>1712</v>
      </c>
      <c r="I3" s="22" t="s">
        <v>56</v>
      </c>
      <c r="J3" s="22" t="s">
        <v>55</v>
      </c>
      <c r="K3" s="22" t="s">
        <v>572</v>
      </c>
      <c r="L3" s="22" t="s">
        <v>57</v>
      </c>
      <c r="M3" s="22" t="s">
        <v>58</v>
      </c>
      <c r="N3" s="22" t="s">
        <v>55</v>
      </c>
      <c r="O3" s="22" t="s">
        <v>55</v>
      </c>
      <c r="P3" s="22" t="s">
        <v>59</v>
      </c>
      <c r="Q3" s="22" t="s">
        <v>73</v>
      </c>
      <c r="R3" s="22" t="s">
        <v>55</v>
      </c>
      <c r="S3" s="22" t="s">
        <v>61</v>
      </c>
      <c r="T3" s="22" t="s">
        <v>74</v>
      </c>
      <c r="U3" s="22" t="s">
        <v>63</v>
      </c>
      <c r="V3" s="27">
        <v>45657</v>
      </c>
      <c r="W3" s="22" t="s">
        <v>55</v>
      </c>
      <c r="X3" s="22" t="s">
        <v>75</v>
      </c>
      <c r="Y3" s="22" t="s">
        <v>65</v>
      </c>
      <c r="Z3" s="22" t="s">
        <v>55</v>
      </c>
      <c r="AA3" s="22" t="s">
        <v>66</v>
      </c>
      <c r="AB3" s="22" t="s">
        <v>55</v>
      </c>
      <c r="AC3" s="22" t="s">
        <v>55</v>
      </c>
      <c r="AD3" s="22" t="s">
        <v>67</v>
      </c>
      <c r="AE3" s="22" t="s">
        <v>68</v>
      </c>
      <c r="AF3" s="22" t="s">
        <v>69</v>
      </c>
      <c r="AG3" s="22" t="s">
        <v>55</v>
      </c>
      <c r="AH3" s="22" t="s">
        <v>55</v>
      </c>
      <c r="AI3" s="22" t="s">
        <v>55</v>
      </c>
      <c r="AJ3" s="22" t="s">
        <v>55</v>
      </c>
      <c r="AK3" s="22" t="s">
        <v>55</v>
      </c>
      <c r="AL3" s="22" t="s">
        <v>55</v>
      </c>
      <c r="AM3" s="22" t="s">
        <v>55</v>
      </c>
      <c r="AN3" s="22" t="s">
        <v>55</v>
      </c>
      <c r="AO3" s="22" t="s">
        <v>55</v>
      </c>
      <c r="AP3" s="22" t="s">
        <v>55</v>
      </c>
      <c r="AQ3" s="22" t="s">
        <v>55</v>
      </c>
      <c r="AR3" s="22" t="s">
        <v>55</v>
      </c>
      <c r="AS3" s="22" t="s">
        <v>55</v>
      </c>
      <c r="AT3" s="22" t="s">
        <v>55</v>
      </c>
      <c r="AU3" s="22" t="s">
        <v>55</v>
      </c>
      <c r="AV3" s="22" t="s">
        <v>55</v>
      </c>
      <c r="AW3" s="22" t="s">
        <v>55</v>
      </c>
      <c r="AX3" s="22" t="s">
        <v>55</v>
      </c>
      <c r="AY3" s="22" t="s">
        <v>70</v>
      </c>
    </row>
    <row r="4" spans="1:51" ht="116" x14ac:dyDescent="0.35">
      <c r="A4" s="22" t="s">
        <v>76</v>
      </c>
      <c r="B4" s="22" t="s">
        <v>50</v>
      </c>
      <c r="C4" s="22" t="s">
        <v>51</v>
      </c>
      <c r="D4" s="22" t="s">
        <v>55</v>
      </c>
      <c r="E4" s="22" t="s">
        <v>52</v>
      </c>
      <c r="F4" s="22" t="s">
        <v>77</v>
      </c>
      <c r="G4" s="22" t="s">
        <v>54</v>
      </c>
      <c r="H4" s="22" t="s">
        <v>1713</v>
      </c>
      <c r="I4" s="22" t="s">
        <v>56</v>
      </c>
      <c r="J4" s="22" t="s">
        <v>55</v>
      </c>
      <c r="K4" s="22" t="s">
        <v>572</v>
      </c>
      <c r="L4" s="22" t="s">
        <v>57</v>
      </c>
      <c r="M4" s="22" t="s">
        <v>58</v>
      </c>
      <c r="N4" s="22" t="s">
        <v>55</v>
      </c>
      <c r="O4" s="22" t="s">
        <v>55</v>
      </c>
      <c r="P4" s="22" t="s">
        <v>59</v>
      </c>
      <c r="Q4" s="22" t="s">
        <v>78</v>
      </c>
      <c r="R4" s="22" t="s">
        <v>55</v>
      </c>
      <c r="S4" s="22" t="s">
        <v>61</v>
      </c>
      <c r="T4" s="22" t="s">
        <v>79</v>
      </c>
      <c r="U4" s="22" t="s">
        <v>63</v>
      </c>
      <c r="V4" s="27">
        <v>45657</v>
      </c>
      <c r="W4" s="22" t="s">
        <v>55</v>
      </c>
      <c r="X4" s="22" t="s">
        <v>80</v>
      </c>
      <c r="Y4" s="22" t="s">
        <v>65</v>
      </c>
      <c r="Z4" s="22" t="s">
        <v>55</v>
      </c>
      <c r="AA4" s="22" t="s">
        <v>66</v>
      </c>
      <c r="AB4" s="22" t="s">
        <v>55</v>
      </c>
      <c r="AC4" s="22" t="s">
        <v>55</v>
      </c>
      <c r="AD4" s="22" t="s">
        <v>67</v>
      </c>
      <c r="AE4" s="22" t="s">
        <v>68</v>
      </c>
      <c r="AF4" s="22" t="s">
        <v>69</v>
      </c>
      <c r="AG4" s="22" t="s">
        <v>55</v>
      </c>
      <c r="AH4" s="22" t="s">
        <v>55</v>
      </c>
      <c r="AI4" s="22" t="s">
        <v>55</v>
      </c>
      <c r="AJ4" s="22" t="s">
        <v>55</v>
      </c>
      <c r="AK4" s="22" t="s">
        <v>55</v>
      </c>
      <c r="AL4" s="22" t="s">
        <v>55</v>
      </c>
      <c r="AM4" s="22" t="s">
        <v>55</v>
      </c>
      <c r="AN4" s="22" t="s">
        <v>55</v>
      </c>
      <c r="AO4" s="22" t="s">
        <v>55</v>
      </c>
      <c r="AP4" s="22" t="s">
        <v>55</v>
      </c>
      <c r="AQ4" s="22" t="s">
        <v>55</v>
      </c>
      <c r="AR4" s="22" t="s">
        <v>55</v>
      </c>
      <c r="AS4" s="22" t="s">
        <v>55</v>
      </c>
      <c r="AT4" s="22" t="s">
        <v>55</v>
      </c>
      <c r="AU4" s="22" t="s">
        <v>55</v>
      </c>
      <c r="AV4" s="22" t="s">
        <v>55</v>
      </c>
      <c r="AW4" s="22" t="s">
        <v>55</v>
      </c>
      <c r="AX4" s="22" t="s">
        <v>55</v>
      </c>
      <c r="AY4" s="22" t="s">
        <v>70</v>
      </c>
    </row>
    <row r="5" spans="1:51" ht="246.5" x14ac:dyDescent="0.35">
      <c r="A5" s="22" t="s">
        <v>81</v>
      </c>
      <c r="B5" s="22" t="s">
        <v>50</v>
      </c>
      <c r="C5" s="22" t="s">
        <v>82</v>
      </c>
      <c r="D5" s="22" t="s">
        <v>55</v>
      </c>
      <c r="E5" s="22" t="s">
        <v>52</v>
      </c>
      <c r="F5" s="22" t="s">
        <v>83</v>
      </c>
      <c r="G5" s="22" t="s">
        <v>84</v>
      </c>
      <c r="H5" s="22" t="s">
        <v>84</v>
      </c>
      <c r="I5" s="22" t="s">
        <v>85</v>
      </c>
      <c r="J5" s="22" t="s">
        <v>55</v>
      </c>
      <c r="K5" s="22" t="s">
        <v>585</v>
      </c>
      <c r="L5" s="22" t="s">
        <v>55</v>
      </c>
      <c r="M5" s="22" t="s">
        <v>87</v>
      </c>
      <c r="N5" s="22" t="s">
        <v>55</v>
      </c>
      <c r="O5" s="22" t="s">
        <v>88</v>
      </c>
      <c r="P5" s="22" t="s">
        <v>89</v>
      </c>
      <c r="Q5" s="22" t="s">
        <v>90</v>
      </c>
      <c r="R5" s="22" t="s">
        <v>55</v>
      </c>
      <c r="S5" s="22" t="s">
        <v>55</v>
      </c>
      <c r="T5" s="22" t="s">
        <v>91</v>
      </c>
      <c r="U5" s="22" t="s">
        <v>55</v>
      </c>
      <c r="V5" s="27">
        <v>45657</v>
      </c>
      <c r="W5" s="22" t="s">
        <v>55</v>
      </c>
      <c r="X5" s="22" t="s">
        <v>861</v>
      </c>
      <c r="Y5" s="22" t="s">
        <v>65</v>
      </c>
      <c r="Z5" s="22" t="s">
        <v>55</v>
      </c>
      <c r="AA5" s="22" t="s">
        <v>66</v>
      </c>
      <c r="AB5" s="22" t="s">
        <v>55</v>
      </c>
      <c r="AC5" s="22" t="s">
        <v>55</v>
      </c>
      <c r="AD5" s="22" t="s">
        <v>67</v>
      </c>
      <c r="AE5" s="22" t="s">
        <v>68</v>
      </c>
      <c r="AF5" s="22" t="s">
        <v>92</v>
      </c>
      <c r="AG5" s="22" t="s">
        <v>55</v>
      </c>
      <c r="AH5" s="22" t="s">
        <v>55</v>
      </c>
      <c r="AI5" s="22" t="s">
        <v>55</v>
      </c>
      <c r="AJ5" s="22" t="s">
        <v>55</v>
      </c>
      <c r="AK5" s="22" t="s">
        <v>55</v>
      </c>
      <c r="AL5" s="22" t="s">
        <v>55</v>
      </c>
      <c r="AM5" s="22" t="s">
        <v>55</v>
      </c>
      <c r="AN5" s="22" t="s">
        <v>55</v>
      </c>
      <c r="AO5" s="22" t="s">
        <v>55</v>
      </c>
      <c r="AP5" s="22" t="s">
        <v>55</v>
      </c>
      <c r="AQ5" s="22" t="s">
        <v>55</v>
      </c>
      <c r="AR5" s="22" t="s">
        <v>55</v>
      </c>
      <c r="AS5" s="22" t="s">
        <v>55</v>
      </c>
      <c r="AT5" s="22" t="s">
        <v>55</v>
      </c>
      <c r="AU5" s="22" t="s">
        <v>55</v>
      </c>
      <c r="AV5" s="22" t="s">
        <v>55</v>
      </c>
      <c r="AW5" s="22" t="s">
        <v>55</v>
      </c>
      <c r="AX5" s="27">
        <v>45365</v>
      </c>
      <c r="AY5" s="22" t="s">
        <v>93</v>
      </c>
    </row>
    <row r="6" spans="1:51" ht="87" x14ac:dyDescent="0.35">
      <c r="A6" s="22" t="s">
        <v>107</v>
      </c>
      <c r="B6" s="22" t="s">
        <v>50</v>
      </c>
      <c r="C6" s="22" t="s">
        <v>51</v>
      </c>
      <c r="D6" s="22" t="s">
        <v>55</v>
      </c>
      <c r="E6" s="22" t="s">
        <v>108</v>
      </c>
      <c r="F6" s="22" t="s">
        <v>102</v>
      </c>
      <c r="G6" s="22" t="s">
        <v>54</v>
      </c>
      <c r="H6" s="22" t="s">
        <v>1714</v>
      </c>
      <c r="I6" s="22" t="s">
        <v>109</v>
      </c>
      <c r="J6" s="22" t="s">
        <v>55</v>
      </c>
      <c r="K6" s="22" t="s">
        <v>586</v>
      </c>
      <c r="L6" s="22" t="s">
        <v>57</v>
      </c>
      <c r="M6" s="22" t="s">
        <v>55</v>
      </c>
      <c r="N6" s="22" t="s">
        <v>55</v>
      </c>
      <c r="O6" s="22" t="s">
        <v>105</v>
      </c>
      <c r="P6" s="22" t="s">
        <v>110</v>
      </c>
      <c r="Q6" s="22" t="s">
        <v>111</v>
      </c>
      <c r="R6" s="22" t="s">
        <v>55</v>
      </c>
      <c r="S6" s="22" t="s">
        <v>112</v>
      </c>
      <c r="T6" s="22" t="s">
        <v>113</v>
      </c>
      <c r="U6" s="22" t="s">
        <v>55</v>
      </c>
      <c r="V6" s="27">
        <v>45657</v>
      </c>
      <c r="W6" s="22" t="s">
        <v>55</v>
      </c>
      <c r="X6" s="22" t="s">
        <v>114</v>
      </c>
      <c r="Y6" s="22" t="s">
        <v>65</v>
      </c>
      <c r="Z6" s="22" t="s">
        <v>55</v>
      </c>
      <c r="AA6" s="22" t="s">
        <v>66</v>
      </c>
      <c r="AB6" s="22" t="s">
        <v>360</v>
      </c>
      <c r="AC6" s="22" t="s">
        <v>55</v>
      </c>
      <c r="AD6" s="22" t="s">
        <v>67</v>
      </c>
      <c r="AE6" s="22" t="s">
        <v>97</v>
      </c>
      <c r="AF6" s="22" t="s">
        <v>55</v>
      </c>
      <c r="AG6" s="22" t="s">
        <v>55</v>
      </c>
      <c r="AH6" s="22" t="s">
        <v>55</v>
      </c>
      <c r="AI6" s="22" t="s">
        <v>55</v>
      </c>
      <c r="AJ6" s="22" t="s">
        <v>55</v>
      </c>
      <c r="AK6" s="22" t="s">
        <v>55</v>
      </c>
      <c r="AL6" s="22" t="s">
        <v>55</v>
      </c>
      <c r="AM6" s="22" t="s">
        <v>55</v>
      </c>
      <c r="AN6" s="22" t="s">
        <v>55</v>
      </c>
      <c r="AO6" s="22" t="s">
        <v>55</v>
      </c>
      <c r="AP6" s="22" t="s">
        <v>55</v>
      </c>
      <c r="AQ6" s="22" t="s">
        <v>55</v>
      </c>
      <c r="AR6" s="22" t="s">
        <v>55</v>
      </c>
      <c r="AS6" s="22" t="s">
        <v>55</v>
      </c>
      <c r="AT6" s="22" t="s">
        <v>55</v>
      </c>
      <c r="AU6" s="22" t="s">
        <v>55</v>
      </c>
      <c r="AV6" s="22" t="s">
        <v>55</v>
      </c>
      <c r="AW6" s="27">
        <v>45226</v>
      </c>
      <c r="AX6" s="27">
        <v>45426</v>
      </c>
      <c r="AY6" s="22" t="s">
        <v>104</v>
      </c>
    </row>
    <row r="7" spans="1:51" ht="29" x14ac:dyDescent="0.35">
      <c r="A7" s="22" t="s">
        <v>140</v>
      </c>
      <c r="B7" s="22" t="s">
        <v>115</v>
      </c>
      <c r="C7" s="22" t="s">
        <v>116</v>
      </c>
      <c r="D7" s="22" t="s">
        <v>55</v>
      </c>
      <c r="E7" s="22" t="s">
        <v>52</v>
      </c>
      <c r="F7" s="22" t="s">
        <v>141</v>
      </c>
      <c r="G7" s="22" t="s">
        <v>84</v>
      </c>
      <c r="H7" s="22" t="s">
        <v>84</v>
      </c>
      <c r="I7" s="22" t="s">
        <v>142</v>
      </c>
      <c r="J7" s="22" t="s">
        <v>55</v>
      </c>
      <c r="K7" s="22" t="s">
        <v>587</v>
      </c>
      <c r="L7" s="22" t="s">
        <v>55</v>
      </c>
      <c r="M7" s="22" t="s">
        <v>143</v>
      </c>
      <c r="N7" s="22" t="s">
        <v>55</v>
      </c>
      <c r="O7" s="22" t="s">
        <v>144</v>
      </c>
      <c r="P7" s="22" t="s">
        <v>55</v>
      </c>
      <c r="Q7" s="22" t="s">
        <v>145</v>
      </c>
      <c r="R7" s="22" t="s">
        <v>55</v>
      </c>
      <c r="S7" s="22" t="s">
        <v>55</v>
      </c>
      <c r="T7" s="22" t="s">
        <v>146</v>
      </c>
      <c r="U7" s="22" t="s">
        <v>63</v>
      </c>
      <c r="V7" s="27">
        <v>45646</v>
      </c>
      <c r="W7" s="22" t="s">
        <v>55</v>
      </c>
      <c r="X7" s="22" t="s">
        <v>147</v>
      </c>
      <c r="Y7" s="22" t="s">
        <v>65</v>
      </c>
      <c r="Z7" s="22" t="s">
        <v>55</v>
      </c>
      <c r="AA7" s="22" t="s">
        <v>66</v>
      </c>
      <c r="AB7" s="22" t="s">
        <v>55</v>
      </c>
      <c r="AC7" s="22" t="s">
        <v>55</v>
      </c>
      <c r="AD7" s="22" t="s">
        <v>118</v>
      </c>
      <c r="AE7" s="22" t="s">
        <v>97</v>
      </c>
      <c r="AF7" s="22" t="s">
        <v>100</v>
      </c>
      <c r="AG7" s="22" t="s">
        <v>55</v>
      </c>
      <c r="AH7" s="22" t="s">
        <v>55</v>
      </c>
      <c r="AI7" s="22" t="s">
        <v>55</v>
      </c>
      <c r="AJ7" s="22" t="s">
        <v>55</v>
      </c>
      <c r="AK7" s="22" t="s">
        <v>55</v>
      </c>
      <c r="AL7" s="22" t="s">
        <v>55</v>
      </c>
      <c r="AM7" s="22" t="s">
        <v>55</v>
      </c>
      <c r="AN7" s="22" t="s">
        <v>55</v>
      </c>
      <c r="AO7" s="22" t="s">
        <v>55</v>
      </c>
      <c r="AP7" s="22" t="s">
        <v>55</v>
      </c>
      <c r="AQ7" s="22" t="s">
        <v>55</v>
      </c>
      <c r="AR7" s="22" t="s">
        <v>55</v>
      </c>
      <c r="AS7" s="22" t="s">
        <v>55</v>
      </c>
      <c r="AT7" s="22" t="s">
        <v>55</v>
      </c>
      <c r="AU7" s="22" t="s">
        <v>55</v>
      </c>
      <c r="AV7" s="22" t="s">
        <v>55</v>
      </c>
      <c r="AW7" s="22" t="s">
        <v>55</v>
      </c>
      <c r="AX7" s="27">
        <v>45635</v>
      </c>
      <c r="AY7" s="22" t="s">
        <v>148</v>
      </c>
    </row>
    <row r="8" spans="1:51" ht="116" x14ac:dyDescent="0.35">
      <c r="A8" s="22" t="s">
        <v>324</v>
      </c>
      <c r="B8" s="22" t="s">
        <v>50</v>
      </c>
      <c r="C8" s="22" t="s">
        <v>51</v>
      </c>
      <c r="D8" s="22" t="s">
        <v>55</v>
      </c>
      <c r="E8" s="22" t="s">
        <v>52</v>
      </c>
      <c r="F8" s="22" t="s">
        <v>325</v>
      </c>
      <c r="G8" s="22" t="s">
        <v>54</v>
      </c>
      <c r="H8" s="22" t="s">
        <v>1716</v>
      </c>
      <c r="I8" s="22" t="s">
        <v>56</v>
      </c>
      <c r="J8" s="22" t="s">
        <v>55</v>
      </c>
      <c r="K8" s="22" t="s">
        <v>572</v>
      </c>
      <c r="L8" s="22" t="s">
        <v>57</v>
      </c>
      <c r="M8" s="22" t="s">
        <v>58</v>
      </c>
      <c r="N8" s="22" t="s">
        <v>55</v>
      </c>
      <c r="O8" s="22" t="s">
        <v>55</v>
      </c>
      <c r="P8" s="22" t="s">
        <v>59</v>
      </c>
      <c r="Q8" s="22" t="s">
        <v>326</v>
      </c>
      <c r="R8" s="22" t="s">
        <v>55</v>
      </c>
      <c r="S8" s="22" t="s">
        <v>61</v>
      </c>
      <c r="T8" s="22" t="s">
        <v>327</v>
      </c>
      <c r="U8" s="22" t="s">
        <v>63</v>
      </c>
      <c r="V8" s="27">
        <v>45657</v>
      </c>
      <c r="W8" s="22" t="s">
        <v>55</v>
      </c>
      <c r="X8" s="22" t="s">
        <v>328</v>
      </c>
      <c r="Y8" s="22" t="s">
        <v>65</v>
      </c>
      <c r="Z8" s="22" t="s">
        <v>55</v>
      </c>
      <c r="AA8" s="22" t="s">
        <v>66</v>
      </c>
      <c r="AB8" s="22" t="s">
        <v>55</v>
      </c>
      <c r="AC8" s="22" t="s">
        <v>55</v>
      </c>
      <c r="AD8" s="22" t="s">
        <v>67</v>
      </c>
      <c r="AE8" s="22" t="s">
        <v>68</v>
      </c>
      <c r="AF8" s="22" t="s">
        <v>69</v>
      </c>
      <c r="AG8" s="22" t="s">
        <v>55</v>
      </c>
      <c r="AH8" s="22" t="s">
        <v>55</v>
      </c>
      <c r="AI8" s="22" t="s">
        <v>55</v>
      </c>
      <c r="AJ8" s="22" t="s">
        <v>55</v>
      </c>
      <c r="AK8" s="22" t="s">
        <v>55</v>
      </c>
      <c r="AL8" s="22" t="s">
        <v>55</v>
      </c>
      <c r="AM8" s="22" t="s">
        <v>55</v>
      </c>
      <c r="AN8" s="22" t="s">
        <v>55</v>
      </c>
      <c r="AO8" s="22" t="s">
        <v>55</v>
      </c>
      <c r="AP8" s="22" t="s">
        <v>55</v>
      </c>
      <c r="AQ8" s="22" t="s">
        <v>55</v>
      </c>
      <c r="AR8" s="22" t="s">
        <v>55</v>
      </c>
      <c r="AS8" s="22" t="s">
        <v>55</v>
      </c>
      <c r="AT8" s="22" t="s">
        <v>55</v>
      </c>
      <c r="AU8" s="22" t="s">
        <v>55</v>
      </c>
      <c r="AV8" s="22" t="s">
        <v>55</v>
      </c>
      <c r="AW8" s="22" t="s">
        <v>55</v>
      </c>
      <c r="AX8" s="22" t="s">
        <v>55</v>
      </c>
      <c r="AY8" s="22" t="s">
        <v>70</v>
      </c>
    </row>
  </sheetData>
  <autoFilter ref="A1:AY2" xr:uid="{FD3ABCA4-5B67-431E-8E94-7A8FD197A4D1}"/>
  <conditionalFormatting sqref="A4:A7">
    <cfRule type="duplicateValues" dxfId="2"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967AB-EA3C-41A3-AA28-3D6F19F9CE83}">
  <sheetPr>
    <tabColor theme="5"/>
  </sheetPr>
  <dimension ref="A1:BC396"/>
  <sheetViews>
    <sheetView tabSelected="1" workbookViewId="0"/>
  </sheetViews>
  <sheetFormatPr defaultRowHeight="14.5" x14ac:dyDescent="0.35"/>
  <cols>
    <col min="1" max="1" width="8.6328125" bestFit="1" customWidth="1"/>
    <col min="2" max="2" width="4.81640625" bestFit="1" customWidth="1"/>
    <col min="3" max="3" width="11.36328125" bestFit="1" customWidth="1"/>
    <col min="4" max="4" width="16.08984375" bestFit="1" customWidth="1"/>
    <col min="5" max="5" width="10.36328125" bestFit="1" customWidth="1"/>
    <col min="6" max="6" width="25.81640625" bestFit="1" customWidth="1"/>
    <col min="7" max="7" width="20.1796875" bestFit="1" customWidth="1"/>
    <col min="8" max="8" width="24.6328125" bestFit="1" customWidth="1"/>
    <col min="9" max="9" width="39.7265625" bestFit="1" customWidth="1"/>
    <col min="10" max="10" width="52.90625" bestFit="1" customWidth="1"/>
    <col min="11" max="11" width="26.6328125" customWidth="1"/>
    <col min="12" max="12" width="8.54296875" bestFit="1" customWidth="1"/>
    <col min="13" max="14" width="23.1796875" bestFit="1" customWidth="1"/>
    <col min="15" max="15" width="57.26953125" bestFit="1" customWidth="1"/>
    <col min="16" max="16" width="26.6328125" customWidth="1"/>
    <col min="17" max="17" width="112.90625" bestFit="1" customWidth="1"/>
    <col min="18" max="18" width="3.7265625" bestFit="1" customWidth="1"/>
    <col min="19" max="19" width="58.36328125" customWidth="1"/>
    <col min="20" max="20" width="179.36328125" bestFit="1" customWidth="1"/>
    <col min="21" max="21" width="3.7265625" bestFit="1" customWidth="1"/>
    <col min="22" max="22" width="10.08984375" bestFit="1" customWidth="1"/>
    <col min="23" max="23" width="54.90625" bestFit="1" customWidth="1"/>
    <col min="24" max="24" width="57.7265625" bestFit="1" customWidth="1"/>
    <col min="25" max="25" width="5.1796875" bestFit="1" customWidth="1"/>
    <col min="26" max="26" width="10.08984375" bestFit="1" customWidth="1"/>
    <col min="27" max="27" width="13.36328125" bestFit="1" customWidth="1"/>
    <col min="28" max="28" width="58.26953125" bestFit="1" customWidth="1"/>
    <col min="29" max="29" width="74.36328125" bestFit="1" customWidth="1"/>
    <col min="30" max="30" width="13.08984375" bestFit="1" customWidth="1"/>
    <col min="31" max="31" width="11.54296875" bestFit="1" customWidth="1"/>
    <col min="32" max="32" width="22.81640625" bestFit="1" customWidth="1"/>
    <col min="33" max="33" width="28.54296875" bestFit="1" customWidth="1"/>
    <col min="34" max="34" width="22.90625" bestFit="1" customWidth="1"/>
    <col min="35" max="35" width="55.54296875" bestFit="1" customWidth="1"/>
    <col min="36" max="36" width="20.453125" bestFit="1" customWidth="1"/>
    <col min="37" max="37" width="56.90625" bestFit="1" customWidth="1"/>
    <col min="38" max="38" width="25.7265625" bestFit="1" customWidth="1"/>
    <col min="39" max="39" width="22.81640625" bestFit="1" customWidth="1"/>
    <col min="40" max="40" width="35.26953125" bestFit="1" customWidth="1"/>
    <col min="41" max="41" width="27.54296875" bestFit="1" customWidth="1"/>
    <col min="42" max="42" width="20.36328125" bestFit="1" customWidth="1"/>
    <col min="43" max="43" width="28.7265625" bestFit="1" customWidth="1"/>
    <col min="44" max="44" width="20.36328125" bestFit="1" customWidth="1"/>
    <col min="45" max="45" width="27.1796875" bestFit="1" customWidth="1"/>
    <col min="46" max="46" width="23.36328125" bestFit="1" customWidth="1"/>
    <col min="47" max="47" width="24.54296875" bestFit="1" customWidth="1"/>
    <col min="48" max="48" width="22.81640625" bestFit="1" customWidth="1"/>
    <col min="49" max="51" width="10.08984375" bestFit="1" customWidth="1"/>
    <col min="54" max="54" width="4.81640625" bestFit="1" customWidth="1"/>
    <col min="55" max="55" width="10.90625" bestFit="1" customWidth="1"/>
  </cols>
  <sheetData>
    <row r="1" spans="1:55" ht="43.5" x14ac:dyDescent="0.35">
      <c r="A1" s="18" t="s">
        <v>0</v>
      </c>
      <c r="B1" s="18" t="s">
        <v>1</v>
      </c>
      <c r="C1" s="18" t="s">
        <v>2</v>
      </c>
      <c r="D1" s="19" t="s">
        <v>365</v>
      </c>
      <c r="E1" s="18" t="s">
        <v>3</v>
      </c>
      <c r="F1" s="18" t="s">
        <v>4</v>
      </c>
      <c r="G1" s="18" t="s">
        <v>5</v>
      </c>
      <c r="H1" s="18" t="s">
        <v>6</v>
      </c>
      <c r="I1" s="18" t="s">
        <v>7</v>
      </c>
      <c r="J1" s="18" t="s">
        <v>8</v>
      </c>
      <c r="K1" s="18" t="s">
        <v>9</v>
      </c>
      <c r="L1" s="18" t="s">
        <v>10</v>
      </c>
      <c r="M1" s="18" t="s">
        <v>11</v>
      </c>
      <c r="N1" s="18" t="s">
        <v>12</v>
      </c>
      <c r="O1" s="18" t="s">
        <v>13</v>
      </c>
      <c r="P1" s="18" t="s">
        <v>14</v>
      </c>
      <c r="Q1" s="18" t="s">
        <v>15</v>
      </c>
      <c r="R1" s="18" t="s">
        <v>16</v>
      </c>
      <c r="S1" s="18" t="s">
        <v>17</v>
      </c>
      <c r="T1" s="18" t="s">
        <v>18</v>
      </c>
      <c r="U1" s="18" t="s">
        <v>19</v>
      </c>
      <c r="V1" s="18" t="s">
        <v>20</v>
      </c>
      <c r="W1" s="18" t="s">
        <v>21</v>
      </c>
      <c r="X1" s="18" t="s">
        <v>22</v>
      </c>
      <c r="Y1" s="18" t="s">
        <v>23</v>
      </c>
      <c r="Z1" s="18" t="s">
        <v>24</v>
      </c>
      <c r="AA1" s="18" t="s">
        <v>25</v>
      </c>
      <c r="AB1" s="18" t="s">
        <v>26</v>
      </c>
      <c r="AC1" s="18" t="s">
        <v>27</v>
      </c>
      <c r="AD1" s="18" t="s">
        <v>28</v>
      </c>
      <c r="AE1" s="18" t="s">
        <v>29</v>
      </c>
      <c r="AF1" s="18" t="s">
        <v>30</v>
      </c>
      <c r="AG1" s="18" t="s">
        <v>31</v>
      </c>
      <c r="AH1" s="18" t="s">
        <v>32</v>
      </c>
      <c r="AI1" s="18" t="s">
        <v>33</v>
      </c>
      <c r="AJ1" s="18" t="s">
        <v>34</v>
      </c>
      <c r="AK1" s="18" t="s">
        <v>35</v>
      </c>
      <c r="AL1" s="18" t="s">
        <v>36</v>
      </c>
      <c r="AM1" s="18" t="s">
        <v>37</v>
      </c>
      <c r="AN1" s="18" t="s">
        <v>38</v>
      </c>
      <c r="AO1" s="18" t="s">
        <v>39</v>
      </c>
      <c r="AP1" s="18" t="s">
        <v>40</v>
      </c>
      <c r="AQ1" s="18" t="s">
        <v>41</v>
      </c>
      <c r="AR1" s="18" t="s">
        <v>40</v>
      </c>
      <c r="AS1" s="18" t="s">
        <v>42</v>
      </c>
      <c r="AT1" s="18" t="s">
        <v>43</v>
      </c>
      <c r="AU1" s="18" t="s">
        <v>44</v>
      </c>
      <c r="AV1" s="18" t="s">
        <v>45</v>
      </c>
      <c r="AW1" s="18" t="s">
        <v>46</v>
      </c>
      <c r="AX1" s="18" t="s">
        <v>47</v>
      </c>
      <c r="AY1" s="18" t="s">
        <v>48</v>
      </c>
      <c r="BB1" s="9"/>
      <c r="BC1" s="9"/>
    </row>
    <row r="2" spans="1:55" ht="87" x14ac:dyDescent="0.35">
      <c r="A2" s="22" t="s">
        <v>49</v>
      </c>
      <c r="B2" s="22" t="s">
        <v>50</v>
      </c>
      <c r="C2" s="22" t="s">
        <v>51</v>
      </c>
      <c r="D2" s="22" t="s">
        <v>55</v>
      </c>
      <c r="E2" s="22" t="s">
        <v>52</v>
      </c>
      <c r="F2" s="22" t="s">
        <v>53</v>
      </c>
      <c r="G2" s="22" t="s">
        <v>54</v>
      </c>
      <c r="H2" s="22" t="s">
        <v>1711</v>
      </c>
      <c r="I2" s="22" t="s">
        <v>56</v>
      </c>
      <c r="J2" s="22" t="s">
        <v>55</v>
      </c>
      <c r="K2" s="22" t="s">
        <v>572</v>
      </c>
      <c r="L2" s="22" t="s">
        <v>57</v>
      </c>
      <c r="M2" s="22" t="s">
        <v>58</v>
      </c>
      <c r="N2" s="22" t="s">
        <v>55</v>
      </c>
      <c r="O2" s="22" t="s">
        <v>55</v>
      </c>
      <c r="P2" s="22" t="s">
        <v>59</v>
      </c>
      <c r="Q2" s="22" t="s">
        <v>60</v>
      </c>
      <c r="R2" s="22" t="s">
        <v>55</v>
      </c>
      <c r="S2" s="22" t="s">
        <v>61</v>
      </c>
      <c r="T2" s="22" t="s">
        <v>62</v>
      </c>
      <c r="U2" s="22" t="s">
        <v>63</v>
      </c>
      <c r="V2" s="23">
        <v>45657</v>
      </c>
      <c r="W2" s="22" t="s">
        <v>55</v>
      </c>
      <c r="X2" s="22" t="s">
        <v>64</v>
      </c>
      <c r="Y2" s="22" t="s">
        <v>65</v>
      </c>
      <c r="Z2" s="22" t="s">
        <v>55</v>
      </c>
      <c r="AA2" s="22" t="s">
        <v>66</v>
      </c>
      <c r="AB2" s="22" t="s">
        <v>55</v>
      </c>
      <c r="AC2" s="22" t="s">
        <v>55</v>
      </c>
      <c r="AD2" s="22" t="s">
        <v>67</v>
      </c>
      <c r="AE2" s="22" t="s">
        <v>68</v>
      </c>
      <c r="AF2" s="22" t="s">
        <v>69</v>
      </c>
      <c r="AG2" s="22" t="s">
        <v>55</v>
      </c>
      <c r="AH2" s="22" t="s">
        <v>55</v>
      </c>
      <c r="AI2" s="22" t="s">
        <v>55</v>
      </c>
      <c r="AJ2" s="22" t="s">
        <v>55</v>
      </c>
      <c r="AK2" s="22" t="s">
        <v>55</v>
      </c>
      <c r="AL2" s="22" t="s">
        <v>55</v>
      </c>
      <c r="AM2" s="22" t="s">
        <v>55</v>
      </c>
      <c r="AN2" s="22" t="s">
        <v>55</v>
      </c>
      <c r="AO2" s="22" t="s">
        <v>55</v>
      </c>
      <c r="AP2" s="22" t="s">
        <v>55</v>
      </c>
      <c r="AQ2" s="22" t="s">
        <v>55</v>
      </c>
      <c r="AR2" s="22" t="s">
        <v>55</v>
      </c>
      <c r="AS2" s="22" t="s">
        <v>55</v>
      </c>
      <c r="AT2" s="22" t="s">
        <v>55</v>
      </c>
      <c r="AU2" s="22" t="s">
        <v>55</v>
      </c>
      <c r="AV2" s="22" t="s">
        <v>55</v>
      </c>
      <c r="AW2" s="22" t="s">
        <v>55</v>
      </c>
      <c r="AX2" s="22" t="s">
        <v>55</v>
      </c>
      <c r="AY2" s="22" t="s">
        <v>70</v>
      </c>
      <c r="BB2" s="9"/>
      <c r="BC2" s="9"/>
    </row>
    <row r="3" spans="1:55" ht="87" x14ac:dyDescent="0.35">
      <c r="A3" s="22" t="s">
        <v>71</v>
      </c>
      <c r="B3" s="22" t="s">
        <v>50</v>
      </c>
      <c r="C3" s="22" t="s">
        <v>51</v>
      </c>
      <c r="D3" s="22" t="s">
        <v>55</v>
      </c>
      <c r="E3" s="22" t="s">
        <v>52</v>
      </c>
      <c r="F3" s="22" t="s">
        <v>72</v>
      </c>
      <c r="G3" s="22" t="s">
        <v>54</v>
      </c>
      <c r="H3" s="22" t="s">
        <v>1712</v>
      </c>
      <c r="I3" s="22" t="s">
        <v>56</v>
      </c>
      <c r="J3" s="22" t="s">
        <v>55</v>
      </c>
      <c r="K3" s="22" t="s">
        <v>572</v>
      </c>
      <c r="L3" s="22" t="s">
        <v>57</v>
      </c>
      <c r="M3" s="22" t="s">
        <v>58</v>
      </c>
      <c r="N3" s="22" t="s">
        <v>55</v>
      </c>
      <c r="O3" s="22" t="s">
        <v>55</v>
      </c>
      <c r="P3" s="22" t="s">
        <v>59</v>
      </c>
      <c r="Q3" s="22" t="s">
        <v>73</v>
      </c>
      <c r="R3" s="22" t="s">
        <v>55</v>
      </c>
      <c r="S3" s="22" t="s">
        <v>61</v>
      </c>
      <c r="T3" s="22" t="s">
        <v>74</v>
      </c>
      <c r="U3" s="22" t="s">
        <v>63</v>
      </c>
      <c r="V3" s="23">
        <v>45657</v>
      </c>
      <c r="W3" s="22" t="s">
        <v>55</v>
      </c>
      <c r="X3" s="22" t="s">
        <v>75</v>
      </c>
      <c r="Y3" s="22" t="s">
        <v>65</v>
      </c>
      <c r="Z3" s="22" t="s">
        <v>55</v>
      </c>
      <c r="AA3" s="22" t="s">
        <v>66</v>
      </c>
      <c r="AB3" s="22" t="s">
        <v>55</v>
      </c>
      <c r="AC3" s="22" t="s">
        <v>55</v>
      </c>
      <c r="AD3" s="22" t="s">
        <v>67</v>
      </c>
      <c r="AE3" s="22" t="s">
        <v>68</v>
      </c>
      <c r="AF3" s="22" t="s">
        <v>69</v>
      </c>
      <c r="AG3" s="22" t="s">
        <v>55</v>
      </c>
      <c r="AH3" s="22" t="s">
        <v>55</v>
      </c>
      <c r="AI3" s="22" t="s">
        <v>55</v>
      </c>
      <c r="AJ3" s="22" t="s">
        <v>55</v>
      </c>
      <c r="AK3" s="22" t="s">
        <v>55</v>
      </c>
      <c r="AL3" s="22" t="s">
        <v>55</v>
      </c>
      <c r="AM3" s="22" t="s">
        <v>55</v>
      </c>
      <c r="AN3" s="22" t="s">
        <v>55</v>
      </c>
      <c r="AO3" s="22" t="s">
        <v>55</v>
      </c>
      <c r="AP3" s="22" t="s">
        <v>55</v>
      </c>
      <c r="AQ3" s="22" t="s">
        <v>55</v>
      </c>
      <c r="AR3" s="22" t="s">
        <v>55</v>
      </c>
      <c r="AS3" s="22" t="s">
        <v>55</v>
      </c>
      <c r="AT3" s="22" t="s">
        <v>55</v>
      </c>
      <c r="AU3" s="22" t="s">
        <v>55</v>
      </c>
      <c r="AV3" s="22" t="s">
        <v>55</v>
      </c>
      <c r="AW3" s="22" t="s">
        <v>55</v>
      </c>
      <c r="AX3" s="22" t="s">
        <v>55</v>
      </c>
      <c r="AY3" s="22" t="s">
        <v>70</v>
      </c>
      <c r="BB3" s="9"/>
      <c r="BC3" s="9"/>
    </row>
    <row r="4" spans="1:55" ht="87" x14ac:dyDescent="0.35">
      <c r="A4" s="22" t="s">
        <v>76</v>
      </c>
      <c r="B4" s="22" t="s">
        <v>50</v>
      </c>
      <c r="C4" s="22" t="s">
        <v>51</v>
      </c>
      <c r="D4" s="22" t="s">
        <v>55</v>
      </c>
      <c r="E4" s="22" t="s">
        <v>52</v>
      </c>
      <c r="F4" s="22" t="s">
        <v>77</v>
      </c>
      <c r="G4" s="22" t="s">
        <v>54</v>
      </c>
      <c r="H4" s="22" t="s">
        <v>1713</v>
      </c>
      <c r="I4" s="22" t="s">
        <v>56</v>
      </c>
      <c r="J4" s="22" t="s">
        <v>55</v>
      </c>
      <c r="K4" s="22" t="s">
        <v>572</v>
      </c>
      <c r="L4" s="22" t="s">
        <v>57</v>
      </c>
      <c r="M4" s="22" t="s">
        <v>58</v>
      </c>
      <c r="N4" s="22" t="s">
        <v>55</v>
      </c>
      <c r="O4" s="22" t="s">
        <v>55</v>
      </c>
      <c r="P4" s="22" t="s">
        <v>59</v>
      </c>
      <c r="Q4" s="22" t="s">
        <v>78</v>
      </c>
      <c r="R4" s="22" t="s">
        <v>55</v>
      </c>
      <c r="S4" s="22" t="s">
        <v>61</v>
      </c>
      <c r="T4" s="22" t="s">
        <v>79</v>
      </c>
      <c r="U4" s="22" t="s">
        <v>63</v>
      </c>
      <c r="V4" s="23">
        <v>45657</v>
      </c>
      <c r="W4" s="22" t="s">
        <v>55</v>
      </c>
      <c r="X4" s="22" t="s">
        <v>80</v>
      </c>
      <c r="Y4" s="22" t="s">
        <v>65</v>
      </c>
      <c r="Z4" s="22" t="s">
        <v>55</v>
      </c>
      <c r="AA4" s="22" t="s">
        <v>66</v>
      </c>
      <c r="AB4" s="22" t="s">
        <v>55</v>
      </c>
      <c r="AC4" s="22" t="s">
        <v>55</v>
      </c>
      <c r="AD4" s="22" t="s">
        <v>67</v>
      </c>
      <c r="AE4" s="22" t="s">
        <v>68</v>
      </c>
      <c r="AF4" s="22" t="s">
        <v>69</v>
      </c>
      <c r="AG4" s="22" t="s">
        <v>55</v>
      </c>
      <c r="AH4" s="22" t="s">
        <v>55</v>
      </c>
      <c r="AI4" s="22" t="s">
        <v>55</v>
      </c>
      <c r="AJ4" s="22" t="s">
        <v>55</v>
      </c>
      <c r="AK4" s="22" t="s">
        <v>55</v>
      </c>
      <c r="AL4" s="22" t="s">
        <v>55</v>
      </c>
      <c r="AM4" s="22" t="s">
        <v>55</v>
      </c>
      <c r="AN4" s="22" t="s">
        <v>55</v>
      </c>
      <c r="AO4" s="22" t="s">
        <v>55</v>
      </c>
      <c r="AP4" s="22" t="s">
        <v>55</v>
      </c>
      <c r="AQ4" s="22" t="s">
        <v>55</v>
      </c>
      <c r="AR4" s="22" t="s">
        <v>55</v>
      </c>
      <c r="AS4" s="22" t="s">
        <v>55</v>
      </c>
      <c r="AT4" s="22" t="s">
        <v>55</v>
      </c>
      <c r="AU4" s="22" t="s">
        <v>55</v>
      </c>
      <c r="AV4" s="22" t="s">
        <v>55</v>
      </c>
      <c r="AW4" s="22" t="s">
        <v>55</v>
      </c>
      <c r="AX4" s="22" t="s">
        <v>55</v>
      </c>
      <c r="AY4" s="22" t="s">
        <v>70</v>
      </c>
      <c r="BB4" s="9"/>
      <c r="BC4" s="9"/>
    </row>
    <row r="5" spans="1:55" ht="203" x14ac:dyDescent="0.35">
      <c r="A5" s="22" t="s">
        <v>81</v>
      </c>
      <c r="B5" s="22" t="s">
        <v>50</v>
      </c>
      <c r="C5" s="22" t="s">
        <v>82</v>
      </c>
      <c r="D5" s="22" t="s">
        <v>55</v>
      </c>
      <c r="E5" s="22" t="s">
        <v>52</v>
      </c>
      <c r="F5" s="22" t="s">
        <v>83</v>
      </c>
      <c r="G5" s="22" t="s">
        <v>84</v>
      </c>
      <c r="H5" s="22" t="s">
        <v>84</v>
      </c>
      <c r="I5" s="22" t="s">
        <v>85</v>
      </c>
      <c r="J5" s="22" t="s">
        <v>55</v>
      </c>
      <c r="K5" s="22" t="s">
        <v>585</v>
      </c>
      <c r="L5" s="22" t="s">
        <v>55</v>
      </c>
      <c r="M5" s="22" t="s">
        <v>87</v>
      </c>
      <c r="N5" s="22" t="s">
        <v>55</v>
      </c>
      <c r="O5" s="22" t="s">
        <v>88</v>
      </c>
      <c r="P5" s="22" t="s">
        <v>89</v>
      </c>
      <c r="Q5" s="22" t="s">
        <v>90</v>
      </c>
      <c r="R5" s="22" t="s">
        <v>55</v>
      </c>
      <c r="S5" s="22" t="s">
        <v>55</v>
      </c>
      <c r="T5" s="22" t="s">
        <v>91</v>
      </c>
      <c r="U5" s="22" t="s">
        <v>55</v>
      </c>
      <c r="V5" s="23">
        <v>45657</v>
      </c>
      <c r="W5" s="22" t="s">
        <v>55</v>
      </c>
      <c r="X5" s="22" t="s">
        <v>861</v>
      </c>
      <c r="Y5" s="22" t="s">
        <v>65</v>
      </c>
      <c r="Z5" s="22" t="s">
        <v>55</v>
      </c>
      <c r="AA5" s="22" t="s">
        <v>66</v>
      </c>
      <c r="AB5" s="22" t="s">
        <v>55</v>
      </c>
      <c r="AC5" s="22" t="s">
        <v>55</v>
      </c>
      <c r="AD5" s="22" t="s">
        <v>67</v>
      </c>
      <c r="AE5" s="22" t="s">
        <v>68</v>
      </c>
      <c r="AF5" s="22" t="s">
        <v>92</v>
      </c>
      <c r="AG5" s="22" t="s">
        <v>55</v>
      </c>
      <c r="AH5" s="22" t="s">
        <v>55</v>
      </c>
      <c r="AI5" s="22" t="s">
        <v>55</v>
      </c>
      <c r="AJ5" s="22" t="s">
        <v>55</v>
      </c>
      <c r="AK5" s="22" t="s">
        <v>55</v>
      </c>
      <c r="AL5" s="22" t="s">
        <v>55</v>
      </c>
      <c r="AM5" s="22" t="s">
        <v>55</v>
      </c>
      <c r="AN5" s="22" t="s">
        <v>55</v>
      </c>
      <c r="AO5" s="22" t="s">
        <v>55</v>
      </c>
      <c r="AP5" s="22" t="s">
        <v>55</v>
      </c>
      <c r="AQ5" s="22" t="s">
        <v>55</v>
      </c>
      <c r="AR5" s="22" t="s">
        <v>55</v>
      </c>
      <c r="AS5" s="22" t="s">
        <v>55</v>
      </c>
      <c r="AT5" s="22" t="s">
        <v>55</v>
      </c>
      <c r="AU5" s="22" t="s">
        <v>55</v>
      </c>
      <c r="AV5" s="22" t="s">
        <v>55</v>
      </c>
      <c r="AW5" s="22" t="s">
        <v>55</v>
      </c>
      <c r="AX5" s="23">
        <v>45365</v>
      </c>
      <c r="AY5" s="22" t="s">
        <v>93</v>
      </c>
      <c r="BB5" s="9"/>
      <c r="BC5" s="9"/>
    </row>
    <row r="6" spans="1:55" ht="72.5" x14ac:dyDescent="0.35">
      <c r="A6" s="22" t="s">
        <v>107</v>
      </c>
      <c r="B6" s="22" t="s">
        <v>50</v>
      </c>
      <c r="C6" s="22" t="s">
        <v>51</v>
      </c>
      <c r="D6" s="22" t="s">
        <v>55</v>
      </c>
      <c r="E6" s="22" t="s">
        <v>108</v>
      </c>
      <c r="F6" s="22" t="s">
        <v>102</v>
      </c>
      <c r="G6" s="22" t="s">
        <v>54</v>
      </c>
      <c r="H6" s="22" t="s">
        <v>1714</v>
      </c>
      <c r="I6" s="22" t="s">
        <v>109</v>
      </c>
      <c r="J6" s="22" t="s">
        <v>55</v>
      </c>
      <c r="K6" s="22" t="s">
        <v>586</v>
      </c>
      <c r="L6" s="22" t="s">
        <v>57</v>
      </c>
      <c r="M6" s="22" t="s">
        <v>55</v>
      </c>
      <c r="N6" s="22" t="s">
        <v>55</v>
      </c>
      <c r="O6" s="22" t="s">
        <v>105</v>
      </c>
      <c r="P6" s="22" t="s">
        <v>110</v>
      </c>
      <c r="Q6" s="22" t="s">
        <v>111</v>
      </c>
      <c r="R6" s="22" t="s">
        <v>55</v>
      </c>
      <c r="S6" s="22" t="s">
        <v>112</v>
      </c>
      <c r="T6" s="22" t="s">
        <v>113</v>
      </c>
      <c r="U6" s="22" t="s">
        <v>55</v>
      </c>
      <c r="V6" s="23">
        <v>45657</v>
      </c>
      <c r="W6" s="22" t="s">
        <v>55</v>
      </c>
      <c r="X6" s="22" t="s">
        <v>114</v>
      </c>
      <c r="Y6" s="22" t="s">
        <v>65</v>
      </c>
      <c r="Z6" s="22" t="s">
        <v>55</v>
      </c>
      <c r="AA6" s="22" t="s">
        <v>66</v>
      </c>
      <c r="AB6" s="22" t="s">
        <v>360</v>
      </c>
      <c r="AC6" s="22" t="s">
        <v>55</v>
      </c>
      <c r="AD6" s="22" t="s">
        <v>67</v>
      </c>
      <c r="AE6" s="22" t="s">
        <v>97</v>
      </c>
      <c r="AF6" s="22" t="s">
        <v>55</v>
      </c>
      <c r="AG6" s="22" t="s">
        <v>55</v>
      </c>
      <c r="AH6" s="22" t="s">
        <v>55</v>
      </c>
      <c r="AI6" s="22" t="s">
        <v>55</v>
      </c>
      <c r="AJ6" s="22" t="s">
        <v>55</v>
      </c>
      <c r="AK6" s="22" t="s">
        <v>55</v>
      </c>
      <c r="AL6" s="22" t="s">
        <v>55</v>
      </c>
      <c r="AM6" s="22" t="s">
        <v>55</v>
      </c>
      <c r="AN6" s="22" t="s">
        <v>55</v>
      </c>
      <c r="AO6" s="22" t="s">
        <v>55</v>
      </c>
      <c r="AP6" s="22" t="s">
        <v>55</v>
      </c>
      <c r="AQ6" s="22" t="s">
        <v>55</v>
      </c>
      <c r="AR6" s="22" t="s">
        <v>55</v>
      </c>
      <c r="AS6" s="22" t="s">
        <v>55</v>
      </c>
      <c r="AT6" s="22" t="s">
        <v>55</v>
      </c>
      <c r="AU6" s="22" t="s">
        <v>55</v>
      </c>
      <c r="AV6" s="22" t="s">
        <v>55</v>
      </c>
      <c r="AW6" s="23">
        <v>45226</v>
      </c>
      <c r="AX6" s="23">
        <v>45426</v>
      </c>
      <c r="AY6" s="22" t="s">
        <v>104</v>
      </c>
      <c r="BB6" s="9"/>
      <c r="BC6" s="9"/>
    </row>
    <row r="7" spans="1:55" ht="43.5" x14ac:dyDescent="0.35">
      <c r="A7" s="22" t="s">
        <v>124</v>
      </c>
      <c r="B7" s="22" t="s">
        <v>115</v>
      </c>
      <c r="C7" s="22" t="s">
        <v>116</v>
      </c>
      <c r="D7" s="22" t="s">
        <v>55</v>
      </c>
      <c r="E7" s="22" t="s">
        <v>52</v>
      </c>
      <c r="F7" s="22" t="s">
        <v>125</v>
      </c>
      <c r="G7" s="22" t="s">
        <v>126</v>
      </c>
      <c r="H7" s="22" t="s">
        <v>127</v>
      </c>
      <c r="I7" s="22" t="s">
        <v>117</v>
      </c>
      <c r="J7" s="22" t="s">
        <v>55</v>
      </c>
      <c r="K7" s="22" t="s">
        <v>576</v>
      </c>
      <c r="L7" s="22" t="s">
        <v>55</v>
      </c>
      <c r="M7" s="22" t="s">
        <v>128</v>
      </c>
      <c r="N7" s="22" t="s">
        <v>55</v>
      </c>
      <c r="O7" s="22" t="s">
        <v>129</v>
      </c>
      <c r="P7" s="22" t="s">
        <v>55</v>
      </c>
      <c r="Q7" s="22" t="s">
        <v>130</v>
      </c>
      <c r="R7" s="22" t="s">
        <v>55</v>
      </c>
      <c r="S7" s="22" t="s">
        <v>55</v>
      </c>
      <c r="T7" s="22" t="s">
        <v>131</v>
      </c>
      <c r="U7" s="22" t="s">
        <v>132</v>
      </c>
      <c r="V7" s="23">
        <v>46022</v>
      </c>
      <c r="W7" s="22" t="s">
        <v>133</v>
      </c>
      <c r="X7" s="22" t="s">
        <v>134</v>
      </c>
      <c r="Y7" s="22" t="s">
        <v>65</v>
      </c>
      <c r="Z7" s="22" t="s">
        <v>55</v>
      </c>
      <c r="AA7" s="22" t="s">
        <v>221</v>
      </c>
      <c r="AB7" s="22" t="s">
        <v>55</v>
      </c>
      <c r="AC7" s="22" t="s">
        <v>55</v>
      </c>
      <c r="AD7" s="22" t="s">
        <v>118</v>
      </c>
      <c r="AE7" s="22" t="s">
        <v>97</v>
      </c>
      <c r="AF7" s="22" t="s">
        <v>69</v>
      </c>
      <c r="AG7" s="22" t="s">
        <v>55</v>
      </c>
      <c r="AH7" s="22" t="s">
        <v>55</v>
      </c>
      <c r="AI7" s="22" t="s">
        <v>55</v>
      </c>
      <c r="AJ7" s="22" t="s">
        <v>55</v>
      </c>
      <c r="AK7" s="22" t="s">
        <v>55</v>
      </c>
      <c r="AL7" s="22" t="s">
        <v>55</v>
      </c>
      <c r="AM7" s="22" t="s">
        <v>55</v>
      </c>
      <c r="AN7" s="22" t="s">
        <v>55</v>
      </c>
      <c r="AO7" s="22" t="s">
        <v>55</v>
      </c>
      <c r="AP7" s="22" t="s">
        <v>55</v>
      </c>
      <c r="AQ7" s="22" t="s">
        <v>55</v>
      </c>
      <c r="AR7" s="22" t="s">
        <v>55</v>
      </c>
      <c r="AS7" s="22" t="s">
        <v>55</v>
      </c>
      <c r="AT7" s="22" t="s">
        <v>55</v>
      </c>
      <c r="AU7" s="22" t="s">
        <v>55</v>
      </c>
      <c r="AV7" s="22" t="s">
        <v>55</v>
      </c>
      <c r="AW7" s="22" t="s">
        <v>55</v>
      </c>
      <c r="AX7" s="23">
        <v>45558</v>
      </c>
      <c r="AY7" s="22" t="s">
        <v>135</v>
      </c>
    </row>
    <row r="8" spans="1:55" ht="43.5" x14ac:dyDescent="0.35">
      <c r="A8" s="22" t="s">
        <v>140</v>
      </c>
      <c r="B8" s="22" t="s">
        <v>115</v>
      </c>
      <c r="C8" s="22" t="s">
        <v>116</v>
      </c>
      <c r="D8" s="22" t="s">
        <v>55</v>
      </c>
      <c r="E8" s="22" t="s">
        <v>52</v>
      </c>
      <c r="F8" s="22" t="s">
        <v>141</v>
      </c>
      <c r="G8" s="22" t="s">
        <v>84</v>
      </c>
      <c r="H8" s="22" t="s">
        <v>84</v>
      </c>
      <c r="I8" s="22" t="s">
        <v>142</v>
      </c>
      <c r="J8" s="22" t="s">
        <v>55</v>
      </c>
      <c r="K8" s="22" t="s">
        <v>587</v>
      </c>
      <c r="L8" s="22" t="s">
        <v>55</v>
      </c>
      <c r="M8" s="22" t="s">
        <v>143</v>
      </c>
      <c r="N8" s="22" t="s">
        <v>55</v>
      </c>
      <c r="O8" s="22" t="s">
        <v>144</v>
      </c>
      <c r="P8" s="22" t="s">
        <v>55</v>
      </c>
      <c r="Q8" s="22" t="s">
        <v>145</v>
      </c>
      <c r="R8" s="22" t="s">
        <v>55</v>
      </c>
      <c r="S8" s="22" t="s">
        <v>55</v>
      </c>
      <c r="T8" s="22" t="s">
        <v>146</v>
      </c>
      <c r="U8" s="22" t="s">
        <v>63</v>
      </c>
      <c r="V8" s="23">
        <v>45646</v>
      </c>
      <c r="W8" s="22" t="s">
        <v>55</v>
      </c>
      <c r="X8" s="22" t="s">
        <v>147</v>
      </c>
      <c r="Y8" s="22" t="s">
        <v>65</v>
      </c>
      <c r="Z8" s="22" t="s">
        <v>55</v>
      </c>
      <c r="AA8" s="22" t="s">
        <v>66</v>
      </c>
      <c r="AB8" s="22" t="s">
        <v>55</v>
      </c>
      <c r="AC8" s="22" t="s">
        <v>55</v>
      </c>
      <c r="AD8" s="22" t="s">
        <v>118</v>
      </c>
      <c r="AE8" s="22" t="s">
        <v>97</v>
      </c>
      <c r="AF8" s="22" t="s">
        <v>100</v>
      </c>
      <c r="AG8" s="22" t="s">
        <v>55</v>
      </c>
      <c r="AH8" s="22" t="s">
        <v>55</v>
      </c>
      <c r="AI8" s="22" t="s">
        <v>55</v>
      </c>
      <c r="AJ8" s="22" t="s">
        <v>55</v>
      </c>
      <c r="AK8" s="22" t="s">
        <v>55</v>
      </c>
      <c r="AL8" s="22" t="s">
        <v>55</v>
      </c>
      <c r="AM8" s="22" t="s">
        <v>55</v>
      </c>
      <c r="AN8" s="22" t="s">
        <v>55</v>
      </c>
      <c r="AO8" s="22" t="s">
        <v>55</v>
      </c>
      <c r="AP8" s="22" t="s">
        <v>55</v>
      </c>
      <c r="AQ8" s="22" t="s">
        <v>55</v>
      </c>
      <c r="AR8" s="22" t="s">
        <v>55</v>
      </c>
      <c r="AS8" s="22" t="s">
        <v>55</v>
      </c>
      <c r="AT8" s="22" t="s">
        <v>55</v>
      </c>
      <c r="AU8" s="22" t="s">
        <v>55</v>
      </c>
      <c r="AV8" s="22" t="s">
        <v>55</v>
      </c>
      <c r="AW8" s="22" t="s">
        <v>55</v>
      </c>
      <c r="AX8" s="23">
        <v>45635</v>
      </c>
      <c r="AY8" s="22" t="s">
        <v>148</v>
      </c>
    </row>
    <row r="9" spans="1:55" ht="130.5" x14ac:dyDescent="0.35">
      <c r="A9" s="22" t="s">
        <v>163</v>
      </c>
      <c r="B9" s="22" t="s">
        <v>115</v>
      </c>
      <c r="C9" s="22" t="s">
        <v>588</v>
      </c>
      <c r="D9" s="22" t="s">
        <v>55</v>
      </c>
      <c r="E9" s="22" t="s">
        <v>52</v>
      </c>
      <c r="F9" s="22" t="s">
        <v>1715</v>
      </c>
      <c r="G9" s="22" t="s">
        <v>94</v>
      </c>
      <c r="H9" s="22" t="s">
        <v>162</v>
      </c>
      <c r="I9" s="22" t="s">
        <v>56</v>
      </c>
      <c r="J9" s="22" t="s">
        <v>153</v>
      </c>
      <c r="K9" s="22" t="s">
        <v>572</v>
      </c>
      <c r="L9" s="22" t="s">
        <v>57</v>
      </c>
      <c r="M9" s="22" t="s">
        <v>58</v>
      </c>
      <c r="N9" s="22" t="s">
        <v>55</v>
      </c>
      <c r="O9" s="22" t="s">
        <v>164</v>
      </c>
      <c r="P9" s="22" t="s">
        <v>165</v>
      </c>
      <c r="Q9" s="22" t="s">
        <v>166</v>
      </c>
      <c r="R9" s="22" t="s">
        <v>55</v>
      </c>
      <c r="S9" s="22" t="s">
        <v>167</v>
      </c>
      <c r="T9" s="22" t="s">
        <v>168</v>
      </c>
      <c r="U9" s="22" t="s">
        <v>55</v>
      </c>
      <c r="V9" s="23">
        <v>45991</v>
      </c>
      <c r="W9" s="22" t="s">
        <v>55</v>
      </c>
      <c r="X9" s="22" t="s">
        <v>169</v>
      </c>
      <c r="Y9" s="22" t="s">
        <v>65</v>
      </c>
      <c r="Z9" s="22" t="s">
        <v>55</v>
      </c>
      <c r="AA9" s="22" t="s">
        <v>152</v>
      </c>
      <c r="AB9" s="22" t="s">
        <v>55</v>
      </c>
      <c r="AC9" s="22" t="s">
        <v>55</v>
      </c>
      <c r="AD9" s="22" t="s">
        <v>67</v>
      </c>
      <c r="AE9" s="22" t="s">
        <v>97</v>
      </c>
      <c r="AF9" s="22" t="s">
        <v>69</v>
      </c>
      <c r="AG9" s="22" t="s">
        <v>55</v>
      </c>
      <c r="AH9" s="22" t="s">
        <v>55</v>
      </c>
      <c r="AI9" s="22" t="s">
        <v>55</v>
      </c>
      <c r="AJ9" s="22" t="s">
        <v>55</v>
      </c>
      <c r="AK9" s="22" t="s">
        <v>55</v>
      </c>
      <c r="AL9" s="22" t="s">
        <v>55</v>
      </c>
      <c r="AM9" s="22" t="s">
        <v>55</v>
      </c>
      <c r="AN9" s="22" t="s">
        <v>55</v>
      </c>
      <c r="AO9" s="22" t="s">
        <v>55</v>
      </c>
      <c r="AP9" s="22" t="s">
        <v>55</v>
      </c>
      <c r="AQ9" s="22" t="s">
        <v>55</v>
      </c>
      <c r="AR9" s="22" t="s">
        <v>55</v>
      </c>
      <c r="AS9" s="22" t="s">
        <v>55</v>
      </c>
      <c r="AT9" s="22" t="s">
        <v>55</v>
      </c>
      <c r="AU9" s="22" t="s">
        <v>55</v>
      </c>
      <c r="AV9" s="22" t="s">
        <v>55</v>
      </c>
      <c r="AW9" s="22" t="s">
        <v>55</v>
      </c>
      <c r="AX9" s="23">
        <v>45722</v>
      </c>
      <c r="AY9" s="22" t="s">
        <v>170</v>
      </c>
    </row>
    <row r="10" spans="1:55" ht="43.5" x14ac:dyDescent="0.35">
      <c r="A10" s="22" t="s">
        <v>172</v>
      </c>
      <c r="B10" s="22" t="s">
        <v>115</v>
      </c>
      <c r="C10" s="22" t="s">
        <v>51</v>
      </c>
      <c r="D10" s="22" t="s">
        <v>55</v>
      </c>
      <c r="E10" s="22" t="s">
        <v>108</v>
      </c>
      <c r="F10" s="22" t="s">
        <v>173</v>
      </c>
      <c r="G10" s="22" t="s">
        <v>94</v>
      </c>
      <c r="H10" s="22" t="s">
        <v>95</v>
      </c>
      <c r="I10" s="22" t="s">
        <v>121</v>
      </c>
      <c r="J10" s="22" t="s">
        <v>174</v>
      </c>
      <c r="K10" s="22" t="s">
        <v>558</v>
      </c>
      <c r="L10" s="22" t="s">
        <v>57</v>
      </c>
      <c r="M10" s="22" t="s">
        <v>55</v>
      </c>
      <c r="N10" s="22" t="s">
        <v>55</v>
      </c>
      <c r="O10" s="22" t="s">
        <v>175</v>
      </c>
      <c r="P10" s="22" t="s">
        <v>176</v>
      </c>
      <c r="Q10" s="22" t="s">
        <v>177</v>
      </c>
      <c r="R10" s="22" t="s">
        <v>63</v>
      </c>
      <c r="S10" s="22" t="s">
        <v>178</v>
      </c>
      <c r="T10" s="22" t="s">
        <v>179</v>
      </c>
      <c r="U10" s="22" t="s">
        <v>63</v>
      </c>
      <c r="V10" s="23">
        <v>46022</v>
      </c>
      <c r="W10" s="22" t="s">
        <v>55</v>
      </c>
      <c r="X10" s="22" t="s">
        <v>180</v>
      </c>
      <c r="Y10" s="22" t="s">
        <v>65</v>
      </c>
      <c r="Z10" s="22" t="s">
        <v>55</v>
      </c>
      <c r="AA10" s="22" t="s">
        <v>221</v>
      </c>
      <c r="AB10" s="22" t="s">
        <v>181</v>
      </c>
      <c r="AC10" s="22" t="s">
        <v>55</v>
      </c>
      <c r="AD10" s="22" t="s">
        <v>67</v>
      </c>
      <c r="AE10" s="22" t="s">
        <v>182</v>
      </c>
      <c r="AF10" s="22" t="s">
        <v>55</v>
      </c>
      <c r="AG10" s="22" t="s">
        <v>55</v>
      </c>
      <c r="AH10" s="22" t="s">
        <v>55</v>
      </c>
      <c r="AI10" s="22" t="s">
        <v>55</v>
      </c>
      <c r="AJ10" s="22" t="s">
        <v>55</v>
      </c>
      <c r="AK10" s="22" t="s">
        <v>55</v>
      </c>
      <c r="AL10" s="22" t="s">
        <v>55</v>
      </c>
      <c r="AM10" s="22" t="s">
        <v>55</v>
      </c>
      <c r="AN10" s="22" t="s">
        <v>55</v>
      </c>
      <c r="AO10" s="22" t="s">
        <v>55</v>
      </c>
      <c r="AP10" s="22" t="s">
        <v>55</v>
      </c>
      <c r="AQ10" s="22" t="s">
        <v>55</v>
      </c>
      <c r="AR10" s="22" t="s">
        <v>55</v>
      </c>
      <c r="AS10" s="22" t="s">
        <v>55</v>
      </c>
      <c r="AT10" s="22" t="s">
        <v>55</v>
      </c>
      <c r="AU10" s="22" t="s">
        <v>55</v>
      </c>
      <c r="AV10" s="22" t="s">
        <v>55</v>
      </c>
      <c r="AW10" s="23">
        <v>45544</v>
      </c>
      <c r="AX10" s="23">
        <v>45427</v>
      </c>
      <c r="AY10" s="22" t="s">
        <v>183</v>
      </c>
    </row>
    <row r="11" spans="1:55" ht="58" x14ac:dyDescent="0.35">
      <c r="A11" s="22" t="s">
        <v>184</v>
      </c>
      <c r="B11" s="22" t="s">
        <v>115</v>
      </c>
      <c r="C11" s="22" t="s">
        <v>51</v>
      </c>
      <c r="D11" s="22" t="s">
        <v>55</v>
      </c>
      <c r="E11" s="22" t="s">
        <v>52</v>
      </c>
      <c r="F11" s="22" t="s">
        <v>173</v>
      </c>
      <c r="G11" s="22" t="s">
        <v>94</v>
      </c>
      <c r="H11" s="22" t="s">
        <v>95</v>
      </c>
      <c r="I11" s="22" t="s">
        <v>119</v>
      </c>
      <c r="J11" s="22" t="s">
        <v>185</v>
      </c>
      <c r="K11" s="22" t="s">
        <v>544</v>
      </c>
      <c r="L11" s="22" t="s">
        <v>57</v>
      </c>
      <c r="M11" s="22" t="s">
        <v>122</v>
      </c>
      <c r="N11" s="22" t="s">
        <v>55</v>
      </c>
      <c r="O11" s="22" t="s">
        <v>175</v>
      </c>
      <c r="P11" s="22" t="s">
        <v>187</v>
      </c>
      <c r="Q11" s="22" t="s">
        <v>188</v>
      </c>
      <c r="R11" s="22" t="s">
        <v>63</v>
      </c>
      <c r="S11" s="22" t="s">
        <v>189</v>
      </c>
      <c r="T11" s="22" t="s">
        <v>190</v>
      </c>
      <c r="U11" s="22" t="s">
        <v>63</v>
      </c>
      <c r="V11" s="23">
        <v>46022</v>
      </c>
      <c r="W11" s="22" t="s">
        <v>55</v>
      </c>
      <c r="X11" s="22" t="s">
        <v>191</v>
      </c>
      <c r="Y11" s="22" t="s">
        <v>65</v>
      </c>
      <c r="Z11" s="22" t="s">
        <v>55</v>
      </c>
      <c r="AA11" s="22" t="s">
        <v>221</v>
      </c>
      <c r="AB11" s="22" t="s">
        <v>181</v>
      </c>
      <c r="AC11" s="22" t="s">
        <v>55</v>
      </c>
      <c r="AD11" s="22" t="s">
        <v>67</v>
      </c>
      <c r="AE11" s="22" t="s">
        <v>182</v>
      </c>
      <c r="AF11" s="22" t="s">
        <v>123</v>
      </c>
      <c r="AG11" s="22" t="s">
        <v>55</v>
      </c>
      <c r="AH11" s="22" t="s">
        <v>55</v>
      </c>
      <c r="AI11" s="22" t="s">
        <v>55</v>
      </c>
      <c r="AJ11" s="22" t="s">
        <v>55</v>
      </c>
      <c r="AK11" s="22" t="s">
        <v>55</v>
      </c>
      <c r="AL11" s="22" t="s">
        <v>55</v>
      </c>
      <c r="AM11" s="22" t="s">
        <v>55</v>
      </c>
      <c r="AN11" s="22" t="s">
        <v>55</v>
      </c>
      <c r="AO11" s="22" t="s">
        <v>55</v>
      </c>
      <c r="AP11" s="22" t="s">
        <v>55</v>
      </c>
      <c r="AQ11" s="22" t="s">
        <v>55</v>
      </c>
      <c r="AR11" s="22" t="s">
        <v>55</v>
      </c>
      <c r="AS11" s="22" t="s">
        <v>55</v>
      </c>
      <c r="AT11" s="22" t="s">
        <v>55</v>
      </c>
      <c r="AU11" s="22" t="s">
        <v>55</v>
      </c>
      <c r="AV11" s="22" t="s">
        <v>55</v>
      </c>
      <c r="AW11" s="23">
        <v>45544</v>
      </c>
      <c r="AX11" s="23">
        <v>45427</v>
      </c>
      <c r="AY11" s="22" t="s">
        <v>183</v>
      </c>
    </row>
    <row r="12" spans="1:55" ht="174" x14ac:dyDescent="0.35">
      <c r="A12" s="22" t="s">
        <v>192</v>
      </c>
      <c r="B12" s="22" t="s">
        <v>115</v>
      </c>
      <c r="C12" s="22" t="s">
        <v>51</v>
      </c>
      <c r="D12" s="22" t="s">
        <v>55</v>
      </c>
      <c r="E12" s="22" t="s">
        <v>108</v>
      </c>
      <c r="F12" s="22" t="s">
        <v>173</v>
      </c>
      <c r="G12" s="22" t="s">
        <v>94</v>
      </c>
      <c r="H12" s="22" t="s">
        <v>95</v>
      </c>
      <c r="I12" s="22" t="s">
        <v>109</v>
      </c>
      <c r="J12" s="22" t="s">
        <v>193</v>
      </c>
      <c r="K12" s="22" t="s">
        <v>586</v>
      </c>
      <c r="L12" s="22" t="s">
        <v>57</v>
      </c>
      <c r="M12" s="22" t="s">
        <v>55</v>
      </c>
      <c r="N12" s="22" t="s">
        <v>55</v>
      </c>
      <c r="O12" s="22" t="s">
        <v>175</v>
      </c>
      <c r="P12" s="22" t="s">
        <v>194</v>
      </c>
      <c r="Q12" s="22" t="s">
        <v>195</v>
      </c>
      <c r="R12" s="22" t="s">
        <v>63</v>
      </c>
      <c r="S12" s="22" t="s">
        <v>196</v>
      </c>
      <c r="T12" s="22" t="s">
        <v>197</v>
      </c>
      <c r="U12" s="22" t="s">
        <v>63</v>
      </c>
      <c r="V12" s="23">
        <v>46022</v>
      </c>
      <c r="W12" s="22" t="s">
        <v>55</v>
      </c>
      <c r="X12" s="22" t="s">
        <v>198</v>
      </c>
      <c r="Y12" s="22" t="s">
        <v>65</v>
      </c>
      <c r="Z12" s="22" t="s">
        <v>55</v>
      </c>
      <c r="AA12" s="22" t="s">
        <v>221</v>
      </c>
      <c r="AB12" s="22" t="s">
        <v>181</v>
      </c>
      <c r="AC12" s="22" t="s">
        <v>55</v>
      </c>
      <c r="AD12" s="22" t="s">
        <v>67</v>
      </c>
      <c r="AE12" s="22" t="s">
        <v>182</v>
      </c>
      <c r="AF12" s="22" t="s">
        <v>55</v>
      </c>
      <c r="AG12" s="22" t="s">
        <v>55</v>
      </c>
      <c r="AH12" s="22" t="s">
        <v>55</v>
      </c>
      <c r="AI12" s="22" t="s">
        <v>55</v>
      </c>
      <c r="AJ12" s="22" t="s">
        <v>55</v>
      </c>
      <c r="AK12" s="22" t="s">
        <v>55</v>
      </c>
      <c r="AL12" s="22" t="s">
        <v>55</v>
      </c>
      <c r="AM12" s="22" t="s">
        <v>55</v>
      </c>
      <c r="AN12" s="22" t="s">
        <v>55</v>
      </c>
      <c r="AO12" s="22" t="s">
        <v>55</v>
      </c>
      <c r="AP12" s="22" t="s">
        <v>55</v>
      </c>
      <c r="AQ12" s="22" t="s">
        <v>55</v>
      </c>
      <c r="AR12" s="22" t="s">
        <v>55</v>
      </c>
      <c r="AS12" s="22" t="s">
        <v>55</v>
      </c>
      <c r="AT12" s="22" t="s">
        <v>55</v>
      </c>
      <c r="AU12" s="22" t="s">
        <v>55</v>
      </c>
      <c r="AV12" s="22" t="s">
        <v>55</v>
      </c>
      <c r="AW12" s="23">
        <v>45544</v>
      </c>
      <c r="AX12" s="23">
        <v>45427</v>
      </c>
      <c r="AY12" s="22" t="s">
        <v>183</v>
      </c>
    </row>
    <row r="13" spans="1:55" ht="58" x14ac:dyDescent="0.35">
      <c r="A13" s="22" t="s">
        <v>199</v>
      </c>
      <c r="B13" s="22" t="s">
        <v>115</v>
      </c>
      <c r="C13" s="22" t="s">
        <v>51</v>
      </c>
      <c r="D13" s="22" t="s">
        <v>55</v>
      </c>
      <c r="E13" s="22" t="s">
        <v>108</v>
      </c>
      <c r="F13" s="22" t="s">
        <v>173</v>
      </c>
      <c r="G13" s="22" t="s">
        <v>94</v>
      </c>
      <c r="H13" s="22" t="s">
        <v>95</v>
      </c>
      <c r="I13" s="22" t="s">
        <v>142</v>
      </c>
      <c r="J13" s="22" t="s">
        <v>200</v>
      </c>
      <c r="K13" s="22" t="s">
        <v>585</v>
      </c>
      <c r="L13" s="22" t="s">
        <v>57</v>
      </c>
      <c r="M13" s="22" t="s">
        <v>55</v>
      </c>
      <c r="N13" s="22" t="s">
        <v>55</v>
      </c>
      <c r="O13" s="22" t="s">
        <v>175</v>
      </c>
      <c r="P13" s="22" t="s">
        <v>201</v>
      </c>
      <c r="Q13" s="22" t="s">
        <v>202</v>
      </c>
      <c r="R13" s="22" t="s">
        <v>63</v>
      </c>
      <c r="S13" s="22" t="s">
        <v>203</v>
      </c>
      <c r="T13" s="22" t="s">
        <v>204</v>
      </c>
      <c r="U13" s="22" t="s">
        <v>63</v>
      </c>
      <c r="V13" s="23">
        <v>46022</v>
      </c>
      <c r="W13" s="22" t="s">
        <v>55</v>
      </c>
      <c r="X13" s="22" t="s">
        <v>205</v>
      </c>
      <c r="Y13" s="22" t="s">
        <v>65</v>
      </c>
      <c r="Z13" s="22" t="s">
        <v>55</v>
      </c>
      <c r="AA13" s="22" t="s">
        <v>221</v>
      </c>
      <c r="AB13" s="22" t="s">
        <v>181</v>
      </c>
      <c r="AC13" s="22" t="s">
        <v>55</v>
      </c>
      <c r="AD13" s="22" t="s">
        <v>67</v>
      </c>
      <c r="AE13" s="22" t="s">
        <v>182</v>
      </c>
      <c r="AF13" s="22" t="s">
        <v>55</v>
      </c>
      <c r="AG13" s="22" t="s">
        <v>55</v>
      </c>
      <c r="AH13" s="22" t="s">
        <v>55</v>
      </c>
      <c r="AI13" s="22" t="s">
        <v>55</v>
      </c>
      <c r="AJ13" s="22" t="s">
        <v>55</v>
      </c>
      <c r="AK13" s="22" t="s">
        <v>55</v>
      </c>
      <c r="AL13" s="22" t="s">
        <v>55</v>
      </c>
      <c r="AM13" s="22" t="s">
        <v>55</v>
      </c>
      <c r="AN13" s="22" t="s">
        <v>55</v>
      </c>
      <c r="AO13" s="22" t="s">
        <v>55</v>
      </c>
      <c r="AP13" s="22" t="s">
        <v>55</v>
      </c>
      <c r="AQ13" s="22" t="s">
        <v>55</v>
      </c>
      <c r="AR13" s="22" t="s">
        <v>55</v>
      </c>
      <c r="AS13" s="22" t="s">
        <v>55</v>
      </c>
      <c r="AT13" s="22" t="s">
        <v>55</v>
      </c>
      <c r="AU13" s="22" t="s">
        <v>55</v>
      </c>
      <c r="AV13" s="22" t="s">
        <v>55</v>
      </c>
      <c r="AW13" s="23">
        <v>45544</v>
      </c>
      <c r="AX13" s="23">
        <v>45427</v>
      </c>
      <c r="AY13" s="22" t="s">
        <v>183</v>
      </c>
    </row>
    <row r="14" spans="1:55" ht="159.5" x14ac:dyDescent="0.35">
      <c r="A14" s="22" t="s">
        <v>210</v>
      </c>
      <c r="B14" s="22" t="s">
        <v>115</v>
      </c>
      <c r="C14" s="22" t="s">
        <v>51</v>
      </c>
      <c r="D14" s="22" t="s">
        <v>55</v>
      </c>
      <c r="E14" s="22" t="s">
        <v>52</v>
      </c>
      <c r="F14" s="22" t="s">
        <v>207</v>
      </c>
      <c r="G14" s="22" t="s">
        <v>54</v>
      </c>
      <c r="H14" s="22" t="s">
        <v>1716</v>
      </c>
      <c r="I14" s="22" t="s">
        <v>119</v>
      </c>
      <c r="J14" s="22" t="s">
        <v>106</v>
      </c>
      <c r="K14" s="22" t="s">
        <v>552</v>
      </c>
      <c r="L14" s="22" t="s">
        <v>57</v>
      </c>
      <c r="M14" s="22" t="s">
        <v>206</v>
      </c>
      <c r="N14" s="22" t="s">
        <v>55</v>
      </c>
      <c r="O14" s="22" t="s">
        <v>208</v>
      </c>
      <c r="P14" s="22" t="s">
        <v>211</v>
      </c>
      <c r="Q14" s="22" t="s">
        <v>212</v>
      </c>
      <c r="R14" s="22" t="s">
        <v>63</v>
      </c>
      <c r="S14" s="22" t="s">
        <v>213</v>
      </c>
      <c r="T14" s="22" t="s">
        <v>214</v>
      </c>
      <c r="U14" s="22" t="s">
        <v>63</v>
      </c>
      <c r="V14" s="23">
        <v>45930</v>
      </c>
      <c r="W14" s="22" t="s">
        <v>55</v>
      </c>
      <c r="X14" s="22" t="s">
        <v>209</v>
      </c>
      <c r="Y14" s="22" t="s">
        <v>65</v>
      </c>
      <c r="Z14" s="22" t="s">
        <v>55</v>
      </c>
      <c r="AA14" s="22" t="s">
        <v>66</v>
      </c>
      <c r="AB14" s="22" t="s">
        <v>181</v>
      </c>
      <c r="AC14" s="22" t="s">
        <v>55</v>
      </c>
      <c r="AD14" s="22" t="s">
        <v>67</v>
      </c>
      <c r="AE14" s="22" t="s">
        <v>182</v>
      </c>
      <c r="AF14" s="22" t="s">
        <v>92</v>
      </c>
      <c r="AG14" s="22" t="s">
        <v>55</v>
      </c>
      <c r="AH14" s="22" t="s">
        <v>55</v>
      </c>
      <c r="AI14" s="22" t="s">
        <v>55</v>
      </c>
      <c r="AJ14" s="22" t="s">
        <v>55</v>
      </c>
      <c r="AK14" s="22" t="s">
        <v>55</v>
      </c>
      <c r="AL14" s="22" t="s">
        <v>55</v>
      </c>
      <c r="AM14" s="22" t="s">
        <v>55</v>
      </c>
      <c r="AN14" s="22" t="s">
        <v>55</v>
      </c>
      <c r="AO14" s="22" t="s">
        <v>55</v>
      </c>
      <c r="AP14" s="22" t="s">
        <v>55</v>
      </c>
      <c r="AQ14" s="22" t="s">
        <v>55</v>
      </c>
      <c r="AR14" s="22" t="s">
        <v>55</v>
      </c>
      <c r="AS14" s="22" t="s">
        <v>55</v>
      </c>
      <c r="AT14" s="22" t="s">
        <v>55</v>
      </c>
      <c r="AU14" s="22" t="s">
        <v>55</v>
      </c>
      <c r="AV14" s="22" t="s">
        <v>55</v>
      </c>
      <c r="AW14" s="23">
        <v>45516</v>
      </c>
      <c r="AX14" s="23">
        <v>45427</v>
      </c>
      <c r="AY14" s="22" t="s">
        <v>183</v>
      </c>
    </row>
    <row r="15" spans="1:55" ht="159.5" x14ac:dyDescent="0.35">
      <c r="A15" s="22" t="s">
        <v>215</v>
      </c>
      <c r="B15" s="22" t="s">
        <v>115</v>
      </c>
      <c r="C15" s="22" t="s">
        <v>51</v>
      </c>
      <c r="D15" s="22" t="s">
        <v>55</v>
      </c>
      <c r="E15" s="22" t="s">
        <v>108</v>
      </c>
      <c r="F15" s="22" t="s">
        <v>207</v>
      </c>
      <c r="G15" s="22" t="s">
        <v>54</v>
      </c>
      <c r="H15" s="22" t="s">
        <v>1716</v>
      </c>
      <c r="I15" s="22" t="s">
        <v>109</v>
      </c>
      <c r="J15" s="22" t="s">
        <v>109</v>
      </c>
      <c r="K15" s="22" t="s">
        <v>586</v>
      </c>
      <c r="L15" s="22" t="s">
        <v>57</v>
      </c>
      <c r="M15" s="22" t="s">
        <v>55</v>
      </c>
      <c r="N15" s="22" t="s">
        <v>55</v>
      </c>
      <c r="O15" s="22" t="s">
        <v>208</v>
      </c>
      <c r="P15" s="22" t="s">
        <v>216</v>
      </c>
      <c r="Q15" s="22" t="s">
        <v>217</v>
      </c>
      <c r="R15" s="22" t="s">
        <v>63</v>
      </c>
      <c r="S15" s="22" t="s">
        <v>218</v>
      </c>
      <c r="T15" s="22" t="s">
        <v>219</v>
      </c>
      <c r="U15" s="22" t="s">
        <v>132</v>
      </c>
      <c r="V15" s="23">
        <v>46022</v>
      </c>
      <c r="W15" s="22" t="s">
        <v>55</v>
      </c>
      <c r="X15" s="22" t="s">
        <v>209</v>
      </c>
      <c r="Y15" s="22" t="s">
        <v>65</v>
      </c>
      <c r="Z15" s="22" t="s">
        <v>55</v>
      </c>
      <c r="AA15" s="22" t="s">
        <v>221</v>
      </c>
      <c r="AB15" s="22" t="s">
        <v>181</v>
      </c>
      <c r="AC15" s="22" t="s">
        <v>55</v>
      </c>
      <c r="AD15" s="22" t="s">
        <v>67</v>
      </c>
      <c r="AE15" s="22" t="s">
        <v>182</v>
      </c>
      <c r="AF15" s="22" t="s">
        <v>55</v>
      </c>
      <c r="AG15" s="22" t="s">
        <v>55</v>
      </c>
      <c r="AH15" s="22" t="s">
        <v>55</v>
      </c>
      <c r="AI15" s="22" t="s">
        <v>55</v>
      </c>
      <c r="AJ15" s="22" t="s">
        <v>55</v>
      </c>
      <c r="AK15" s="22" t="s">
        <v>55</v>
      </c>
      <c r="AL15" s="22" t="s">
        <v>55</v>
      </c>
      <c r="AM15" s="22" t="s">
        <v>55</v>
      </c>
      <c r="AN15" s="22" t="s">
        <v>55</v>
      </c>
      <c r="AO15" s="22" t="s">
        <v>55</v>
      </c>
      <c r="AP15" s="22" t="s">
        <v>55</v>
      </c>
      <c r="AQ15" s="22" t="s">
        <v>55</v>
      </c>
      <c r="AR15" s="22" t="s">
        <v>55</v>
      </c>
      <c r="AS15" s="22" t="s">
        <v>55</v>
      </c>
      <c r="AT15" s="22" t="s">
        <v>55</v>
      </c>
      <c r="AU15" s="22" t="s">
        <v>55</v>
      </c>
      <c r="AV15" s="22" t="s">
        <v>55</v>
      </c>
      <c r="AW15" s="23">
        <v>45516</v>
      </c>
      <c r="AX15" s="23">
        <v>45427</v>
      </c>
      <c r="AY15" s="22" t="s">
        <v>183</v>
      </c>
    </row>
    <row r="16" spans="1:55" ht="101.5" x14ac:dyDescent="0.35">
      <c r="A16" s="22" t="s">
        <v>227</v>
      </c>
      <c r="B16" s="22" t="s">
        <v>115</v>
      </c>
      <c r="C16" s="22" t="s">
        <v>51</v>
      </c>
      <c r="D16" s="22" t="s">
        <v>55</v>
      </c>
      <c r="E16" s="22" t="s">
        <v>108</v>
      </c>
      <c r="F16" s="22" t="s">
        <v>222</v>
      </c>
      <c r="G16" s="22" t="s">
        <v>126</v>
      </c>
      <c r="H16" s="22" t="s">
        <v>157</v>
      </c>
      <c r="I16" s="22" t="s">
        <v>363</v>
      </c>
      <c r="J16" s="22" t="s">
        <v>228</v>
      </c>
      <c r="K16" s="22" t="s">
        <v>590</v>
      </c>
      <c r="L16" s="22" t="s">
        <v>57</v>
      </c>
      <c r="M16" s="22" t="s">
        <v>55</v>
      </c>
      <c r="N16" s="22" t="s">
        <v>55</v>
      </c>
      <c r="O16" s="22" t="s">
        <v>225</v>
      </c>
      <c r="P16" s="22" t="s">
        <v>229</v>
      </c>
      <c r="Q16" s="22" t="s">
        <v>230</v>
      </c>
      <c r="R16" s="22" t="s">
        <v>63</v>
      </c>
      <c r="S16" s="22" t="s">
        <v>231</v>
      </c>
      <c r="T16" s="22" t="s">
        <v>232</v>
      </c>
      <c r="U16" s="22" t="s">
        <v>63</v>
      </c>
      <c r="V16" s="23">
        <v>46022</v>
      </c>
      <c r="W16" s="22" t="s">
        <v>55</v>
      </c>
      <c r="X16" s="22" t="s">
        <v>233</v>
      </c>
      <c r="Y16" s="22" t="s">
        <v>65</v>
      </c>
      <c r="Z16" s="22" t="s">
        <v>55</v>
      </c>
      <c r="AA16" s="22" t="s">
        <v>221</v>
      </c>
      <c r="AB16" s="22" t="s">
        <v>181</v>
      </c>
      <c r="AC16" s="22" t="s">
        <v>55</v>
      </c>
      <c r="AD16" s="22" t="s">
        <v>67</v>
      </c>
      <c r="AE16" s="22" t="s">
        <v>171</v>
      </c>
      <c r="AF16" s="22" t="s">
        <v>55</v>
      </c>
      <c r="AG16" s="22" t="s">
        <v>55</v>
      </c>
      <c r="AH16" s="22" t="s">
        <v>55</v>
      </c>
      <c r="AI16" s="22" t="s">
        <v>55</v>
      </c>
      <c r="AJ16" s="22" t="s">
        <v>55</v>
      </c>
      <c r="AK16" s="22" t="s">
        <v>55</v>
      </c>
      <c r="AL16" s="22" t="s">
        <v>55</v>
      </c>
      <c r="AM16" s="22" t="s">
        <v>55</v>
      </c>
      <c r="AN16" s="22" t="s">
        <v>55</v>
      </c>
      <c r="AO16" s="22" t="s">
        <v>55</v>
      </c>
      <c r="AP16" s="22" t="s">
        <v>55</v>
      </c>
      <c r="AQ16" s="22" t="s">
        <v>55</v>
      </c>
      <c r="AR16" s="22" t="s">
        <v>55</v>
      </c>
      <c r="AS16" s="22" t="s">
        <v>55</v>
      </c>
      <c r="AT16" s="22" t="s">
        <v>55</v>
      </c>
      <c r="AU16" s="22" t="s">
        <v>55</v>
      </c>
      <c r="AV16" s="22" t="s">
        <v>55</v>
      </c>
      <c r="AW16" s="23">
        <v>45425</v>
      </c>
      <c r="AX16" s="23">
        <v>45798</v>
      </c>
      <c r="AY16" s="22" t="s">
        <v>183</v>
      </c>
    </row>
    <row r="17" spans="1:51" ht="130.5" x14ac:dyDescent="0.35">
      <c r="A17" s="22" t="s">
        <v>234</v>
      </c>
      <c r="B17" s="22" t="s">
        <v>115</v>
      </c>
      <c r="C17" s="22" t="s">
        <v>51</v>
      </c>
      <c r="D17" s="22" t="s">
        <v>55</v>
      </c>
      <c r="E17" s="22" t="s">
        <v>108</v>
      </c>
      <c r="F17" s="22" t="s">
        <v>235</v>
      </c>
      <c r="G17" s="22" t="s">
        <v>126</v>
      </c>
      <c r="H17" s="22" t="s">
        <v>157</v>
      </c>
      <c r="I17" s="22" t="s">
        <v>109</v>
      </c>
      <c r="J17" s="22" t="s">
        <v>181</v>
      </c>
      <c r="K17" s="22" t="s">
        <v>586</v>
      </c>
      <c r="L17" s="22" t="s">
        <v>103</v>
      </c>
      <c r="M17" s="22" t="s">
        <v>55</v>
      </c>
      <c r="N17" s="22" t="s">
        <v>55</v>
      </c>
      <c r="O17" s="22" t="s">
        <v>236</v>
      </c>
      <c r="P17" s="22" t="s">
        <v>237</v>
      </c>
      <c r="Q17" s="22" t="s">
        <v>238</v>
      </c>
      <c r="R17" s="22" t="s">
        <v>63</v>
      </c>
      <c r="S17" s="22" t="s">
        <v>239</v>
      </c>
      <c r="T17" s="22" t="s">
        <v>240</v>
      </c>
      <c r="U17" s="22" t="s">
        <v>63</v>
      </c>
      <c r="V17" s="23">
        <v>46022</v>
      </c>
      <c r="W17" s="22" t="s">
        <v>55</v>
      </c>
      <c r="X17" s="22" t="s">
        <v>241</v>
      </c>
      <c r="Y17" s="22" t="s">
        <v>65</v>
      </c>
      <c r="Z17" s="22" t="s">
        <v>55</v>
      </c>
      <c r="AA17" s="22" t="s">
        <v>221</v>
      </c>
      <c r="AB17" s="22" t="s">
        <v>181</v>
      </c>
      <c r="AC17" s="22" t="s">
        <v>55</v>
      </c>
      <c r="AD17" s="22" t="s">
        <v>67</v>
      </c>
      <c r="AE17" s="22" t="s">
        <v>171</v>
      </c>
      <c r="AF17" s="22" t="s">
        <v>55</v>
      </c>
      <c r="AG17" s="22" t="s">
        <v>55</v>
      </c>
      <c r="AH17" s="22" t="s">
        <v>55</v>
      </c>
      <c r="AI17" s="22" t="s">
        <v>55</v>
      </c>
      <c r="AJ17" s="22" t="s">
        <v>55</v>
      </c>
      <c r="AK17" s="22" t="s">
        <v>55</v>
      </c>
      <c r="AL17" s="22" t="s">
        <v>55</v>
      </c>
      <c r="AM17" s="22" t="s">
        <v>55</v>
      </c>
      <c r="AN17" s="22" t="s">
        <v>55</v>
      </c>
      <c r="AO17" s="22" t="s">
        <v>55</v>
      </c>
      <c r="AP17" s="22" t="s">
        <v>55</v>
      </c>
      <c r="AQ17" s="22" t="s">
        <v>55</v>
      </c>
      <c r="AR17" s="22" t="s">
        <v>55</v>
      </c>
      <c r="AS17" s="22" t="s">
        <v>55</v>
      </c>
      <c r="AT17" s="22" t="s">
        <v>55</v>
      </c>
      <c r="AU17" s="22" t="s">
        <v>55</v>
      </c>
      <c r="AV17" s="22" t="s">
        <v>55</v>
      </c>
      <c r="AW17" s="23">
        <v>45571</v>
      </c>
      <c r="AX17" s="23">
        <v>45798</v>
      </c>
      <c r="AY17" s="22" t="s">
        <v>183</v>
      </c>
    </row>
    <row r="18" spans="1:51" ht="174" x14ac:dyDescent="0.35">
      <c r="A18" s="22" t="s">
        <v>244</v>
      </c>
      <c r="B18" s="22" t="s">
        <v>115</v>
      </c>
      <c r="C18" s="22" t="s">
        <v>51</v>
      </c>
      <c r="D18" s="22" t="s">
        <v>55</v>
      </c>
      <c r="E18" s="22" t="s">
        <v>108</v>
      </c>
      <c r="F18" s="22" t="s">
        <v>245</v>
      </c>
      <c r="G18" s="22" t="s">
        <v>126</v>
      </c>
      <c r="H18" s="22" t="s">
        <v>157</v>
      </c>
      <c r="I18" s="22" t="s">
        <v>109</v>
      </c>
      <c r="J18" s="22" t="s">
        <v>181</v>
      </c>
      <c r="K18" s="22" t="s">
        <v>586</v>
      </c>
      <c r="L18" s="22" t="s">
        <v>103</v>
      </c>
      <c r="M18" s="22" t="s">
        <v>55</v>
      </c>
      <c r="N18" s="22" t="s">
        <v>55</v>
      </c>
      <c r="O18" s="22" t="s">
        <v>246</v>
      </c>
      <c r="P18" s="22" t="s">
        <v>247</v>
      </c>
      <c r="Q18" s="22" t="s">
        <v>248</v>
      </c>
      <c r="R18" s="22" t="s">
        <v>63</v>
      </c>
      <c r="S18" s="22" t="s">
        <v>249</v>
      </c>
      <c r="T18" s="22" t="s">
        <v>250</v>
      </c>
      <c r="U18" s="22" t="s">
        <v>63</v>
      </c>
      <c r="V18" s="23">
        <v>46022</v>
      </c>
      <c r="W18" s="22" t="s">
        <v>55</v>
      </c>
      <c r="X18" s="22" t="s">
        <v>251</v>
      </c>
      <c r="Y18" s="22" t="s">
        <v>65</v>
      </c>
      <c r="Z18" s="22" t="s">
        <v>55</v>
      </c>
      <c r="AA18" s="22" t="s">
        <v>221</v>
      </c>
      <c r="AB18" s="22" t="s">
        <v>367</v>
      </c>
      <c r="AC18" s="22" t="s">
        <v>55</v>
      </c>
      <c r="AD18" s="22" t="s">
        <v>67</v>
      </c>
      <c r="AE18" s="22" t="s">
        <v>171</v>
      </c>
      <c r="AF18" s="22" t="s">
        <v>55</v>
      </c>
      <c r="AG18" s="22" t="s">
        <v>55</v>
      </c>
      <c r="AH18" s="22" t="s">
        <v>55</v>
      </c>
      <c r="AI18" s="22" t="s">
        <v>55</v>
      </c>
      <c r="AJ18" s="22" t="s">
        <v>55</v>
      </c>
      <c r="AK18" s="22" t="s">
        <v>55</v>
      </c>
      <c r="AL18" s="22" t="s">
        <v>55</v>
      </c>
      <c r="AM18" s="22" t="s">
        <v>55</v>
      </c>
      <c r="AN18" s="22" t="s">
        <v>55</v>
      </c>
      <c r="AO18" s="22" t="s">
        <v>55</v>
      </c>
      <c r="AP18" s="22" t="s">
        <v>55</v>
      </c>
      <c r="AQ18" s="22" t="s">
        <v>55</v>
      </c>
      <c r="AR18" s="22" t="s">
        <v>55</v>
      </c>
      <c r="AS18" s="22" t="s">
        <v>55</v>
      </c>
      <c r="AT18" s="22" t="s">
        <v>55</v>
      </c>
      <c r="AU18" s="22" t="s">
        <v>55</v>
      </c>
      <c r="AV18" s="22" t="s">
        <v>55</v>
      </c>
      <c r="AW18" s="23">
        <v>45544</v>
      </c>
      <c r="AX18" s="23">
        <v>45798</v>
      </c>
      <c r="AY18" s="22" t="s">
        <v>183</v>
      </c>
    </row>
    <row r="19" spans="1:51" ht="130.5" x14ac:dyDescent="0.35">
      <c r="A19" s="22" t="s">
        <v>259</v>
      </c>
      <c r="B19" s="22" t="s">
        <v>115</v>
      </c>
      <c r="C19" s="22" t="s">
        <v>51</v>
      </c>
      <c r="D19" s="22" t="s">
        <v>55</v>
      </c>
      <c r="E19" s="22" t="s">
        <v>52</v>
      </c>
      <c r="F19" s="22" t="s">
        <v>254</v>
      </c>
      <c r="G19" s="22" t="s">
        <v>126</v>
      </c>
      <c r="H19" s="22" t="s">
        <v>127</v>
      </c>
      <c r="I19" s="22" t="s">
        <v>361</v>
      </c>
      <c r="J19" s="22" t="s">
        <v>260</v>
      </c>
      <c r="K19" s="22" t="s">
        <v>591</v>
      </c>
      <c r="L19" s="22" t="s">
        <v>103</v>
      </c>
      <c r="M19" s="22" t="s">
        <v>158</v>
      </c>
      <c r="N19" s="22" t="s">
        <v>55</v>
      </c>
      <c r="O19" s="22" t="s">
        <v>255</v>
      </c>
      <c r="P19" s="22" t="s">
        <v>261</v>
      </c>
      <c r="Q19" s="22" t="s">
        <v>262</v>
      </c>
      <c r="R19" s="22" t="s">
        <v>63</v>
      </c>
      <c r="S19" s="22" t="s">
        <v>263</v>
      </c>
      <c r="T19" s="22" t="s">
        <v>264</v>
      </c>
      <c r="U19" s="22" t="s">
        <v>63</v>
      </c>
      <c r="V19" s="23">
        <v>45930</v>
      </c>
      <c r="W19" s="22" t="s">
        <v>366</v>
      </c>
      <c r="X19" s="22" t="s">
        <v>256</v>
      </c>
      <c r="Y19" s="22" t="s">
        <v>65</v>
      </c>
      <c r="Z19" s="22" t="s">
        <v>55</v>
      </c>
      <c r="AA19" s="22" t="s">
        <v>66</v>
      </c>
      <c r="AB19" s="22" t="s">
        <v>181</v>
      </c>
      <c r="AC19" s="22" t="s">
        <v>55</v>
      </c>
      <c r="AD19" s="22" t="s">
        <v>67</v>
      </c>
      <c r="AE19" s="22" t="s">
        <v>257</v>
      </c>
      <c r="AF19" s="22" t="s">
        <v>69</v>
      </c>
      <c r="AG19" s="22" t="s">
        <v>55</v>
      </c>
      <c r="AH19" s="22" t="s">
        <v>55</v>
      </c>
      <c r="AI19" s="22" t="s">
        <v>55</v>
      </c>
      <c r="AJ19" s="22" t="s">
        <v>55</v>
      </c>
      <c r="AK19" s="22" t="s">
        <v>55</v>
      </c>
      <c r="AL19" s="22" t="s">
        <v>55</v>
      </c>
      <c r="AM19" s="22" t="s">
        <v>55</v>
      </c>
      <c r="AN19" s="22" t="s">
        <v>55</v>
      </c>
      <c r="AO19" s="22" t="s">
        <v>55</v>
      </c>
      <c r="AP19" s="22" t="s">
        <v>55</v>
      </c>
      <c r="AQ19" s="22" t="s">
        <v>55</v>
      </c>
      <c r="AR19" s="22" t="s">
        <v>55</v>
      </c>
      <c r="AS19" s="22" t="s">
        <v>55</v>
      </c>
      <c r="AT19" s="22" t="s">
        <v>55</v>
      </c>
      <c r="AU19" s="22" t="s">
        <v>55</v>
      </c>
      <c r="AV19" s="22" t="s">
        <v>55</v>
      </c>
      <c r="AW19" s="23">
        <v>45579</v>
      </c>
      <c r="AX19" s="23">
        <v>45792</v>
      </c>
      <c r="AY19" s="22" t="s">
        <v>183</v>
      </c>
    </row>
    <row r="20" spans="1:51" ht="101.5" x14ac:dyDescent="0.35">
      <c r="A20" s="22" t="s">
        <v>265</v>
      </c>
      <c r="B20" s="22" t="s">
        <v>115</v>
      </c>
      <c r="C20" s="22" t="s">
        <v>51</v>
      </c>
      <c r="D20" s="22" t="s">
        <v>55</v>
      </c>
      <c r="E20" s="22" t="s">
        <v>52</v>
      </c>
      <c r="F20" s="22" t="s">
        <v>266</v>
      </c>
      <c r="G20" s="22" t="s">
        <v>54</v>
      </c>
      <c r="H20" s="22" t="s">
        <v>1711</v>
      </c>
      <c r="I20" s="22" t="s">
        <v>101</v>
      </c>
      <c r="J20" s="22" t="s">
        <v>267</v>
      </c>
      <c r="K20" s="22" t="s">
        <v>561</v>
      </c>
      <c r="L20" s="22" t="s">
        <v>103</v>
      </c>
      <c r="M20" s="22" t="s">
        <v>139</v>
      </c>
      <c r="N20" s="22" t="s">
        <v>55</v>
      </c>
      <c r="O20" s="22" t="s">
        <v>268</v>
      </c>
      <c r="P20" s="22" t="s">
        <v>269</v>
      </c>
      <c r="Q20" s="22" t="s">
        <v>270</v>
      </c>
      <c r="R20" s="22" t="s">
        <v>63</v>
      </c>
      <c r="S20" s="22" t="s">
        <v>271</v>
      </c>
      <c r="T20" s="22" t="s">
        <v>272</v>
      </c>
      <c r="U20" s="22" t="s">
        <v>132</v>
      </c>
      <c r="V20" s="23">
        <v>45838</v>
      </c>
      <c r="W20" s="22" t="s">
        <v>55</v>
      </c>
      <c r="X20" s="22" t="s">
        <v>273</v>
      </c>
      <c r="Y20" s="22" t="s">
        <v>65</v>
      </c>
      <c r="Z20" s="22" t="s">
        <v>55</v>
      </c>
      <c r="AA20" s="22" t="s">
        <v>66</v>
      </c>
      <c r="AB20" s="22" t="s">
        <v>181</v>
      </c>
      <c r="AC20" s="22" t="s">
        <v>55</v>
      </c>
      <c r="AD20" s="22" t="s">
        <v>67</v>
      </c>
      <c r="AE20" s="22" t="s">
        <v>257</v>
      </c>
      <c r="AF20" s="22" t="s">
        <v>98</v>
      </c>
      <c r="AG20" s="22" t="s">
        <v>55</v>
      </c>
      <c r="AH20" s="22" t="s">
        <v>55</v>
      </c>
      <c r="AI20" s="22" t="s">
        <v>55</v>
      </c>
      <c r="AJ20" s="22" t="s">
        <v>55</v>
      </c>
      <c r="AK20" s="22" t="s">
        <v>55</v>
      </c>
      <c r="AL20" s="22" t="s">
        <v>55</v>
      </c>
      <c r="AM20" s="22" t="s">
        <v>55</v>
      </c>
      <c r="AN20" s="22" t="s">
        <v>55</v>
      </c>
      <c r="AO20" s="22" t="s">
        <v>55</v>
      </c>
      <c r="AP20" s="22" t="s">
        <v>55</v>
      </c>
      <c r="AQ20" s="22" t="s">
        <v>55</v>
      </c>
      <c r="AR20" s="22" t="s">
        <v>55</v>
      </c>
      <c r="AS20" s="22" t="s">
        <v>55</v>
      </c>
      <c r="AT20" s="22" t="s">
        <v>55</v>
      </c>
      <c r="AU20" s="22" t="s">
        <v>55</v>
      </c>
      <c r="AV20" s="22" t="s">
        <v>55</v>
      </c>
      <c r="AW20" s="23">
        <v>45481</v>
      </c>
      <c r="AX20" s="23">
        <v>45792</v>
      </c>
      <c r="AY20" s="22" t="s">
        <v>183</v>
      </c>
    </row>
    <row r="21" spans="1:51" ht="188.5" x14ac:dyDescent="0.35">
      <c r="A21" s="22" t="s">
        <v>274</v>
      </c>
      <c r="B21" s="22" t="s">
        <v>115</v>
      </c>
      <c r="C21" s="22" t="s">
        <v>51</v>
      </c>
      <c r="D21" s="22" t="s">
        <v>55</v>
      </c>
      <c r="E21" s="22" t="s">
        <v>52</v>
      </c>
      <c r="F21" s="22" t="s">
        <v>266</v>
      </c>
      <c r="G21" s="22" t="s">
        <v>54</v>
      </c>
      <c r="H21" s="22" t="s">
        <v>1711</v>
      </c>
      <c r="I21" s="22" t="s">
        <v>119</v>
      </c>
      <c r="J21" s="22" t="s">
        <v>275</v>
      </c>
      <c r="K21" s="22" t="s">
        <v>592</v>
      </c>
      <c r="L21" s="22" t="s">
        <v>103</v>
      </c>
      <c r="M21" s="22" t="s">
        <v>99</v>
      </c>
      <c r="N21" s="22" t="s">
        <v>55</v>
      </c>
      <c r="O21" s="22" t="s">
        <v>268</v>
      </c>
      <c r="P21" s="22" t="s">
        <v>276</v>
      </c>
      <c r="Q21" s="22" t="s">
        <v>277</v>
      </c>
      <c r="R21" s="22" t="s">
        <v>63</v>
      </c>
      <c r="S21" s="22" t="s">
        <v>278</v>
      </c>
      <c r="T21" s="22" t="s">
        <v>279</v>
      </c>
      <c r="U21" s="22" t="s">
        <v>63</v>
      </c>
      <c r="V21" s="23">
        <v>45838</v>
      </c>
      <c r="W21" s="22" t="s">
        <v>55</v>
      </c>
      <c r="X21" s="22" t="s">
        <v>280</v>
      </c>
      <c r="Y21" s="22" t="s">
        <v>65</v>
      </c>
      <c r="Z21" s="22" t="s">
        <v>55</v>
      </c>
      <c r="AA21" s="22" t="s">
        <v>66</v>
      </c>
      <c r="AB21" s="22" t="s">
        <v>181</v>
      </c>
      <c r="AC21" s="22" t="s">
        <v>55</v>
      </c>
      <c r="AD21" s="22" t="s">
        <v>67</v>
      </c>
      <c r="AE21" s="22" t="s">
        <v>257</v>
      </c>
      <c r="AF21" s="22" t="s">
        <v>100</v>
      </c>
      <c r="AG21" s="22" t="s">
        <v>55</v>
      </c>
      <c r="AH21" s="22" t="s">
        <v>55</v>
      </c>
      <c r="AI21" s="22" t="s">
        <v>55</v>
      </c>
      <c r="AJ21" s="22" t="s">
        <v>55</v>
      </c>
      <c r="AK21" s="22" t="s">
        <v>55</v>
      </c>
      <c r="AL21" s="22" t="s">
        <v>55</v>
      </c>
      <c r="AM21" s="22" t="s">
        <v>55</v>
      </c>
      <c r="AN21" s="22" t="s">
        <v>55</v>
      </c>
      <c r="AO21" s="22" t="s">
        <v>55</v>
      </c>
      <c r="AP21" s="22" t="s">
        <v>55</v>
      </c>
      <c r="AQ21" s="22" t="s">
        <v>55</v>
      </c>
      <c r="AR21" s="22" t="s">
        <v>55</v>
      </c>
      <c r="AS21" s="22" t="s">
        <v>55</v>
      </c>
      <c r="AT21" s="22" t="s">
        <v>55</v>
      </c>
      <c r="AU21" s="22" t="s">
        <v>55</v>
      </c>
      <c r="AV21" s="22" t="s">
        <v>55</v>
      </c>
      <c r="AW21" s="23">
        <v>45481</v>
      </c>
      <c r="AX21" s="23">
        <v>45792</v>
      </c>
      <c r="AY21" s="22" t="s">
        <v>183</v>
      </c>
    </row>
    <row r="22" spans="1:51" ht="188.5" x14ac:dyDescent="0.35">
      <c r="A22" s="22" t="s">
        <v>284</v>
      </c>
      <c r="B22" s="22" t="s">
        <v>115</v>
      </c>
      <c r="C22" s="22" t="s">
        <v>51</v>
      </c>
      <c r="D22" s="22" t="s">
        <v>55</v>
      </c>
      <c r="E22" s="22" t="s">
        <v>52</v>
      </c>
      <c r="F22" s="22" t="s">
        <v>282</v>
      </c>
      <c r="G22" s="22" t="s">
        <v>126</v>
      </c>
      <c r="H22" s="22" t="s">
        <v>138</v>
      </c>
      <c r="I22" s="22" t="s">
        <v>56</v>
      </c>
      <c r="J22" s="22" t="s">
        <v>285</v>
      </c>
      <c r="K22" s="22" t="s">
        <v>572</v>
      </c>
      <c r="L22" s="22" t="s">
        <v>103</v>
      </c>
      <c r="M22" s="22" t="s">
        <v>252</v>
      </c>
      <c r="N22" s="22" t="s">
        <v>55</v>
      </c>
      <c r="O22" s="22" t="s">
        <v>283</v>
      </c>
      <c r="P22" s="22" t="s">
        <v>286</v>
      </c>
      <c r="Q22" s="22" t="s">
        <v>287</v>
      </c>
      <c r="R22" s="22" t="s">
        <v>55</v>
      </c>
      <c r="S22" s="22" t="s">
        <v>288</v>
      </c>
      <c r="T22" s="22" t="s">
        <v>289</v>
      </c>
      <c r="U22" s="22" t="s">
        <v>55</v>
      </c>
      <c r="V22" s="23">
        <v>45930</v>
      </c>
      <c r="W22" s="22" t="s">
        <v>366</v>
      </c>
      <c r="X22" s="22" t="s">
        <v>290</v>
      </c>
      <c r="Y22" s="22" t="s">
        <v>65</v>
      </c>
      <c r="Z22" s="22" t="s">
        <v>55</v>
      </c>
      <c r="AA22" s="22" t="s">
        <v>66</v>
      </c>
      <c r="AB22" s="22" t="s">
        <v>862</v>
      </c>
      <c r="AC22" s="22" t="s">
        <v>55</v>
      </c>
      <c r="AD22" s="22" t="s">
        <v>67</v>
      </c>
      <c r="AE22" s="22" t="s">
        <v>257</v>
      </c>
      <c r="AF22" s="22" t="s">
        <v>98</v>
      </c>
      <c r="AG22" s="22" t="s">
        <v>55</v>
      </c>
      <c r="AH22" s="22" t="s">
        <v>55</v>
      </c>
      <c r="AI22" s="22" t="s">
        <v>55</v>
      </c>
      <c r="AJ22" s="22" t="s">
        <v>55</v>
      </c>
      <c r="AK22" s="22" t="s">
        <v>55</v>
      </c>
      <c r="AL22" s="22" t="s">
        <v>55</v>
      </c>
      <c r="AM22" s="22" t="s">
        <v>55</v>
      </c>
      <c r="AN22" s="22" t="s">
        <v>55</v>
      </c>
      <c r="AO22" s="22" t="s">
        <v>55</v>
      </c>
      <c r="AP22" s="22" t="s">
        <v>55</v>
      </c>
      <c r="AQ22" s="22" t="s">
        <v>55</v>
      </c>
      <c r="AR22" s="22" t="s">
        <v>55</v>
      </c>
      <c r="AS22" s="22" t="s">
        <v>55</v>
      </c>
      <c r="AT22" s="22" t="s">
        <v>55</v>
      </c>
      <c r="AU22" s="22" t="s">
        <v>55</v>
      </c>
      <c r="AV22" s="22" t="s">
        <v>55</v>
      </c>
      <c r="AW22" s="23">
        <v>45544</v>
      </c>
      <c r="AX22" s="23">
        <v>45792</v>
      </c>
      <c r="AY22" s="22" t="s">
        <v>183</v>
      </c>
    </row>
    <row r="23" spans="1:51" ht="130.5" x14ac:dyDescent="0.35">
      <c r="A23" s="22" t="s">
        <v>291</v>
      </c>
      <c r="B23" s="22" t="s">
        <v>115</v>
      </c>
      <c r="C23" s="22" t="s">
        <v>51</v>
      </c>
      <c r="D23" s="22" t="s">
        <v>55</v>
      </c>
      <c r="E23" s="22" t="s">
        <v>52</v>
      </c>
      <c r="F23" s="22" t="s">
        <v>282</v>
      </c>
      <c r="G23" s="22" t="s">
        <v>126</v>
      </c>
      <c r="H23" s="22" t="s">
        <v>138</v>
      </c>
      <c r="I23" s="22" t="s">
        <v>362</v>
      </c>
      <c r="J23" s="22" t="s">
        <v>292</v>
      </c>
      <c r="K23" s="22" t="s">
        <v>593</v>
      </c>
      <c r="L23" s="22" t="s">
        <v>103</v>
      </c>
      <c r="M23" s="22" t="s">
        <v>55</v>
      </c>
      <c r="N23" s="22" t="s">
        <v>55</v>
      </c>
      <c r="O23" s="22" t="s">
        <v>283</v>
      </c>
      <c r="P23" s="22" t="s">
        <v>293</v>
      </c>
      <c r="Q23" s="22" t="s">
        <v>294</v>
      </c>
      <c r="R23" s="22" t="s">
        <v>55</v>
      </c>
      <c r="S23" s="22" t="s">
        <v>295</v>
      </c>
      <c r="T23" s="22" t="s">
        <v>296</v>
      </c>
      <c r="U23" s="22" t="s">
        <v>55</v>
      </c>
      <c r="V23" s="23">
        <v>45930</v>
      </c>
      <c r="W23" s="22" t="s">
        <v>366</v>
      </c>
      <c r="X23" s="22" t="s">
        <v>297</v>
      </c>
      <c r="Y23" s="22" t="s">
        <v>65</v>
      </c>
      <c r="Z23" s="22" t="s">
        <v>55</v>
      </c>
      <c r="AA23" s="22" t="s">
        <v>66</v>
      </c>
      <c r="AB23" s="22" t="s">
        <v>863</v>
      </c>
      <c r="AC23" s="22" t="s">
        <v>55</v>
      </c>
      <c r="AD23" s="22" t="s">
        <v>67</v>
      </c>
      <c r="AE23" s="22" t="s">
        <v>257</v>
      </c>
      <c r="AF23" s="22" t="s">
        <v>55</v>
      </c>
      <c r="AG23" s="22" t="s">
        <v>55</v>
      </c>
      <c r="AH23" s="22" t="s">
        <v>55</v>
      </c>
      <c r="AI23" s="22" t="s">
        <v>55</v>
      </c>
      <c r="AJ23" s="22" t="s">
        <v>55</v>
      </c>
      <c r="AK23" s="22" t="s">
        <v>55</v>
      </c>
      <c r="AL23" s="22" t="s">
        <v>55</v>
      </c>
      <c r="AM23" s="22" t="s">
        <v>55</v>
      </c>
      <c r="AN23" s="22" t="s">
        <v>55</v>
      </c>
      <c r="AO23" s="22" t="s">
        <v>55</v>
      </c>
      <c r="AP23" s="22" t="s">
        <v>55</v>
      </c>
      <c r="AQ23" s="22" t="s">
        <v>55</v>
      </c>
      <c r="AR23" s="22" t="s">
        <v>55</v>
      </c>
      <c r="AS23" s="22" t="s">
        <v>55</v>
      </c>
      <c r="AT23" s="22" t="s">
        <v>55</v>
      </c>
      <c r="AU23" s="22" t="s">
        <v>55</v>
      </c>
      <c r="AV23" s="22" t="s">
        <v>55</v>
      </c>
      <c r="AW23" s="23">
        <v>45544</v>
      </c>
      <c r="AX23" s="23">
        <v>45792</v>
      </c>
      <c r="AY23" s="22" t="s">
        <v>183</v>
      </c>
    </row>
    <row r="24" spans="1:51" ht="101.5" x14ac:dyDescent="0.35">
      <c r="A24" s="22" t="s">
        <v>379</v>
      </c>
      <c r="B24" s="22" t="s">
        <v>347</v>
      </c>
      <c r="C24" s="22" t="s">
        <v>368</v>
      </c>
      <c r="D24" s="22" t="s">
        <v>369</v>
      </c>
      <c r="E24" s="22" t="s">
        <v>108</v>
      </c>
      <c r="F24" s="22" t="s">
        <v>370</v>
      </c>
      <c r="G24" s="22" t="s">
        <v>371</v>
      </c>
      <c r="H24" s="22" t="s">
        <v>372</v>
      </c>
      <c r="I24" s="22" t="s">
        <v>160</v>
      </c>
      <c r="J24" s="22" t="s">
        <v>373</v>
      </c>
      <c r="K24" s="22" t="s">
        <v>593</v>
      </c>
      <c r="L24" s="22" t="s">
        <v>103</v>
      </c>
      <c r="M24" s="22" t="s">
        <v>55</v>
      </c>
      <c r="N24" s="22" t="s">
        <v>55</v>
      </c>
      <c r="O24" s="22" t="s">
        <v>374</v>
      </c>
      <c r="P24" s="22" t="s">
        <v>378</v>
      </c>
      <c r="Q24" s="22" t="s">
        <v>380</v>
      </c>
      <c r="R24" s="22" t="s">
        <v>63</v>
      </c>
      <c r="S24" s="22" t="s">
        <v>381</v>
      </c>
      <c r="T24" s="22" t="s">
        <v>382</v>
      </c>
      <c r="U24" s="22" t="s">
        <v>132</v>
      </c>
      <c r="V24" s="23">
        <v>45900</v>
      </c>
      <c r="W24" s="22" t="s">
        <v>55</v>
      </c>
      <c r="X24" s="22" t="s">
        <v>376</v>
      </c>
      <c r="Y24" s="22" t="s">
        <v>65</v>
      </c>
      <c r="Z24" s="22" t="s">
        <v>55</v>
      </c>
      <c r="AA24" s="22" t="s">
        <v>66</v>
      </c>
      <c r="AB24" s="22" t="s">
        <v>383</v>
      </c>
      <c r="AC24" s="22" t="s">
        <v>55</v>
      </c>
      <c r="AD24" s="22" t="s">
        <v>67</v>
      </c>
      <c r="AE24" s="22" t="s">
        <v>257</v>
      </c>
      <c r="AF24" s="22" t="s">
        <v>55</v>
      </c>
      <c r="AG24" s="22" t="s">
        <v>55</v>
      </c>
      <c r="AH24" s="22" t="s">
        <v>55</v>
      </c>
      <c r="AI24" s="22" t="s">
        <v>55</v>
      </c>
      <c r="AJ24" s="22" t="s">
        <v>55</v>
      </c>
      <c r="AK24" s="22" t="s">
        <v>55</v>
      </c>
      <c r="AL24" s="22" t="s">
        <v>55</v>
      </c>
      <c r="AM24" s="22" t="s">
        <v>55</v>
      </c>
      <c r="AN24" s="22" t="s">
        <v>55</v>
      </c>
      <c r="AO24" s="22" t="s">
        <v>55</v>
      </c>
      <c r="AP24" s="22" t="s">
        <v>55</v>
      </c>
      <c r="AQ24" s="22" t="s">
        <v>55</v>
      </c>
      <c r="AR24" s="22" t="s">
        <v>55</v>
      </c>
      <c r="AS24" s="22" t="s">
        <v>55</v>
      </c>
      <c r="AT24" s="22" t="s">
        <v>55</v>
      </c>
      <c r="AU24" s="22" t="s">
        <v>55</v>
      </c>
      <c r="AV24" s="22" t="s">
        <v>55</v>
      </c>
      <c r="AW24" s="23">
        <v>45677</v>
      </c>
      <c r="AX24" s="23">
        <v>45677</v>
      </c>
      <c r="AY24" s="22" t="s">
        <v>377</v>
      </c>
    </row>
    <row r="25" spans="1:51" ht="43.5" x14ac:dyDescent="0.35">
      <c r="A25" s="22" t="s">
        <v>384</v>
      </c>
      <c r="B25" s="22" t="s">
        <v>347</v>
      </c>
      <c r="C25" s="22" t="s">
        <v>368</v>
      </c>
      <c r="D25" s="22" t="s">
        <v>369</v>
      </c>
      <c r="E25" s="22" t="s">
        <v>52</v>
      </c>
      <c r="F25" s="22" t="s">
        <v>370</v>
      </c>
      <c r="G25" s="22" t="s">
        <v>371</v>
      </c>
      <c r="H25" s="22" t="s">
        <v>372</v>
      </c>
      <c r="I25" s="22" t="s">
        <v>160</v>
      </c>
      <c r="J25" s="22" t="s">
        <v>373</v>
      </c>
      <c r="K25" s="22" t="s">
        <v>563</v>
      </c>
      <c r="L25" s="22" t="s">
        <v>57</v>
      </c>
      <c r="M25" s="22" t="s">
        <v>385</v>
      </c>
      <c r="N25" s="22" t="s">
        <v>55</v>
      </c>
      <c r="O25" s="22" t="s">
        <v>374</v>
      </c>
      <c r="P25" s="22" t="s">
        <v>386</v>
      </c>
      <c r="Q25" s="22" t="s">
        <v>387</v>
      </c>
      <c r="R25" s="22" t="s">
        <v>63</v>
      </c>
      <c r="S25" s="22" t="s">
        <v>388</v>
      </c>
      <c r="T25" s="22" t="s">
        <v>389</v>
      </c>
      <c r="U25" s="22" t="s">
        <v>63</v>
      </c>
      <c r="V25" s="23">
        <v>45900</v>
      </c>
      <c r="W25" s="22" t="s">
        <v>55</v>
      </c>
      <c r="X25" s="22" t="s">
        <v>376</v>
      </c>
      <c r="Y25" s="22" t="s">
        <v>65</v>
      </c>
      <c r="Z25" s="22" t="s">
        <v>55</v>
      </c>
      <c r="AA25" s="22" t="s">
        <v>66</v>
      </c>
      <c r="AB25" s="22" t="s">
        <v>390</v>
      </c>
      <c r="AC25" s="22" t="s">
        <v>55</v>
      </c>
      <c r="AD25" s="22" t="s">
        <v>67</v>
      </c>
      <c r="AE25" s="22" t="s">
        <v>257</v>
      </c>
      <c r="AF25" s="22" t="s">
        <v>391</v>
      </c>
      <c r="AG25" s="22" t="s">
        <v>55</v>
      </c>
      <c r="AH25" s="22" t="s">
        <v>55</v>
      </c>
      <c r="AI25" s="22" t="s">
        <v>55</v>
      </c>
      <c r="AJ25" s="22" t="s">
        <v>55</v>
      </c>
      <c r="AK25" s="22" t="s">
        <v>55</v>
      </c>
      <c r="AL25" s="22" t="s">
        <v>55</v>
      </c>
      <c r="AM25" s="22" t="s">
        <v>55</v>
      </c>
      <c r="AN25" s="22" t="s">
        <v>55</v>
      </c>
      <c r="AO25" s="22" t="s">
        <v>55</v>
      </c>
      <c r="AP25" s="22" t="s">
        <v>55</v>
      </c>
      <c r="AQ25" s="22" t="s">
        <v>55</v>
      </c>
      <c r="AR25" s="22" t="s">
        <v>55</v>
      </c>
      <c r="AS25" s="22" t="s">
        <v>55</v>
      </c>
      <c r="AT25" s="22" t="s">
        <v>55</v>
      </c>
      <c r="AU25" s="22" t="s">
        <v>55</v>
      </c>
      <c r="AV25" s="22" t="s">
        <v>55</v>
      </c>
      <c r="AW25" s="23">
        <v>45660</v>
      </c>
      <c r="AX25" s="23">
        <v>45660</v>
      </c>
      <c r="AY25" s="22" t="s">
        <v>377</v>
      </c>
    </row>
    <row r="26" spans="1:51" ht="43.5" x14ac:dyDescent="0.35">
      <c r="A26" s="22" t="s">
        <v>392</v>
      </c>
      <c r="B26" s="22" t="s">
        <v>347</v>
      </c>
      <c r="C26" s="22" t="s">
        <v>368</v>
      </c>
      <c r="D26" s="22" t="s">
        <v>369</v>
      </c>
      <c r="E26" s="22" t="s">
        <v>108</v>
      </c>
      <c r="F26" s="22" t="s">
        <v>370</v>
      </c>
      <c r="G26" s="22" t="s">
        <v>371</v>
      </c>
      <c r="H26" s="22" t="s">
        <v>372</v>
      </c>
      <c r="I26" s="22" t="s">
        <v>160</v>
      </c>
      <c r="J26" s="22" t="s">
        <v>393</v>
      </c>
      <c r="K26" s="22" t="s">
        <v>584</v>
      </c>
      <c r="L26" s="22" t="s">
        <v>57</v>
      </c>
      <c r="M26" s="22" t="s">
        <v>55</v>
      </c>
      <c r="N26" s="22" t="s">
        <v>55</v>
      </c>
      <c r="O26" s="22" t="s">
        <v>374</v>
      </c>
      <c r="P26" s="22" t="s">
        <v>394</v>
      </c>
      <c r="Q26" s="22" t="s">
        <v>395</v>
      </c>
      <c r="R26" s="22" t="s">
        <v>63</v>
      </c>
      <c r="S26" s="22" t="s">
        <v>396</v>
      </c>
      <c r="T26" s="22" t="s">
        <v>397</v>
      </c>
      <c r="U26" s="22" t="s">
        <v>132</v>
      </c>
      <c r="V26" s="23">
        <v>45900</v>
      </c>
      <c r="W26" s="22" t="s">
        <v>55</v>
      </c>
      <c r="X26" s="22" t="s">
        <v>376</v>
      </c>
      <c r="Y26" s="22" t="s">
        <v>65</v>
      </c>
      <c r="Z26" s="22" t="s">
        <v>55</v>
      </c>
      <c r="AA26" s="22" t="s">
        <v>66</v>
      </c>
      <c r="AB26" s="22" t="s">
        <v>118</v>
      </c>
      <c r="AC26" s="22" t="s">
        <v>55</v>
      </c>
      <c r="AD26" s="22" t="s">
        <v>67</v>
      </c>
      <c r="AE26" s="22" t="s">
        <v>257</v>
      </c>
      <c r="AF26" s="22" t="s">
        <v>55</v>
      </c>
      <c r="AG26" s="22" t="s">
        <v>55</v>
      </c>
      <c r="AH26" s="22" t="s">
        <v>55</v>
      </c>
      <c r="AI26" s="22" t="s">
        <v>55</v>
      </c>
      <c r="AJ26" s="22" t="s">
        <v>55</v>
      </c>
      <c r="AK26" s="22" t="s">
        <v>55</v>
      </c>
      <c r="AL26" s="22" t="s">
        <v>55</v>
      </c>
      <c r="AM26" s="22" t="s">
        <v>55</v>
      </c>
      <c r="AN26" s="22" t="s">
        <v>55</v>
      </c>
      <c r="AO26" s="22" t="s">
        <v>55</v>
      </c>
      <c r="AP26" s="22" t="s">
        <v>55</v>
      </c>
      <c r="AQ26" s="22" t="s">
        <v>55</v>
      </c>
      <c r="AR26" s="22" t="s">
        <v>55</v>
      </c>
      <c r="AS26" s="22" t="s">
        <v>55</v>
      </c>
      <c r="AT26" s="22" t="s">
        <v>55</v>
      </c>
      <c r="AU26" s="22" t="s">
        <v>55</v>
      </c>
      <c r="AV26" s="22" t="s">
        <v>55</v>
      </c>
      <c r="AW26" s="23">
        <v>45672</v>
      </c>
      <c r="AX26" s="23">
        <v>45672</v>
      </c>
      <c r="AY26" s="22" t="s">
        <v>377</v>
      </c>
    </row>
    <row r="27" spans="1:51" ht="116" x14ac:dyDescent="0.35">
      <c r="A27" s="22" t="s">
        <v>398</v>
      </c>
      <c r="B27" s="22" t="s">
        <v>347</v>
      </c>
      <c r="C27" s="22" t="s">
        <v>368</v>
      </c>
      <c r="D27" s="22" t="s">
        <v>369</v>
      </c>
      <c r="E27" s="22" t="s">
        <v>108</v>
      </c>
      <c r="F27" s="22" t="s">
        <v>370</v>
      </c>
      <c r="G27" s="22" t="s">
        <v>371</v>
      </c>
      <c r="H27" s="22" t="s">
        <v>372</v>
      </c>
      <c r="I27" s="22" t="s">
        <v>160</v>
      </c>
      <c r="J27" s="22" t="s">
        <v>393</v>
      </c>
      <c r="K27" s="22" t="s">
        <v>587</v>
      </c>
      <c r="L27" s="22" t="s">
        <v>57</v>
      </c>
      <c r="M27" s="22" t="s">
        <v>55</v>
      </c>
      <c r="N27" s="22" t="s">
        <v>55</v>
      </c>
      <c r="O27" s="22" t="s">
        <v>374</v>
      </c>
      <c r="P27" s="22" t="s">
        <v>399</v>
      </c>
      <c r="Q27" s="22" t="s">
        <v>400</v>
      </c>
      <c r="R27" s="22" t="s">
        <v>63</v>
      </c>
      <c r="S27" s="22" t="s">
        <v>401</v>
      </c>
      <c r="T27" s="22" t="s">
        <v>402</v>
      </c>
      <c r="U27" s="22" t="s">
        <v>132</v>
      </c>
      <c r="V27" s="23">
        <v>45900</v>
      </c>
      <c r="W27" s="22" t="s">
        <v>55</v>
      </c>
      <c r="X27" s="22" t="s">
        <v>376</v>
      </c>
      <c r="Y27" s="22" t="s">
        <v>65</v>
      </c>
      <c r="Z27" s="22" t="s">
        <v>55</v>
      </c>
      <c r="AA27" s="22" t="s">
        <v>66</v>
      </c>
      <c r="AB27" s="22" t="s">
        <v>118</v>
      </c>
      <c r="AC27" s="22" t="s">
        <v>55</v>
      </c>
      <c r="AD27" s="22" t="s">
        <v>67</v>
      </c>
      <c r="AE27" s="22" t="s">
        <v>257</v>
      </c>
      <c r="AF27" s="22" t="s">
        <v>55</v>
      </c>
      <c r="AG27" s="22" t="s">
        <v>55</v>
      </c>
      <c r="AH27" s="22" t="s">
        <v>55</v>
      </c>
      <c r="AI27" s="22" t="s">
        <v>55</v>
      </c>
      <c r="AJ27" s="22" t="s">
        <v>55</v>
      </c>
      <c r="AK27" s="22" t="s">
        <v>55</v>
      </c>
      <c r="AL27" s="22" t="s">
        <v>55</v>
      </c>
      <c r="AM27" s="22" t="s">
        <v>55</v>
      </c>
      <c r="AN27" s="22" t="s">
        <v>55</v>
      </c>
      <c r="AO27" s="22" t="s">
        <v>55</v>
      </c>
      <c r="AP27" s="22" t="s">
        <v>55</v>
      </c>
      <c r="AQ27" s="22" t="s">
        <v>55</v>
      </c>
      <c r="AR27" s="22" t="s">
        <v>55</v>
      </c>
      <c r="AS27" s="22" t="s">
        <v>55</v>
      </c>
      <c r="AT27" s="22" t="s">
        <v>55</v>
      </c>
      <c r="AU27" s="22" t="s">
        <v>55</v>
      </c>
      <c r="AV27" s="22" t="s">
        <v>55</v>
      </c>
      <c r="AW27" s="23">
        <v>45672</v>
      </c>
      <c r="AX27" s="23">
        <v>45672</v>
      </c>
      <c r="AY27" s="22" t="s">
        <v>377</v>
      </c>
    </row>
    <row r="28" spans="1:51" ht="58" x14ac:dyDescent="0.35">
      <c r="A28" s="22" t="s">
        <v>403</v>
      </c>
      <c r="B28" s="22" t="s">
        <v>347</v>
      </c>
      <c r="C28" s="22" t="s">
        <v>368</v>
      </c>
      <c r="D28" s="22" t="s">
        <v>369</v>
      </c>
      <c r="E28" s="22" t="s">
        <v>108</v>
      </c>
      <c r="F28" s="22" t="s">
        <v>370</v>
      </c>
      <c r="G28" s="22" t="s">
        <v>371</v>
      </c>
      <c r="H28" s="22" t="s">
        <v>372</v>
      </c>
      <c r="I28" s="22" t="s">
        <v>160</v>
      </c>
      <c r="J28" s="22" t="s">
        <v>393</v>
      </c>
      <c r="K28" s="22" t="s">
        <v>595</v>
      </c>
      <c r="L28" s="22" t="s">
        <v>57</v>
      </c>
      <c r="M28" s="22" t="s">
        <v>55</v>
      </c>
      <c r="N28" s="22" t="s">
        <v>55</v>
      </c>
      <c r="O28" s="22" t="s">
        <v>374</v>
      </c>
      <c r="P28" s="22" t="s">
        <v>404</v>
      </c>
      <c r="Q28" s="22" t="s">
        <v>405</v>
      </c>
      <c r="R28" s="22" t="s">
        <v>63</v>
      </c>
      <c r="S28" s="22" t="s">
        <v>406</v>
      </c>
      <c r="T28" s="22" t="s">
        <v>407</v>
      </c>
      <c r="U28" s="22" t="s">
        <v>63</v>
      </c>
      <c r="V28" s="23">
        <v>45900</v>
      </c>
      <c r="W28" s="22" t="s">
        <v>55</v>
      </c>
      <c r="X28" s="22" t="s">
        <v>376</v>
      </c>
      <c r="Y28" s="22" t="s">
        <v>65</v>
      </c>
      <c r="Z28" s="22" t="s">
        <v>55</v>
      </c>
      <c r="AA28" s="22" t="s">
        <v>66</v>
      </c>
      <c r="AB28" s="22" t="s">
        <v>408</v>
      </c>
      <c r="AC28" s="22" t="s">
        <v>55</v>
      </c>
      <c r="AD28" s="22" t="s">
        <v>67</v>
      </c>
      <c r="AE28" s="22" t="s">
        <v>257</v>
      </c>
      <c r="AF28" s="22" t="s">
        <v>55</v>
      </c>
      <c r="AG28" s="22" t="s">
        <v>55</v>
      </c>
      <c r="AH28" s="22" t="s">
        <v>55</v>
      </c>
      <c r="AI28" s="22" t="s">
        <v>55</v>
      </c>
      <c r="AJ28" s="22" t="s">
        <v>55</v>
      </c>
      <c r="AK28" s="22" t="s">
        <v>55</v>
      </c>
      <c r="AL28" s="22" t="s">
        <v>55</v>
      </c>
      <c r="AM28" s="22" t="s">
        <v>55</v>
      </c>
      <c r="AN28" s="22" t="s">
        <v>55</v>
      </c>
      <c r="AO28" s="22" t="s">
        <v>55</v>
      </c>
      <c r="AP28" s="22" t="s">
        <v>55</v>
      </c>
      <c r="AQ28" s="22" t="s">
        <v>55</v>
      </c>
      <c r="AR28" s="22" t="s">
        <v>55</v>
      </c>
      <c r="AS28" s="22" t="s">
        <v>55</v>
      </c>
      <c r="AT28" s="22" t="s">
        <v>55</v>
      </c>
      <c r="AU28" s="22" t="s">
        <v>55</v>
      </c>
      <c r="AV28" s="22" t="s">
        <v>55</v>
      </c>
      <c r="AW28" s="23">
        <v>45686</v>
      </c>
      <c r="AX28" s="23">
        <v>45686</v>
      </c>
      <c r="AY28" s="22" t="s">
        <v>377</v>
      </c>
    </row>
    <row r="29" spans="1:51" ht="72.5" x14ac:dyDescent="0.35">
      <c r="A29" s="22" t="s">
        <v>409</v>
      </c>
      <c r="B29" s="22" t="s">
        <v>347</v>
      </c>
      <c r="C29" s="22" t="s">
        <v>368</v>
      </c>
      <c r="D29" s="22" t="s">
        <v>369</v>
      </c>
      <c r="E29" s="22" t="s">
        <v>52</v>
      </c>
      <c r="F29" s="22" t="s">
        <v>370</v>
      </c>
      <c r="G29" s="22" t="s">
        <v>371</v>
      </c>
      <c r="H29" s="22" t="s">
        <v>372</v>
      </c>
      <c r="I29" s="22" t="s">
        <v>160</v>
      </c>
      <c r="J29" s="22" t="s">
        <v>393</v>
      </c>
      <c r="K29" s="22" t="s">
        <v>593</v>
      </c>
      <c r="L29" s="22" t="s">
        <v>103</v>
      </c>
      <c r="M29" s="22" t="s">
        <v>311</v>
      </c>
      <c r="N29" s="22" t="s">
        <v>55</v>
      </c>
      <c r="O29" s="22" t="s">
        <v>374</v>
      </c>
      <c r="P29" s="22" t="s">
        <v>375</v>
      </c>
      <c r="Q29" s="22" t="s">
        <v>410</v>
      </c>
      <c r="R29" s="22" t="s">
        <v>63</v>
      </c>
      <c r="S29" s="22" t="s">
        <v>411</v>
      </c>
      <c r="T29" s="22" t="s">
        <v>412</v>
      </c>
      <c r="U29" s="22" t="s">
        <v>132</v>
      </c>
      <c r="V29" s="23">
        <v>45900</v>
      </c>
      <c r="W29" s="22" t="s">
        <v>55</v>
      </c>
      <c r="X29" s="22" t="s">
        <v>376</v>
      </c>
      <c r="Y29" s="22" t="s">
        <v>65</v>
      </c>
      <c r="Z29" s="22" t="s">
        <v>55</v>
      </c>
      <c r="AA29" s="22" t="s">
        <v>66</v>
      </c>
      <c r="AB29" s="22" t="s">
        <v>413</v>
      </c>
      <c r="AC29" s="22" t="s">
        <v>55</v>
      </c>
      <c r="AD29" s="22" t="s">
        <v>67</v>
      </c>
      <c r="AE29" s="22" t="s">
        <v>257</v>
      </c>
      <c r="AF29" s="22" t="s">
        <v>220</v>
      </c>
      <c r="AG29" s="22" t="s">
        <v>55</v>
      </c>
      <c r="AH29" s="22" t="s">
        <v>55</v>
      </c>
      <c r="AI29" s="22" t="s">
        <v>55</v>
      </c>
      <c r="AJ29" s="22" t="s">
        <v>55</v>
      </c>
      <c r="AK29" s="22" t="s">
        <v>55</v>
      </c>
      <c r="AL29" s="22" t="s">
        <v>55</v>
      </c>
      <c r="AM29" s="22" t="s">
        <v>55</v>
      </c>
      <c r="AN29" s="22" t="s">
        <v>55</v>
      </c>
      <c r="AO29" s="22" t="s">
        <v>55</v>
      </c>
      <c r="AP29" s="22" t="s">
        <v>55</v>
      </c>
      <c r="AQ29" s="22" t="s">
        <v>55</v>
      </c>
      <c r="AR29" s="22" t="s">
        <v>55</v>
      </c>
      <c r="AS29" s="22" t="s">
        <v>55</v>
      </c>
      <c r="AT29" s="22" t="s">
        <v>55</v>
      </c>
      <c r="AU29" s="22" t="s">
        <v>55</v>
      </c>
      <c r="AV29" s="22" t="s">
        <v>55</v>
      </c>
      <c r="AW29" s="23">
        <v>45700</v>
      </c>
      <c r="AX29" s="23">
        <v>45700</v>
      </c>
      <c r="AY29" s="22" t="s">
        <v>377</v>
      </c>
    </row>
    <row r="30" spans="1:51" ht="101.5" x14ac:dyDescent="0.35">
      <c r="A30" s="22" t="s">
        <v>414</v>
      </c>
      <c r="B30" s="22" t="s">
        <v>347</v>
      </c>
      <c r="C30" s="22" t="s">
        <v>368</v>
      </c>
      <c r="D30" s="22" t="s">
        <v>369</v>
      </c>
      <c r="E30" s="22" t="s">
        <v>108</v>
      </c>
      <c r="F30" s="22" t="s">
        <v>370</v>
      </c>
      <c r="G30" s="22" t="s">
        <v>371</v>
      </c>
      <c r="H30" s="22" t="s">
        <v>372</v>
      </c>
      <c r="I30" s="22" t="s">
        <v>160</v>
      </c>
      <c r="J30" s="22" t="s">
        <v>393</v>
      </c>
      <c r="K30" s="22" t="s">
        <v>596</v>
      </c>
      <c r="L30" s="22" t="s">
        <v>57</v>
      </c>
      <c r="M30" s="22" t="s">
        <v>55</v>
      </c>
      <c r="N30" s="22" t="s">
        <v>55</v>
      </c>
      <c r="O30" s="22" t="s">
        <v>374</v>
      </c>
      <c r="P30" s="22" t="s">
        <v>399</v>
      </c>
      <c r="Q30" s="22" t="s">
        <v>415</v>
      </c>
      <c r="R30" s="22" t="s">
        <v>63</v>
      </c>
      <c r="S30" s="22" t="s">
        <v>416</v>
      </c>
      <c r="T30" s="22" t="s">
        <v>417</v>
      </c>
      <c r="U30" s="22" t="s">
        <v>132</v>
      </c>
      <c r="V30" s="23">
        <v>45900</v>
      </c>
      <c r="W30" s="22" t="s">
        <v>55</v>
      </c>
      <c r="X30" s="22" t="s">
        <v>376</v>
      </c>
      <c r="Y30" s="22" t="s">
        <v>65</v>
      </c>
      <c r="Z30" s="22" t="s">
        <v>55</v>
      </c>
      <c r="AA30" s="22" t="s">
        <v>66</v>
      </c>
      <c r="AB30" s="22" t="s">
        <v>118</v>
      </c>
      <c r="AC30" s="22" t="s">
        <v>55</v>
      </c>
      <c r="AD30" s="22" t="s">
        <v>67</v>
      </c>
      <c r="AE30" s="22" t="s">
        <v>257</v>
      </c>
      <c r="AF30" s="22" t="s">
        <v>55</v>
      </c>
      <c r="AG30" s="22" t="s">
        <v>55</v>
      </c>
      <c r="AH30" s="22" t="s">
        <v>55</v>
      </c>
      <c r="AI30" s="22" t="s">
        <v>55</v>
      </c>
      <c r="AJ30" s="22" t="s">
        <v>55</v>
      </c>
      <c r="AK30" s="22" t="s">
        <v>55</v>
      </c>
      <c r="AL30" s="22" t="s">
        <v>55</v>
      </c>
      <c r="AM30" s="22" t="s">
        <v>55</v>
      </c>
      <c r="AN30" s="22" t="s">
        <v>55</v>
      </c>
      <c r="AO30" s="22" t="s">
        <v>55</v>
      </c>
      <c r="AP30" s="22" t="s">
        <v>55</v>
      </c>
      <c r="AQ30" s="22" t="s">
        <v>55</v>
      </c>
      <c r="AR30" s="22" t="s">
        <v>55</v>
      </c>
      <c r="AS30" s="22" t="s">
        <v>55</v>
      </c>
      <c r="AT30" s="22" t="s">
        <v>55</v>
      </c>
      <c r="AU30" s="22" t="s">
        <v>55</v>
      </c>
      <c r="AV30" s="22" t="s">
        <v>55</v>
      </c>
      <c r="AW30" s="23">
        <v>45672</v>
      </c>
      <c r="AX30" s="23">
        <v>45672</v>
      </c>
      <c r="AY30" s="22" t="s">
        <v>377</v>
      </c>
    </row>
    <row r="31" spans="1:51" ht="58" x14ac:dyDescent="0.35">
      <c r="A31" s="22" t="s">
        <v>418</v>
      </c>
      <c r="B31" s="22" t="s">
        <v>347</v>
      </c>
      <c r="C31" s="22" t="s">
        <v>368</v>
      </c>
      <c r="D31" s="22" t="s">
        <v>369</v>
      </c>
      <c r="E31" s="22" t="s">
        <v>108</v>
      </c>
      <c r="F31" s="22" t="s">
        <v>370</v>
      </c>
      <c r="G31" s="22" t="s">
        <v>371</v>
      </c>
      <c r="H31" s="22" t="s">
        <v>372</v>
      </c>
      <c r="I31" s="22" t="s">
        <v>160</v>
      </c>
      <c r="J31" s="22" t="s">
        <v>393</v>
      </c>
      <c r="K31" s="22" t="s">
        <v>597</v>
      </c>
      <c r="L31" s="22" t="s">
        <v>57</v>
      </c>
      <c r="M31" s="22" t="s">
        <v>55</v>
      </c>
      <c r="N31" s="22" t="s">
        <v>55</v>
      </c>
      <c r="O31" s="22" t="s">
        <v>374</v>
      </c>
      <c r="P31" s="22" t="s">
        <v>419</v>
      </c>
      <c r="Q31" s="22" t="s">
        <v>420</v>
      </c>
      <c r="R31" s="22" t="s">
        <v>63</v>
      </c>
      <c r="S31" s="22" t="s">
        <v>421</v>
      </c>
      <c r="T31" s="22" t="s">
        <v>422</v>
      </c>
      <c r="U31" s="22" t="s">
        <v>132</v>
      </c>
      <c r="V31" s="23">
        <v>45900</v>
      </c>
      <c r="W31" s="22" t="s">
        <v>55</v>
      </c>
      <c r="X31" s="22" t="s">
        <v>376</v>
      </c>
      <c r="Y31" s="22" t="s">
        <v>65</v>
      </c>
      <c r="Z31" s="22" t="s">
        <v>55</v>
      </c>
      <c r="AA31" s="22" t="s">
        <v>66</v>
      </c>
      <c r="AB31" s="22" t="s">
        <v>423</v>
      </c>
      <c r="AC31" s="22" t="s">
        <v>55</v>
      </c>
      <c r="AD31" s="22" t="s">
        <v>67</v>
      </c>
      <c r="AE31" s="22" t="s">
        <v>257</v>
      </c>
      <c r="AF31" s="22" t="s">
        <v>55</v>
      </c>
      <c r="AG31" s="22" t="s">
        <v>55</v>
      </c>
      <c r="AH31" s="22" t="s">
        <v>55</v>
      </c>
      <c r="AI31" s="22" t="s">
        <v>55</v>
      </c>
      <c r="AJ31" s="22" t="s">
        <v>55</v>
      </c>
      <c r="AK31" s="22" t="s">
        <v>55</v>
      </c>
      <c r="AL31" s="22" t="s">
        <v>55</v>
      </c>
      <c r="AM31" s="22" t="s">
        <v>55</v>
      </c>
      <c r="AN31" s="22" t="s">
        <v>55</v>
      </c>
      <c r="AO31" s="22" t="s">
        <v>55</v>
      </c>
      <c r="AP31" s="22" t="s">
        <v>55</v>
      </c>
      <c r="AQ31" s="22" t="s">
        <v>55</v>
      </c>
      <c r="AR31" s="22" t="s">
        <v>55</v>
      </c>
      <c r="AS31" s="22" t="s">
        <v>55</v>
      </c>
      <c r="AT31" s="22" t="s">
        <v>55</v>
      </c>
      <c r="AU31" s="22" t="s">
        <v>55</v>
      </c>
      <c r="AV31" s="22" t="s">
        <v>55</v>
      </c>
      <c r="AW31" s="23">
        <v>45700</v>
      </c>
      <c r="AX31" s="23">
        <v>45700</v>
      </c>
      <c r="AY31" s="22" t="s">
        <v>377</v>
      </c>
    </row>
    <row r="32" spans="1:51" ht="116" x14ac:dyDescent="0.35">
      <c r="A32" s="22" t="s">
        <v>424</v>
      </c>
      <c r="B32" s="22" t="s">
        <v>347</v>
      </c>
      <c r="C32" s="22" t="s">
        <v>368</v>
      </c>
      <c r="D32" s="22" t="s">
        <v>369</v>
      </c>
      <c r="E32" s="22" t="s">
        <v>52</v>
      </c>
      <c r="F32" s="22" t="s">
        <v>425</v>
      </c>
      <c r="G32" s="22" t="s">
        <v>371</v>
      </c>
      <c r="H32" s="22" t="s">
        <v>372</v>
      </c>
      <c r="I32" s="22" t="s">
        <v>361</v>
      </c>
      <c r="J32" s="22" t="s">
        <v>426</v>
      </c>
      <c r="K32" s="24" t="s">
        <v>591</v>
      </c>
      <c r="L32" s="22" t="s">
        <v>57</v>
      </c>
      <c r="M32" s="22" t="s">
        <v>158</v>
      </c>
      <c r="N32" s="22" t="s">
        <v>55</v>
      </c>
      <c r="O32" s="22" t="s">
        <v>374</v>
      </c>
      <c r="P32" s="22" t="s">
        <v>427</v>
      </c>
      <c r="Q32" s="22" t="s">
        <v>428</v>
      </c>
      <c r="R32" s="22" t="s">
        <v>63</v>
      </c>
      <c r="S32" s="22" t="s">
        <v>429</v>
      </c>
      <c r="T32" s="22" t="s">
        <v>55</v>
      </c>
      <c r="U32" s="22" t="s">
        <v>63</v>
      </c>
      <c r="V32" s="23">
        <v>46022</v>
      </c>
      <c r="W32" s="22" t="s">
        <v>55</v>
      </c>
      <c r="X32" s="22" t="s">
        <v>137</v>
      </c>
      <c r="Y32" s="22" t="s">
        <v>65</v>
      </c>
      <c r="Z32" s="22" t="s">
        <v>55</v>
      </c>
      <c r="AA32" s="22" t="s">
        <v>221</v>
      </c>
      <c r="AB32" s="22" t="s">
        <v>598</v>
      </c>
      <c r="AC32" s="22" t="s">
        <v>55</v>
      </c>
      <c r="AD32" s="22" t="s">
        <v>67</v>
      </c>
      <c r="AE32" s="22" t="s">
        <v>257</v>
      </c>
      <c r="AF32" s="22" t="s">
        <v>69</v>
      </c>
      <c r="AG32" s="22" t="s">
        <v>55</v>
      </c>
      <c r="AH32" s="22" t="s">
        <v>55</v>
      </c>
      <c r="AI32" s="22" t="s">
        <v>55</v>
      </c>
      <c r="AJ32" s="22" t="s">
        <v>55</v>
      </c>
      <c r="AK32" s="22" t="s">
        <v>55</v>
      </c>
      <c r="AL32" s="22" t="s">
        <v>55</v>
      </c>
      <c r="AM32" s="22" t="s">
        <v>55</v>
      </c>
      <c r="AN32" s="22" t="s">
        <v>55</v>
      </c>
      <c r="AO32" s="22" t="s">
        <v>55</v>
      </c>
      <c r="AP32" s="22" t="s">
        <v>55</v>
      </c>
      <c r="AQ32" s="22" t="s">
        <v>55</v>
      </c>
      <c r="AR32" s="22" t="s">
        <v>55</v>
      </c>
      <c r="AS32" s="22" t="s">
        <v>55</v>
      </c>
      <c r="AT32" s="22" t="s">
        <v>55</v>
      </c>
      <c r="AU32" s="22" t="s">
        <v>55</v>
      </c>
      <c r="AV32" s="22" t="s">
        <v>55</v>
      </c>
      <c r="AW32" s="23">
        <v>45717</v>
      </c>
      <c r="AX32" s="23">
        <v>45778</v>
      </c>
      <c r="AY32" s="22" t="s">
        <v>377</v>
      </c>
    </row>
    <row r="33" spans="1:51" ht="72.5" x14ac:dyDescent="0.35">
      <c r="A33" s="22" t="s">
        <v>430</v>
      </c>
      <c r="B33" s="22" t="s">
        <v>347</v>
      </c>
      <c r="C33" s="22" t="s">
        <v>368</v>
      </c>
      <c r="D33" s="22" t="s">
        <v>369</v>
      </c>
      <c r="E33" s="22" t="s">
        <v>108</v>
      </c>
      <c r="F33" s="22" t="s">
        <v>425</v>
      </c>
      <c r="G33" s="22" t="s">
        <v>371</v>
      </c>
      <c r="H33" s="22" t="s">
        <v>372</v>
      </c>
      <c r="I33" s="22" t="s">
        <v>361</v>
      </c>
      <c r="J33" s="22" t="s">
        <v>426</v>
      </c>
      <c r="K33" s="24" t="s">
        <v>591</v>
      </c>
      <c r="L33" s="22" t="s">
        <v>57</v>
      </c>
      <c r="M33" s="22" t="s">
        <v>55</v>
      </c>
      <c r="N33" s="22" t="s">
        <v>55</v>
      </c>
      <c r="O33" s="22" t="s">
        <v>374</v>
      </c>
      <c r="P33" s="22" t="s">
        <v>431</v>
      </c>
      <c r="Q33" s="22" t="s">
        <v>432</v>
      </c>
      <c r="R33" s="22" t="s">
        <v>63</v>
      </c>
      <c r="S33" s="22" t="s">
        <v>429</v>
      </c>
      <c r="T33" s="22" t="s">
        <v>55</v>
      </c>
      <c r="U33" s="22" t="s">
        <v>132</v>
      </c>
      <c r="V33" s="23">
        <v>45991</v>
      </c>
      <c r="W33" s="22" t="s">
        <v>55</v>
      </c>
      <c r="X33" s="22" t="s">
        <v>599</v>
      </c>
      <c r="Y33" s="22" t="s">
        <v>65</v>
      </c>
      <c r="Z33" s="22" t="s">
        <v>55</v>
      </c>
      <c r="AA33" s="22" t="s">
        <v>152</v>
      </c>
      <c r="AB33" s="22" t="s">
        <v>598</v>
      </c>
      <c r="AC33" s="22" t="s">
        <v>55</v>
      </c>
      <c r="AD33" s="22" t="s">
        <v>67</v>
      </c>
      <c r="AE33" s="22" t="s">
        <v>257</v>
      </c>
      <c r="AF33" s="22" t="s">
        <v>55</v>
      </c>
      <c r="AG33" s="22" t="s">
        <v>55</v>
      </c>
      <c r="AH33" s="22" t="s">
        <v>55</v>
      </c>
      <c r="AI33" s="22" t="s">
        <v>55</v>
      </c>
      <c r="AJ33" s="22" t="s">
        <v>55</v>
      </c>
      <c r="AK33" s="22" t="s">
        <v>55</v>
      </c>
      <c r="AL33" s="22" t="s">
        <v>55</v>
      </c>
      <c r="AM33" s="22" t="s">
        <v>55</v>
      </c>
      <c r="AN33" s="22" t="s">
        <v>55</v>
      </c>
      <c r="AO33" s="22" t="s">
        <v>55</v>
      </c>
      <c r="AP33" s="22" t="s">
        <v>55</v>
      </c>
      <c r="AQ33" s="22" t="s">
        <v>55</v>
      </c>
      <c r="AR33" s="22" t="s">
        <v>55</v>
      </c>
      <c r="AS33" s="22" t="s">
        <v>55</v>
      </c>
      <c r="AT33" s="22" t="s">
        <v>55</v>
      </c>
      <c r="AU33" s="22" t="s">
        <v>55</v>
      </c>
      <c r="AV33" s="22" t="s">
        <v>55</v>
      </c>
      <c r="AW33" s="23">
        <v>45717</v>
      </c>
      <c r="AX33" s="23">
        <v>45778</v>
      </c>
      <c r="AY33" s="22" t="s">
        <v>377</v>
      </c>
    </row>
    <row r="34" spans="1:51" ht="29" x14ac:dyDescent="0.35">
      <c r="A34" s="22" t="s">
        <v>433</v>
      </c>
      <c r="B34" s="22" t="s">
        <v>347</v>
      </c>
      <c r="C34" s="22" t="s">
        <v>368</v>
      </c>
      <c r="D34" s="22" t="s">
        <v>369</v>
      </c>
      <c r="E34" s="22" t="s">
        <v>108</v>
      </c>
      <c r="F34" s="22" t="s">
        <v>425</v>
      </c>
      <c r="G34" s="22" t="s">
        <v>371</v>
      </c>
      <c r="H34" s="22" t="s">
        <v>372</v>
      </c>
      <c r="I34" s="22" t="s">
        <v>361</v>
      </c>
      <c r="J34" s="22" t="s">
        <v>426</v>
      </c>
      <c r="K34" s="24" t="s">
        <v>591</v>
      </c>
      <c r="L34" s="22" t="s">
        <v>57</v>
      </c>
      <c r="M34" s="22" t="s">
        <v>55</v>
      </c>
      <c r="N34" s="22" t="s">
        <v>55</v>
      </c>
      <c r="O34" s="22" t="s">
        <v>374</v>
      </c>
      <c r="P34" s="22" t="s">
        <v>434</v>
      </c>
      <c r="Q34" s="22" t="s">
        <v>435</v>
      </c>
      <c r="R34" s="22" t="s">
        <v>63</v>
      </c>
      <c r="S34" s="22" t="s">
        <v>429</v>
      </c>
      <c r="T34" s="22" t="s">
        <v>55</v>
      </c>
      <c r="U34" s="22" t="s">
        <v>132</v>
      </c>
      <c r="V34" s="23">
        <v>46143</v>
      </c>
      <c r="W34" s="22" t="s">
        <v>55</v>
      </c>
      <c r="X34" s="22" t="s">
        <v>599</v>
      </c>
      <c r="Y34" s="22" t="s">
        <v>65</v>
      </c>
      <c r="Z34" s="22" t="s">
        <v>55</v>
      </c>
      <c r="AA34" s="22" t="s">
        <v>155</v>
      </c>
      <c r="AB34" s="22" t="s">
        <v>598</v>
      </c>
      <c r="AC34" s="22" t="s">
        <v>55</v>
      </c>
      <c r="AD34" s="22" t="s">
        <v>67</v>
      </c>
      <c r="AE34" s="22" t="s">
        <v>257</v>
      </c>
      <c r="AF34" s="22" t="s">
        <v>55</v>
      </c>
      <c r="AG34" s="22" t="s">
        <v>55</v>
      </c>
      <c r="AH34" s="22" t="s">
        <v>55</v>
      </c>
      <c r="AI34" s="22" t="s">
        <v>55</v>
      </c>
      <c r="AJ34" s="22" t="s">
        <v>55</v>
      </c>
      <c r="AK34" s="22" t="s">
        <v>55</v>
      </c>
      <c r="AL34" s="22" t="s">
        <v>55</v>
      </c>
      <c r="AM34" s="22" t="s">
        <v>55</v>
      </c>
      <c r="AN34" s="22" t="s">
        <v>55</v>
      </c>
      <c r="AO34" s="22" t="s">
        <v>55</v>
      </c>
      <c r="AP34" s="22" t="s">
        <v>55</v>
      </c>
      <c r="AQ34" s="22" t="s">
        <v>55</v>
      </c>
      <c r="AR34" s="22" t="s">
        <v>55</v>
      </c>
      <c r="AS34" s="22" t="s">
        <v>55</v>
      </c>
      <c r="AT34" s="22" t="s">
        <v>55</v>
      </c>
      <c r="AU34" s="22" t="s">
        <v>55</v>
      </c>
      <c r="AV34" s="22" t="s">
        <v>55</v>
      </c>
      <c r="AW34" s="23">
        <v>45717</v>
      </c>
      <c r="AX34" s="23">
        <v>45778</v>
      </c>
      <c r="AY34" s="22" t="s">
        <v>377</v>
      </c>
    </row>
    <row r="35" spans="1:51" ht="116" x14ac:dyDescent="0.35">
      <c r="A35" s="22" t="s">
        <v>437</v>
      </c>
      <c r="B35" s="22" t="s">
        <v>347</v>
      </c>
      <c r="C35" s="22" t="s">
        <v>368</v>
      </c>
      <c r="D35" s="22" t="s">
        <v>369</v>
      </c>
      <c r="E35" s="22" t="s">
        <v>108</v>
      </c>
      <c r="F35" s="22" t="s">
        <v>370</v>
      </c>
      <c r="G35" s="22" t="s">
        <v>371</v>
      </c>
      <c r="H35" s="22" t="s">
        <v>372</v>
      </c>
      <c r="I35" s="22" t="s">
        <v>160</v>
      </c>
      <c r="J35" s="22" t="s">
        <v>436</v>
      </c>
      <c r="K35" s="22" t="s">
        <v>593</v>
      </c>
      <c r="L35" s="22" t="s">
        <v>103</v>
      </c>
      <c r="M35" s="22" t="s">
        <v>55</v>
      </c>
      <c r="N35" s="22" t="s">
        <v>55</v>
      </c>
      <c r="O35" s="22" t="s">
        <v>374</v>
      </c>
      <c r="P35" s="22" t="s">
        <v>438</v>
      </c>
      <c r="Q35" s="22" t="s">
        <v>439</v>
      </c>
      <c r="R35" s="22" t="s">
        <v>63</v>
      </c>
      <c r="S35" s="22" t="s">
        <v>440</v>
      </c>
      <c r="T35" s="22" t="s">
        <v>441</v>
      </c>
      <c r="U35" s="22" t="s">
        <v>132</v>
      </c>
      <c r="V35" s="23">
        <v>45900</v>
      </c>
      <c r="W35" s="22" t="s">
        <v>55</v>
      </c>
      <c r="X35" s="22" t="s">
        <v>376</v>
      </c>
      <c r="Y35" s="22" t="s">
        <v>65</v>
      </c>
      <c r="Z35" s="22" t="s">
        <v>55</v>
      </c>
      <c r="AA35" s="22" t="s">
        <v>66</v>
      </c>
      <c r="AB35" s="22" t="s">
        <v>1717</v>
      </c>
      <c r="AC35" s="22" t="s">
        <v>55</v>
      </c>
      <c r="AD35" s="22" t="s">
        <v>67</v>
      </c>
      <c r="AE35" s="22" t="s">
        <v>257</v>
      </c>
      <c r="AF35" s="22" t="s">
        <v>55</v>
      </c>
      <c r="AG35" s="22" t="s">
        <v>55</v>
      </c>
      <c r="AH35" s="22" t="s">
        <v>55</v>
      </c>
      <c r="AI35" s="22" t="s">
        <v>55</v>
      </c>
      <c r="AJ35" s="22" t="s">
        <v>55</v>
      </c>
      <c r="AK35" s="22" t="s">
        <v>55</v>
      </c>
      <c r="AL35" s="22" t="s">
        <v>55</v>
      </c>
      <c r="AM35" s="22" t="s">
        <v>55</v>
      </c>
      <c r="AN35" s="22" t="s">
        <v>55</v>
      </c>
      <c r="AO35" s="22" t="s">
        <v>55</v>
      </c>
      <c r="AP35" s="22" t="s">
        <v>55</v>
      </c>
      <c r="AQ35" s="22" t="s">
        <v>55</v>
      </c>
      <c r="AR35" s="22" t="s">
        <v>55</v>
      </c>
      <c r="AS35" s="22" t="s">
        <v>55</v>
      </c>
      <c r="AT35" s="22" t="s">
        <v>55</v>
      </c>
      <c r="AU35" s="22" t="s">
        <v>55</v>
      </c>
      <c r="AV35" s="22" t="s">
        <v>55</v>
      </c>
      <c r="AW35" s="23">
        <v>45713</v>
      </c>
      <c r="AX35" s="23">
        <v>45714</v>
      </c>
      <c r="AY35" s="22" t="s">
        <v>377</v>
      </c>
    </row>
    <row r="36" spans="1:51" ht="43.5" x14ac:dyDescent="0.35">
      <c r="A36" s="22" t="s">
        <v>442</v>
      </c>
      <c r="B36" s="22" t="s">
        <v>347</v>
      </c>
      <c r="C36" s="22" t="s">
        <v>368</v>
      </c>
      <c r="D36" s="22" t="s">
        <v>369</v>
      </c>
      <c r="E36" s="22" t="s">
        <v>52</v>
      </c>
      <c r="F36" s="22" t="s">
        <v>370</v>
      </c>
      <c r="G36" s="22" t="s">
        <v>371</v>
      </c>
      <c r="H36" s="22" t="s">
        <v>372</v>
      </c>
      <c r="I36" s="22" t="s">
        <v>160</v>
      </c>
      <c r="J36" s="22" t="s">
        <v>436</v>
      </c>
      <c r="K36" s="22" t="s">
        <v>572</v>
      </c>
      <c r="L36" s="22" t="s">
        <v>57</v>
      </c>
      <c r="M36" s="22" t="s">
        <v>161</v>
      </c>
      <c r="N36" s="22" t="s">
        <v>55</v>
      </c>
      <c r="O36" s="22" t="s">
        <v>374</v>
      </c>
      <c r="P36" s="22" t="s">
        <v>443</v>
      </c>
      <c r="Q36" s="22" t="s">
        <v>444</v>
      </c>
      <c r="R36" s="22" t="s">
        <v>63</v>
      </c>
      <c r="S36" s="22" t="s">
        <v>445</v>
      </c>
      <c r="T36" s="22" t="s">
        <v>446</v>
      </c>
      <c r="U36" s="22" t="s">
        <v>63</v>
      </c>
      <c r="V36" s="23">
        <v>45900</v>
      </c>
      <c r="W36" s="22" t="s">
        <v>55</v>
      </c>
      <c r="X36" s="22" t="s">
        <v>376</v>
      </c>
      <c r="Y36" s="22" t="s">
        <v>65</v>
      </c>
      <c r="Z36" s="22" t="s">
        <v>55</v>
      </c>
      <c r="AA36" s="22" t="s">
        <v>66</v>
      </c>
      <c r="AB36" s="22" t="s">
        <v>118</v>
      </c>
      <c r="AC36" s="22" t="s">
        <v>55</v>
      </c>
      <c r="AD36" s="22" t="s">
        <v>67</v>
      </c>
      <c r="AE36" s="22" t="s">
        <v>257</v>
      </c>
      <c r="AF36" s="22" t="s">
        <v>69</v>
      </c>
      <c r="AG36" s="22" t="s">
        <v>55</v>
      </c>
      <c r="AH36" s="22" t="s">
        <v>55</v>
      </c>
      <c r="AI36" s="22" t="s">
        <v>55</v>
      </c>
      <c r="AJ36" s="22" t="s">
        <v>55</v>
      </c>
      <c r="AK36" s="22" t="s">
        <v>55</v>
      </c>
      <c r="AL36" s="22" t="s">
        <v>55</v>
      </c>
      <c r="AM36" s="22" t="s">
        <v>55</v>
      </c>
      <c r="AN36" s="22" t="s">
        <v>55</v>
      </c>
      <c r="AO36" s="22" t="s">
        <v>55</v>
      </c>
      <c r="AP36" s="22" t="s">
        <v>55</v>
      </c>
      <c r="AQ36" s="22" t="s">
        <v>55</v>
      </c>
      <c r="AR36" s="22" t="s">
        <v>55</v>
      </c>
      <c r="AS36" s="22" t="s">
        <v>55</v>
      </c>
      <c r="AT36" s="22" t="s">
        <v>55</v>
      </c>
      <c r="AU36" s="22" t="s">
        <v>55</v>
      </c>
      <c r="AV36" s="22" t="s">
        <v>55</v>
      </c>
      <c r="AW36" s="23">
        <v>45713</v>
      </c>
      <c r="AX36" s="23">
        <v>45714</v>
      </c>
      <c r="AY36" s="22" t="s">
        <v>377</v>
      </c>
    </row>
    <row r="37" spans="1:51" ht="188.5" x14ac:dyDescent="0.35">
      <c r="A37" s="22" t="s">
        <v>447</v>
      </c>
      <c r="B37" s="22" t="s">
        <v>347</v>
      </c>
      <c r="C37" s="22" t="s">
        <v>368</v>
      </c>
      <c r="D37" s="22" t="s">
        <v>369</v>
      </c>
      <c r="E37" s="22" t="s">
        <v>108</v>
      </c>
      <c r="F37" s="22" t="s">
        <v>448</v>
      </c>
      <c r="G37" s="22" t="s">
        <v>94</v>
      </c>
      <c r="H37" s="22" t="s">
        <v>449</v>
      </c>
      <c r="I37" s="22" t="s">
        <v>361</v>
      </c>
      <c r="J37" s="22" t="s">
        <v>450</v>
      </c>
      <c r="K37" s="22" t="s">
        <v>601</v>
      </c>
      <c r="L37" s="22" t="s">
        <v>103</v>
      </c>
      <c r="M37" s="22" t="s">
        <v>55</v>
      </c>
      <c r="N37" s="22" t="s">
        <v>55</v>
      </c>
      <c r="O37" s="22" t="s">
        <v>374</v>
      </c>
      <c r="P37" s="22" t="s">
        <v>451</v>
      </c>
      <c r="Q37" s="22" t="s">
        <v>452</v>
      </c>
      <c r="R37" s="22" t="s">
        <v>63</v>
      </c>
      <c r="S37" s="22" t="s">
        <v>453</v>
      </c>
      <c r="T37" s="22" t="s">
        <v>55</v>
      </c>
      <c r="U37" s="22" t="s">
        <v>132</v>
      </c>
      <c r="V37" s="23">
        <v>45900</v>
      </c>
      <c r="W37" s="22" t="s">
        <v>55</v>
      </c>
      <c r="X37" s="22" t="s">
        <v>454</v>
      </c>
      <c r="Y37" s="22" t="s">
        <v>65</v>
      </c>
      <c r="Z37" s="22" t="s">
        <v>55</v>
      </c>
      <c r="AA37" s="22" t="s">
        <v>66</v>
      </c>
      <c r="AB37" s="22" t="s">
        <v>55</v>
      </c>
      <c r="AC37" s="22" t="s">
        <v>55</v>
      </c>
      <c r="AD37" s="22" t="s">
        <v>67</v>
      </c>
      <c r="AE37" s="22" t="s">
        <v>257</v>
      </c>
      <c r="AF37" s="22" t="s">
        <v>55</v>
      </c>
      <c r="AG37" s="22" t="s">
        <v>55</v>
      </c>
      <c r="AH37" s="22" t="s">
        <v>55</v>
      </c>
      <c r="AI37" s="22" t="s">
        <v>55</v>
      </c>
      <c r="AJ37" s="22" t="s">
        <v>55</v>
      </c>
      <c r="AK37" s="22" t="s">
        <v>55</v>
      </c>
      <c r="AL37" s="22" t="s">
        <v>55</v>
      </c>
      <c r="AM37" s="22" t="s">
        <v>55</v>
      </c>
      <c r="AN37" s="22" t="s">
        <v>55</v>
      </c>
      <c r="AO37" s="22" t="s">
        <v>55</v>
      </c>
      <c r="AP37" s="22" t="s">
        <v>55</v>
      </c>
      <c r="AQ37" s="22" t="s">
        <v>55</v>
      </c>
      <c r="AR37" s="22" t="s">
        <v>55</v>
      </c>
      <c r="AS37" s="22" t="s">
        <v>55</v>
      </c>
      <c r="AT37" s="22" t="s">
        <v>55</v>
      </c>
      <c r="AU37" s="22" t="s">
        <v>55</v>
      </c>
      <c r="AV37" s="22" t="s">
        <v>55</v>
      </c>
      <c r="AW37" s="23">
        <v>45670</v>
      </c>
      <c r="AX37" s="23">
        <v>45672</v>
      </c>
      <c r="AY37" s="22" t="s">
        <v>377</v>
      </c>
    </row>
    <row r="38" spans="1:51" ht="43.5" x14ac:dyDescent="0.35">
      <c r="A38" s="22" t="s">
        <v>455</v>
      </c>
      <c r="B38" s="22" t="s">
        <v>347</v>
      </c>
      <c r="C38" s="22" t="s">
        <v>368</v>
      </c>
      <c r="D38" s="22" t="s">
        <v>369</v>
      </c>
      <c r="E38" s="22" t="s">
        <v>52</v>
      </c>
      <c r="F38" s="22" t="s">
        <v>448</v>
      </c>
      <c r="G38" s="22" t="s">
        <v>94</v>
      </c>
      <c r="H38" s="22" t="s">
        <v>449</v>
      </c>
      <c r="I38" s="22" t="s">
        <v>361</v>
      </c>
      <c r="J38" s="22" t="s">
        <v>450</v>
      </c>
      <c r="K38" s="22" t="s">
        <v>600</v>
      </c>
      <c r="L38" s="22" t="s">
        <v>57</v>
      </c>
      <c r="M38" s="22" t="s">
        <v>58</v>
      </c>
      <c r="N38" s="22" t="s">
        <v>55</v>
      </c>
      <c r="O38" s="22" t="s">
        <v>374</v>
      </c>
      <c r="P38" s="22" t="s">
        <v>456</v>
      </c>
      <c r="Q38" s="22" t="s">
        <v>457</v>
      </c>
      <c r="R38" s="22" t="s">
        <v>63</v>
      </c>
      <c r="S38" s="22" t="s">
        <v>458</v>
      </c>
      <c r="T38" s="22" t="s">
        <v>55</v>
      </c>
      <c r="U38" s="22" t="s">
        <v>132</v>
      </c>
      <c r="V38" s="23">
        <v>45900</v>
      </c>
      <c r="W38" s="22" t="s">
        <v>55</v>
      </c>
      <c r="X38" s="22" t="s">
        <v>454</v>
      </c>
      <c r="Y38" s="22" t="s">
        <v>65</v>
      </c>
      <c r="Z38" s="22" t="s">
        <v>55</v>
      </c>
      <c r="AA38" s="22" t="s">
        <v>66</v>
      </c>
      <c r="AB38" s="22" t="s">
        <v>55</v>
      </c>
      <c r="AC38" s="22" t="s">
        <v>55</v>
      </c>
      <c r="AD38" s="22" t="s">
        <v>67</v>
      </c>
      <c r="AE38" s="22" t="s">
        <v>257</v>
      </c>
      <c r="AF38" s="22" t="s">
        <v>69</v>
      </c>
      <c r="AG38" s="22" t="s">
        <v>55</v>
      </c>
      <c r="AH38" s="22" t="s">
        <v>55</v>
      </c>
      <c r="AI38" s="22" t="s">
        <v>55</v>
      </c>
      <c r="AJ38" s="22" t="s">
        <v>55</v>
      </c>
      <c r="AK38" s="22" t="s">
        <v>55</v>
      </c>
      <c r="AL38" s="22" t="s">
        <v>55</v>
      </c>
      <c r="AM38" s="22" t="s">
        <v>55</v>
      </c>
      <c r="AN38" s="22" t="s">
        <v>55</v>
      </c>
      <c r="AO38" s="22" t="s">
        <v>55</v>
      </c>
      <c r="AP38" s="22" t="s">
        <v>55</v>
      </c>
      <c r="AQ38" s="22" t="s">
        <v>55</v>
      </c>
      <c r="AR38" s="22" t="s">
        <v>55</v>
      </c>
      <c r="AS38" s="22" t="s">
        <v>55</v>
      </c>
      <c r="AT38" s="22" t="s">
        <v>55</v>
      </c>
      <c r="AU38" s="22" t="s">
        <v>55</v>
      </c>
      <c r="AV38" s="22" t="s">
        <v>55</v>
      </c>
      <c r="AW38" s="23">
        <v>45670</v>
      </c>
      <c r="AX38" s="23">
        <v>45672</v>
      </c>
      <c r="AY38" s="22" t="s">
        <v>377</v>
      </c>
    </row>
    <row r="39" spans="1:51" ht="43.5" x14ac:dyDescent="0.35">
      <c r="A39" s="22" t="s">
        <v>459</v>
      </c>
      <c r="B39" s="22" t="s">
        <v>347</v>
      </c>
      <c r="C39" s="22" t="s">
        <v>368</v>
      </c>
      <c r="D39" s="22" t="s">
        <v>369</v>
      </c>
      <c r="E39" s="22" t="s">
        <v>52</v>
      </c>
      <c r="F39" s="22" t="s">
        <v>370</v>
      </c>
      <c r="G39" s="22" t="s">
        <v>371</v>
      </c>
      <c r="H39" s="22" t="s">
        <v>372</v>
      </c>
      <c r="I39" s="22" t="s">
        <v>160</v>
      </c>
      <c r="J39" s="22" t="s">
        <v>373</v>
      </c>
      <c r="K39" s="22" t="s">
        <v>597</v>
      </c>
      <c r="L39" s="22" t="s">
        <v>103</v>
      </c>
      <c r="M39" s="22" t="s">
        <v>311</v>
      </c>
      <c r="N39" s="22" t="s">
        <v>55</v>
      </c>
      <c r="O39" s="22" t="s">
        <v>374</v>
      </c>
      <c r="P39" s="22" t="s">
        <v>460</v>
      </c>
      <c r="Q39" s="22" t="s">
        <v>461</v>
      </c>
      <c r="R39" s="22" t="s">
        <v>63</v>
      </c>
      <c r="S39" s="22" t="s">
        <v>460</v>
      </c>
      <c r="T39" s="22" t="s">
        <v>462</v>
      </c>
      <c r="U39" s="22" t="s">
        <v>132</v>
      </c>
      <c r="V39" s="23">
        <v>45900</v>
      </c>
      <c r="W39" s="22" t="s">
        <v>55</v>
      </c>
      <c r="X39" s="22" t="s">
        <v>376</v>
      </c>
      <c r="Y39" s="22" t="s">
        <v>65</v>
      </c>
      <c r="Z39" s="22" t="s">
        <v>55</v>
      </c>
      <c r="AA39" s="22" t="s">
        <v>66</v>
      </c>
      <c r="AB39" s="22" t="s">
        <v>463</v>
      </c>
      <c r="AC39" s="22" t="s">
        <v>55</v>
      </c>
      <c r="AD39" s="22" t="s">
        <v>67</v>
      </c>
      <c r="AE39" s="22" t="s">
        <v>257</v>
      </c>
      <c r="AF39" s="22" t="s">
        <v>220</v>
      </c>
      <c r="AG39" s="22" t="s">
        <v>55</v>
      </c>
      <c r="AH39" s="22" t="s">
        <v>55</v>
      </c>
      <c r="AI39" s="22" t="s">
        <v>55</v>
      </c>
      <c r="AJ39" s="22" t="s">
        <v>55</v>
      </c>
      <c r="AK39" s="22" t="s">
        <v>55</v>
      </c>
      <c r="AL39" s="22" t="s">
        <v>55</v>
      </c>
      <c r="AM39" s="22" t="s">
        <v>55</v>
      </c>
      <c r="AN39" s="22" t="s">
        <v>55</v>
      </c>
      <c r="AO39" s="22" t="s">
        <v>55</v>
      </c>
      <c r="AP39" s="22" t="s">
        <v>55</v>
      </c>
      <c r="AQ39" s="22" t="s">
        <v>55</v>
      </c>
      <c r="AR39" s="22" t="s">
        <v>55</v>
      </c>
      <c r="AS39" s="22" t="s">
        <v>55</v>
      </c>
      <c r="AT39" s="22" t="s">
        <v>55</v>
      </c>
      <c r="AU39" s="22" t="s">
        <v>55</v>
      </c>
      <c r="AV39" s="22" t="s">
        <v>55</v>
      </c>
      <c r="AW39" s="23">
        <v>45660</v>
      </c>
      <c r="AX39" s="23">
        <v>45660</v>
      </c>
      <c r="AY39" s="22" t="s">
        <v>377</v>
      </c>
    </row>
    <row r="40" spans="1:51" ht="188.5" x14ac:dyDescent="0.35">
      <c r="A40" s="22" t="s">
        <v>464</v>
      </c>
      <c r="B40" s="22" t="s">
        <v>347</v>
      </c>
      <c r="C40" s="22" t="s">
        <v>51</v>
      </c>
      <c r="D40" s="22" t="s">
        <v>465</v>
      </c>
      <c r="E40" s="22" t="s">
        <v>52</v>
      </c>
      <c r="F40" s="22" t="s">
        <v>466</v>
      </c>
      <c r="G40" s="22" t="s">
        <v>54</v>
      </c>
      <c r="H40" s="22" t="s">
        <v>1712</v>
      </c>
      <c r="I40" s="22" t="s">
        <v>121</v>
      </c>
      <c r="J40" s="22" t="s">
        <v>467</v>
      </c>
      <c r="K40" s="22" t="s">
        <v>564</v>
      </c>
      <c r="L40" s="22" t="s">
        <v>103</v>
      </c>
      <c r="M40" s="22" t="s">
        <v>154</v>
      </c>
      <c r="N40" s="22" t="s">
        <v>55</v>
      </c>
      <c r="O40" s="22" t="s">
        <v>468</v>
      </c>
      <c r="P40" s="22" t="s">
        <v>469</v>
      </c>
      <c r="Q40" s="22" t="s">
        <v>470</v>
      </c>
      <c r="R40" s="22" t="s">
        <v>132</v>
      </c>
      <c r="S40" s="22" t="s">
        <v>471</v>
      </c>
      <c r="T40" s="22" t="s">
        <v>472</v>
      </c>
      <c r="U40" s="22" t="s">
        <v>63</v>
      </c>
      <c r="V40" s="23">
        <v>45930</v>
      </c>
      <c r="W40" s="22" t="s">
        <v>55</v>
      </c>
      <c r="X40" s="22" t="s">
        <v>473</v>
      </c>
      <c r="Y40" s="22" t="s">
        <v>65</v>
      </c>
      <c r="Z40" s="23">
        <v>46022</v>
      </c>
      <c r="AA40" s="22" t="s">
        <v>66</v>
      </c>
      <c r="AB40" s="22" t="s">
        <v>864</v>
      </c>
      <c r="AC40" s="22" t="s">
        <v>55</v>
      </c>
      <c r="AD40" s="22" t="s">
        <v>67</v>
      </c>
      <c r="AE40" s="22" t="s">
        <v>257</v>
      </c>
      <c r="AF40" s="22" t="s">
        <v>156</v>
      </c>
      <c r="AG40" s="22" t="s">
        <v>55</v>
      </c>
      <c r="AH40" s="22" t="s">
        <v>55</v>
      </c>
      <c r="AI40" s="22" t="s">
        <v>55</v>
      </c>
      <c r="AJ40" s="22" t="s">
        <v>55</v>
      </c>
      <c r="AK40" s="22" t="s">
        <v>55</v>
      </c>
      <c r="AL40" s="22" t="s">
        <v>55</v>
      </c>
      <c r="AM40" s="22" t="s">
        <v>55</v>
      </c>
      <c r="AN40" s="22" t="s">
        <v>55</v>
      </c>
      <c r="AO40" s="22" t="s">
        <v>55</v>
      </c>
      <c r="AP40" s="22" t="s">
        <v>55</v>
      </c>
      <c r="AQ40" s="22" t="s">
        <v>55</v>
      </c>
      <c r="AR40" s="22" t="s">
        <v>55</v>
      </c>
      <c r="AS40" s="22" t="s">
        <v>55</v>
      </c>
      <c r="AT40" s="22" t="s">
        <v>55</v>
      </c>
      <c r="AU40" s="22" t="s">
        <v>55</v>
      </c>
      <c r="AV40" s="22" t="s">
        <v>55</v>
      </c>
      <c r="AW40" s="23">
        <v>45777</v>
      </c>
      <c r="AX40" s="23">
        <v>45867</v>
      </c>
      <c r="AY40" s="22" t="s">
        <v>377</v>
      </c>
    </row>
    <row r="41" spans="1:51" ht="188.5" x14ac:dyDescent="0.35">
      <c r="A41" s="22" t="s">
        <v>478</v>
      </c>
      <c r="B41" s="22" t="s">
        <v>347</v>
      </c>
      <c r="C41" s="22" t="s">
        <v>51</v>
      </c>
      <c r="D41" s="22" t="s">
        <v>465</v>
      </c>
      <c r="E41" s="22" t="s">
        <v>52</v>
      </c>
      <c r="F41" s="22" t="s">
        <v>466</v>
      </c>
      <c r="G41" s="22" t="s">
        <v>54</v>
      </c>
      <c r="H41" s="22" t="s">
        <v>1712</v>
      </c>
      <c r="I41" s="22" t="s">
        <v>361</v>
      </c>
      <c r="J41" s="22" t="s">
        <v>475</v>
      </c>
      <c r="K41" s="22" t="s">
        <v>572</v>
      </c>
      <c r="L41" s="22" t="s">
        <v>103</v>
      </c>
      <c r="M41" s="22" t="s">
        <v>252</v>
      </c>
      <c r="N41" s="22" t="s">
        <v>55</v>
      </c>
      <c r="O41" s="22" t="s">
        <v>468</v>
      </c>
      <c r="P41" s="22" t="s">
        <v>479</v>
      </c>
      <c r="Q41" s="22" t="s">
        <v>480</v>
      </c>
      <c r="R41" s="22" t="s">
        <v>55</v>
      </c>
      <c r="S41" s="22" t="s">
        <v>481</v>
      </c>
      <c r="T41" s="22" t="s">
        <v>482</v>
      </c>
      <c r="U41" s="22" t="s">
        <v>63</v>
      </c>
      <c r="V41" s="23">
        <v>45930</v>
      </c>
      <c r="W41" s="22" t="s">
        <v>55</v>
      </c>
      <c r="X41" s="22" t="s">
        <v>55</v>
      </c>
      <c r="Y41" s="22" t="s">
        <v>65</v>
      </c>
      <c r="Z41" s="22" t="s">
        <v>55</v>
      </c>
      <c r="AA41" s="22" t="s">
        <v>66</v>
      </c>
      <c r="AB41" s="22" t="s">
        <v>865</v>
      </c>
      <c r="AC41" s="22" t="s">
        <v>55</v>
      </c>
      <c r="AD41" s="22" t="s">
        <v>67</v>
      </c>
      <c r="AE41" s="22" t="s">
        <v>257</v>
      </c>
      <c r="AF41" s="22" t="s">
        <v>98</v>
      </c>
      <c r="AG41" s="22" t="s">
        <v>55</v>
      </c>
      <c r="AH41" s="22" t="s">
        <v>55</v>
      </c>
      <c r="AI41" s="22" t="s">
        <v>55</v>
      </c>
      <c r="AJ41" s="22" t="s">
        <v>55</v>
      </c>
      <c r="AK41" s="22" t="s">
        <v>55</v>
      </c>
      <c r="AL41" s="22" t="s">
        <v>55</v>
      </c>
      <c r="AM41" s="22" t="s">
        <v>55</v>
      </c>
      <c r="AN41" s="22" t="s">
        <v>55</v>
      </c>
      <c r="AO41" s="22" t="s">
        <v>55</v>
      </c>
      <c r="AP41" s="22" t="s">
        <v>55</v>
      </c>
      <c r="AQ41" s="22" t="s">
        <v>55</v>
      </c>
      <c r="AR41" s="22" t="s">
        <v>55</v>
      </c>
      <c r="AS41" s="22" t="s">
        <v>55</v>
      </c>
      <c r="AT41" s="22" t="s">
        <v>55</v>
      </c>
      <c r="AU41" s="22" t="s">
        <v>55</v>
      </c>
      <c r="AV41" s="22" t="s">
        <v>55</v>
      </c>
      <c r="AW41" s="23">
        <v>45777</v>
      </c>
      <c r="AX41" s="23">
        <v>45867</v>
      </c>
      <c r="AY41" s="22" t="s">
        <v>377</v>
      </c>
    </row>
    <row r="42" spans="1:51" ht="130.5" x14ac:dyDescent="0.35">
      <c r="A42" s="22" t="s">
        <v>483</v>
      </c>
      <c r="B42" s="22" t="s">
        <v>347</v>
      </c>
      <c r="C42" s="22" t="s">
        <v>51</v>
      </c>
      <c r="D42" s="22" t="s">
        <v>465</v>
      </c>
      <c r="E42" s="22" t="s">
        <v>108</v>
      </c>
      <c r="F42" s="22" t="s">
        <v>466</v>
      </c>
      <c r="G42" s="22" t="s">
        <v>54</v>
      </c>
      <c r="H42" s="22" t="s">
        <v>1712</v>
      </c>
      <c r="I42" s="22" t="s">
        <v>362</v>
      </c>
      <c r="J42" s="22" t="s">
        <v>484</v>
      </c>
      <c r="K42" s="22" t="s">
        <v>593</v>
      </c>
      <c r="L42" s="22" t="s">
        <v>103</v>
      </c>
      <c r="M42" s="22" t="s">
        <v>55</v>
      </c>
      <c r="N42" s="22" t="s">
        <v>55</v>
      </c>
      <c r="O42" s="22" t="s">
        <v>468</v>
      </c>
      <c r="P42" s="22" t="s">
        <v>485</v>
      </c>
      <c r="Q42" s="22" t="s">
        <v>486</v>
      </c>
      <c r="R42" s="22" t="s">
        <v>55</v>
      </c>
      <c r="S42" s="22" t="s">
        <v>487</v>
      </c>
      <c r="T42" s="22" t="s">
        <v>488</v>
      </c>
      <c r="U42" s="22" t="s">
        <v>63</v>
      </c>
      <c r="V42" s="23">
        <v>45930</v>
      </c>
      <c r="W42" s="22" t="s">
        <v>55</v>
      </c>
      <c r="X42" s="22" t="s">
        <v>489</v>
      </c>
      <c r="Y42" s="22" t="s">
        <v>65</v>
      </c>
      <c r="Z42" s="22" t="s">
        <v>55</v>
      </c>
      <c r="AA42" s="22" t="s">
        <v>66</v>
      </c>
      <c r="AB42" s="22" t="s">
        <v>866</v>
      </c>
      <c r="AC42" s="22" t="s">
        <v>55</v>
      </c>
      <c r="AD42" s="22" t="s">
        <v>67</v>
      </c>
      <c r="AE42" s="22" t="s">
        <v>257</v>
      </c>
      <c r="AF42" s="22" t="s">
        <v>55</v>
      </c>
      <c r="AG42" s="22" t="s">
        <v>55</v>
      </c>
      <c r="AH42" s="22" t="s">
        <v>55</v>
      </c>
      <c r="AI42" s="22" t="s">
        <v>55</v>
      </c>
      <c r="AJ42" s="22" t="s">
        <v>55</v>
      </c>
      <c r="AK42" s="22" t="s">
        <v>55</v>
      </c>
      <c r="AL42" s="22" t="s">
        <v>55</v>
      </c>
      <c r="AM42" s="22" t="s">
        <v>55</v>
      </c>
      <c r="AN42" s="22" t="s">
        <v>55</v>
      </c>
      <c r="AO42" s="22" t="s">
        <v>55</v>
      </c>
      <c r="AP42" s="22" t="s">
        <v>55</v>
      </c>
      <c r="AQ42" s="22" t="s">
        <v>55</v>
      </c>
      <c r="AR42" s="22" t="s">
        <v>55</v>
      </c>
      <c r="AS42" s="22" t="s">
        <v>55</v>
      </c>
      <c r="AT42" s="22" t="s">
        <v>55</v>
      </c>
      <c r="AU42" s="22" t="s">
        <v>55</v>
      </c>
      <c r="AV42" s="22" t="s">
        <v>55</v>
      </c>
      <c r="AW42" s="23">
        <v>45777</v>
      </c>
      <c r="AX42" s="23">
        <v>45867</v>
      </c>
      <c r="AY42" s="22" t="s">
        <v>377</v>
      </c>
    </row>
    <row r="43" spans="1:51" ht="29" x14ac:dyDescent="0.35">
      <c r="A43" s="22" t="s">
        <v>490</v>
      </c>
      <c r="B43" s="22" t="s">
        <v>347</v>
      </c>
      <c r="C43" s="22" t="s">
        <v>51</v>
      </c>
      <c r="D43" s="22" t="s">
        <v>491</v>
      </c>
      <c r="E43" s="22" t="s">
        <v>108</v>
      </c>
      <c r="F43" s="22" t="s">
        <v>492</v>
      </c>
      <c r="G43" s="22" t="s">
        <v>493</v>
      </c>
      <c r="H43" s="22" t="s">
        <v>1718</v>
      </c>
      <c r="I43" s="22" t="s">
        <v>494</v>
      </c>
      <c r="J43" s="22" t="s">
        <v>55</v>
      </c>
      <c r="K43" s="22" t="s">
        <v>594</v>
      </c>
      <c r="L43" s="22" t="s">
        <v>103</v>
      </c>
      <c r="M43" s="22" t="s">
        <v>55</v>
      </c>
      <c r="N43" s="22" t="s">
        <v>55</v>
      </c>
      <c r="O43" s="22" t="s">
        <v>495</v>
      </c>
      <c r="P43" s="22" t="s">
        <v>496</v>
      </c>
      <c r="Q43" s="22" t="s">
        <v>497</v>
      </c>
      <c r="R43" s="22" t="s">
        <v>63</v>
      </c>
      <c r="S43" s="22" t="s">
        <v>498</v>
      </c>
      <c r="T43" s="22" t="s">
        <v>55</v>
      </c>
      <c r="U43" s="22" t="s">
        <v>63</v>
      </c>
      <c r="V43" s="23">
        <v>46053</v>
      </c>
      <c r="W43" s="22" t="s">
        <v>55</v>
      </c>
      <c r="X43" s="22" t="s">
        <v>499</v>
      </c>
      <c r="Y43" s="22" t="s">
        <v>65</v>
      </c>
      <c r="Z43" s="22" t="s">
        <v>55</v>
      </c>
      <c r="AA43" s="22" t="s">
        <v>155</v>
      </c>
      <c r="AB43" s="22" t="s">
        <v>55</v>
      </c>
      <c r="AC43" s="22" t="s">
        <v>55</v>
      </c>
      <c r="AD43" s="22" t="s">
        <v>67</v>
      </c>
      <c r="AE43" s="22" t="s">
        <v>257</v>
      </c>
      <c r="AF43" s="22" t="s">
        <v>55</v>
      </c>
      <c r="AG43" s="22" t="s">
        <v>55</v>
      </c>
      <c r="AH43" s="22" t="s">
        <v>55</v>
      </c>
      <c r="AI43" s="22" t="s">
        <v>55</v>
      </c>
      <c r="AJ43" s="22" t="s">
        <v>55</v>
      </c>
      <c r="AK43" s="22" t="s">
        <v>55</v>
      </c>
      <c r="AL43" s="22" t="s">
        <v>55</v>
      </c>
      <c r="AM43" s="22" t="s">
        <v>55</v>
      </c>
      <c r="AN43" s="22" t="s">
        <v>55</v>
      </c>
      <c r="AO43" s="22" t="s">
        <v>55</v>
      </c>
      <c r="AP43" s="22" t="s">
        <v>55</v>
      </c>
      <c r="AQ43" s="22" t="s">
        <v>55</v>
      </c>
      <c r="AR43" s="22" t="s">
        <v>55</v>
      </c>
      <c r="AS43" s="22" t="s">
        <v>55</v>
      </c>
      <c r="AT43" s="22" t="s">
        <v>55</v>
      </c>
      <c r="AU43" s="22" t="s">
        <v>55</v>
      </c>
      <c r="AV43" s="22" t="s">
        <v>55</v>
      </c>
      <c r="AW43" s="23">
        <v>45658</v>
      </c>
      <c r="AX43" s="23">
        <v>45866</v>
      </c>
      <c r="AY43" s="22" t="s">
        <v>377</v>
      </c>
    </row>
    <row r="44" spans="1:51" ht="43.5" x14ac:dyDescent="0.35">
      <c r="A44" s="22" t="s">
        <v>500</v>
      </c>
      <c r="B44" s="22" t="s">
        <v>347</v>
      </c>
      <c r="C44" s="22" t="s">
        <v>51</v>
      </c>
      <c r="D44" s="22" t="s">
        <v>491</v>
      </c>
      <c r="E44" s="22" t="s">
        <v>108</v>
      </c>
      <c r="F44" s="22" t="s">
        <v>501</v>
      </c>
      <c r="G44" s="22" t="s">
        <v>54</v>
      </c>
      <c r="H44" s="22" t="s">
        <v>1711</v>
      </c>
      <c r="I44" s="22" t="s">
        <v>142</v>
      </c>
      <c r="J44" s="22" t="s">
        <v>502</v>
      </c>
      <c r="K44" s="22" t="s">
        <v>596</v>
      </c>
      <c r="L44" s="22" t="s">
        <v>503</v>
      </c>
      <c r="M44" s="22" t="s">
        <v>55</v>
      </c>
      <c r="N44" s="22" t="s">
        <v>55</v>
      </c>
      <c r="O44" s="22" t="s">
        <v>504</v>
      </c>
      <c r="P44" s="22" t="s">
        <v>505</v>
      </c>
      <c r="Q44" s="22" t="s">
        <v>506</v>
      </c>
      <c r="R44" s="22" t="s">
        <v>63</v>
      </c>
      <c r="S44" s="22" t="s">
        <v>507</v>
      </c>
      <c r="T44" s="22" t="s">
        <v>55</v>
      </c>
      <c r="U44" s="22" t="s">
        <v>132</v>
      </c>
      <c r="V44" s="23">
        <v>45869</v>
      </c>
      <c r="W44" s="22" t="s">
        <v>55</v>
      </c>
      <c r="X44" s="22" t="s">
        <v>508</v>
      </c>
      <c r="Y44" s="22" t="s">
        <v>65</v>
      </c>
      <c r="Z44" s="22" t="s">
        <v>55</v>
      </c>
      <c r="AA44" s="22" t="s">
        <v>66</v>
      </c>
      <c r="AB44" s="22" t="s">
        <v>55</v>
      </c>
      <c r="AC44" s="22" t="s">
        <v>55</v>
      </c>
      <c r="AD44" s="22" t="s">
        <v>67</v>
      </c>
      <c r="AE44" s="22" t="s">
        <v>257</v>
      </c>
      <c r="AF44" s="22" t="s">
        <v>55</v>
      </c>
      <c r="AG44" s="22" t="s">
        <v>55</v>
      </c>
      <c r="AH44" s="22" t="s">
        <v>55</v>
      </c>
      <c r="AI44" s="22" t="s">
        <v>55</v>
      </c>
      <c r="AJ44" s="22" t="s">
        <v>55</v>
      </c>
      <c r="AK44" s="22" t="s">
        <v>55</v>
      </c>
      <c r="AL44" s="22" t="s">
        <v>55</v>
      </c>
      <c r="AM44" s="22" t="s">
        <v>55</v>
      </c>
      <c r="AN44" s="22" t="s">
        <v>55</v>
      </c>
      <c r="AO44" s="22" t="s">
        <v>55</v>
      </c>
      <c r="AP44" s="22" t="s">
        <v>55</v>
      </c>
      <c r="AQ44" s="22" t="s">
        <v>55</v>
      </c>
      <c r="AR44" s="22" t="s">
        <v>55</v>
      </c>
      <c r="AS44" s="22" t="s">
        <v>55</v>
      </c>
      <c r="AT44" s="22" t="s">
        <v>55</v>
      </c>
      <c r="AU44" s="22" t="s">
        <v>55</v>
      </c>
      <c r="AV44" s="22" t="s">
        <v>55</v>
      </c>
      <c r="AW44" s="23">
        <v>45658</v>
      </c>
      <c r="AX44" s="23">
        <v>45866</v>
      </c>
      <c r="AY44" s="22" t="s">
        <v>377</v>
      </c>
    </row>
    <row r="45" spans="1:51" ht="116" x14ac:dyDescent="0.35">
      <c r="A45" s="22" t="s">
        <v>509</v>
      </c>
      <c r="B45" s="22" t="s">
        <v>347</v>
      </c>
      <c r="C45" s="22" t="s">
        <v>51</v>
      </c>
      <c r="D45" s="22" t="s">
        <v>491</v>
      </c>
      <c r="E45" s="22" t="s">
        <v>108</v>
      </c>
      <c r="F45" s="22" t="s">
        <v>54</v>
      </c>
      <c r="G45" s="22" t="s">
        <v>54</v>
      </c>
      <c r="H45" s="22" t="s">
        <v>510</v>
      </c>
      <c r="I45" s="22" t="s">
        <v>142</v>
      </c>
      <c r="J45" s="22" t="s">
        <v>502</v>
      </c>
      <c r="K45" s="22" t="s">
        <v>596</v>
      </c>
      <c r="L45" s="22" t="s">
        <v>503</v>
      </c>
      <c r="M45" s="22" t="s">
        <v>55</v>
      </c>
      <c r="N45" s="22" t="s">
        <v>55</v>
      </c>
      <c r="O45" s="22" t="s">
        <v>511</v>
      </c>
      <c r="P45" s="22" t="s">
        <v>512</v>
      </c>
      <c r="Q45" s="22" t="s">
        <v>513</v>
      </c>
      <c r="R45" s="22" t="s">
        <v>63</v>
      </c>
      <c r="S45" s="22" t="s">
        <v>514</v>
      </c>
      <c r="T45" s="22" t="s">
        <v>55</v>
      </c>
      <c r="U45" s="22" t="s">
        <v>132</v>
      </c>
      <c r="V45" s="23">
        <v>45930</v>
      </c>
      <c r="W45" s="22" t="s">
        <v>55</v>
      </c>
      <c r="X45" s="22" t="s">
        <v>515</v>
      </c>
      <c r="Y45" s="22" t="s">
        <v>65</v>
      </c>
      <c r="Z45" s="22" t="s">
        <v>55</v>
      </c>
      <c r="AA45" s="22" t="s">
        <v>66</v>
      </c>
      <c r="AB45" s="22" t="s">
        <v>55</v>
      </c>
      <c r="AC45" s="22" t="s">
        <v>55</v>
      </c>
      <c r="AD45" s="22" t="s">
        <v>67</v>
      </c>
      <c r="AE45" s="22" t="s">
        <v>257</v>
      </c>
      <c r="AF45" s="22" t="s">
        <v>55</v>
      </c>
      <c r="AG45" s="22" t="s">
        <v>55</v>
      </c>
      <c r="AH45" s="22" t="s">
        <v>55</v>
      </c>
      <c r="AI45" s="22" t="s">
        <v>55</v>
      </c>
      <c r="AJ45" s="22" t="s">
        <v>55</v>
      </c>
      <c r="AK45" s="22" t="s">
        <v>55</v>
      </c>
      <c r="AL45" s="22" t="s">
        <v>55</v>
      </c>
      <c r="AM45" s="22" t="s">
        <v>55</v>
      </c>
      <c r="AN45" s="22" t="s">
        <v>55</v>
      </c>
      <c r="AO45" s="22" t="s">
        <v>55</v>
      </c>
      <c r="AP45" s="22" t="s">
        <v>55</v>
      </c>
      <c r="AQ45" s="22" t="s">
        <v>55</v>
      </c>
      <c r="AR45" s="22" t="s">
        <v>55</v>
      </c>
      <c r="AS45" s="22" t="s">
        <v>55</v>
      </c>
      <c r="AT45" s="22" t="s">
        <v>55</v>
      </c>
      <c r="AU45" s="22" t="s">
        <v>55</v>
      </c>
      <c r="AV45" s="22" t="s">
        <v>55</v>
      </c>
      <c r="AW45" s="23">
        <v>45861</v>
      </c>
      <c r="AX45" s="23">
        <v>45866</v>
      </c>
      <c r="AY45" s="22" t="s">
        <v>377</v>
      </c>
    </row>
    <row r="46" spans="1:51" ht="29" x14ac:dyDescent="0.35">
      <c r="A46" s="22" t="s">
        <v>516</v>
      </c>
      <c r="B46" s="22" t="s">
        <v>347</v>
      </c>
      <c r="C46" s="22" t="s">
        <v>51</v>
      </c>
      <c r="D46" s="22" t="s">
        <v>491</v>
      </c>
      <c r="E46" s="22" t="s">
        <v>108</v>
      </c>
      <c r="F46" s="22" t="s">
        <v>54</v>
      </c>
      <c r="G46" s="22" t="s">
        <v>54</v>
      </c>
      <c r="H46" s="22" t="s">
        <v>510</v>
      </c>
      <c r="I46" s="22" t="s">
        <v>517</v>
      </c>
      <c r="J46" s="22" t="s">
        <v>518</v>
      </c>
      <c r="K46" s="22" t="s">
        <v>594</v>
      </c>
      <c r="L46" s="22" t="s">
        <v>103</v>
      </c>
      <c r="M46" s="22" t="s">
        <v>55</v>
      </c>
      <c r="N46" s="22" t="s">
        <v>55</v>
      </c>
      <c r="O46" s="22" t="s">
        <v>519</v>
      </c>
      <c r="P46" s="22" t="s">
        <v>520</v>
      </c>
      <c r="Q46" s="22" t="s">
        <v>521</v>
      </c>
      <c r="R46" s="22" t="s">
        <v>63</v>
      </c>
      <c r="S46" s="22" t="s">
        <v>522</v>
      </c>
      <c r="T46" s="22" t="s">
        <v>55</v>
      </c>
      <c r="U46" s="22" t="s">
        <v>132</v>
      </c>
      <c r="V46" s="23">
        <v>45961</v>
      </c>
      <c r="W46" s="22" t="s">
        <v>55</v>
      </c>
      <c r="X46" s="22" t="s">
        <v>523</v>
      </c>
      <c r="Y46" s="22" t="s">
        <v>65</v>
      </c>
      <c r="Z46" s="22" t="s">
        <v>55</v>
      </c>
      <c r="AA46" s="22" t="s">
        <v>66</v>
      </c>
      <c r="AB46" s="22" t="s">
        <v>55</v>
      </c>
      <c r="AC46" s="22" t="s">
        <v>55</v>
      </c>
      <c r="AD46" s="22" t="s">
        <v>67</v>
      </c>
      <c r="AE46" s="22" t="s">
        <v>257</v>
      </c>
      <c r="AF46" s="22" t="s">
        <v>55</v>
      </c>
      <c r="AG46" s="22" t="s">
        <v>55</v>
      </c>
      <c r="AH46" s="22" t="s">
        <v>55</v>
      </c>
      <c r="AI46" s="22" t="s">
        <v>55</v>
      </c>
      <c r="AJ46" s="22" t="s">
        <v>55</v>
      </c>
      <c r="AK46" s="22" t="s">
        <v>55</v>
      </c>
      <c r="AL46" s="22" t="s">
        <v>55</v>
      </c>
      <c r="AM46" s="22" t="s">
        <v>55</v>
      </c>
      <c r="AN46" s="22" t="s">
        <v>55</v>
      </c>
      <c r="AO46" s="22" t="s">
        <v>55</v>
      </c>
      <c r="AP46" s="22" t="s">
        <v>55</v>
      </c>
      <c r="AQ46" s="22" t="s">
        <v>55</v>
      </c>
      <c r="AR46" s="22" t="s">
        <v>55</v>
      </c>
      <c r="AS46" s="22" t="s">
        <v>55</v>
      </c>
      <c r="AT46" s="22" t="s">
        <v>55</v>
      </c>
      <c r="AU46" s="22" t="s">
        <v>55</v>
      </c>
      <c r="AV46" s="22" t="s">
        <v>55</v>
      </c>
      <c r="AW46" s="23">
        <v>45839</v>
      </c>
      <c r="AX46" s="23">
        <v>45866</v>
      </c>
      <c r="AY46" s="22" t="s">
        <v>377</v>
      </c>
    </row>
    <row r="47" spans="1:51" ht="58" x14ac:dyDescent="0.35">
      <c r="A47" s="22" t="s">
        <v>524</v>
      </c>
      <c r="B47" s="22" t="s">
        <v>347</v>
      </c>
      <c r="C47" s="22" t="s">
        <v>51</v>
      </c>
      <c r="D47" s="22" t="s">
        <v>491</v>
      </c>
      <c r="E47" s="22" t="s">
        <v>108</v>
      </c>
      <c r="F47" s="22" t="s">
        <v>525</v>
      </c>
      <c r="G47" s="22" t="s">
        <v>84</v>
      </c>
      <c r="H47" s="22" t="s">
        <v>84</v>
      </c>
      <c r="I47" s="22" t="s">
        <v>526</v>
      </c>
      <c r="J47" s="22" t="s">
        <v>55</v>
      </c>
      <c r="K47" s="22" t="s">
        <v>602</v>
      </c>
      <c r="L47" s="22" t="s">
        <v>103</v>
      </c>
      <c r="M47" s="22" t="s">
        <v>55</v>
      </c>
      <c r="N47" s="22" t="s">
        <v>55</v>
      </c>
      <c r="O47" s="22" t="s">
        <v>527</v>
      </c>
      <c r="P47" s="22" t="s">
        <v>528</v>
      </c>
      <c r="Q47" s="22" t="s">
        <v>529</v>
      </c>
      <c r="R47" s="22" t="s">
        <v>63</v>
      </c>
      <c r="S47" s="22" t="s">
        <v>530</v>
      </c>
      <c r="T47" s="22" t="s">
        <v>55</v>
      </c>
      <c r="U47" s="22" t="s">
        <v>132</v>
      </c>
      <c r="V47" s="23">
        <v>45961</v>
      </c>
      <c r="W47" s="22" t="s">
        <v>55</v>
      </c>
      <c r="X47" s="22" t="s">
        <v>531</v>
      </c>
      <c r="Y47" s="22" t="s">
        <v>65</v>
      </c>
      <c r="Z47" s="22" t="s">
        <v>55</v>
      </c>
      <c r="AA47" s="22" t="s">
        <v>66</v>
      </c>
      <c r="AB47" s="22" t="s">
        <v>55</v>
      </c>
      <c r="AC47" s="22" t="s">
        <v>55</v>
      </c>
      <c r="AD47" s="22" t="s">
        <v>67</v>
      </c>
      <c r="AE47" s="22" t="s">
        <v>257</v>
      </c>
      <c r="AF47" s="22" t="s">
        <v>55</v>
      </c>
      <c r="AG47" s="22" t="s">
        <v>55</v>
      </c>
      <c r="AH47" s="22" t="s">
        <v>55</v>
      </c>
      <c r="AI47" s="22" t="s">
        <v>55</v>
      </c>
      <c r="AJ47" s="22" t="s">
        <v>55</v>
      </c>
      <c r="AK47" s="22" t="s">
        <v>55</v>
      </c>
      <c r="AL47" s="22" t="s">
        <v>55</v>
      </c>
      <c r="AM47" s="22" t="s">
        <v>55</v>
      </c>
      <c r="AN47" s="22" t="s">
        <v>55</v>
      </c>
      <c r="AO47" s="22" t="s">
        <v>55</v>
      </c>
      <c r="AP47" s="22" t="s">
        <v>55</v>
      </c>
      <c r="AQ47" s="22" t="s">
        <v>55</v>
      </c>
      <c r="AR47" s="22" t="s">
        <v>55</v>
      </c>
      <c r="AS47" s="22" t="s">
        <v>55</v>
      </c>
      <c r="AT47" s="22" t="s">
        <v>55</v>
      </c>
      <c r="AU47" s="22" t="s">
        <v>55</v>
      </c>
      <c r="AV47" s="22" t="s">
        <v>55</v>
      </c>
      <c r="AW47" s="23">
        <v>45839</v>
      </c>
      <c r="AX47" s="23">
        <v>45866</v>
      </c>
      <c r="AY47" s="22" t="s">
        <v>377</v>
      </c>
    </row>
    <row r="48" spans="1:51" ht="130.5" x14ac:dyDescent="0.35">
      <c r="A48" s="22" t="s">
        <v>532</v>
      </c>
      <c r="B48" s="22" t="s">
        <v>347</v>
      </c>
      <c r="C48" s="22" t="s">
        <v>51</v>
      </c>
      <c r="D48" s="22" t="s">
        <v>533</v>
      </c>
      <c r="E48" s="22" t="s">
        <v>52</v>
      </c>
      <c r="F48" s="22" t="s">
        <v>501</v>
      </c>
      <c r="G48" s="22" t="s">
        <v>54</v>
      </c>
      <c r="H48" s="22" t="s">
        <v>1711</v>
      </c>
      <c r="I48" s="22" t="s">
        <v>119</v>
      </c>
      <c r="J48" s="22" t="s">
        <v>186</v>
      </c>
      <c r="K48" s="22" t="s">
        <v>534</v>
      </c>
      <c r="L48" s="22" t="s">
        <v>503</v>
      </c>
      <c r="M48" s="22" t="s">
        <v>474</v>
      </c>
      <c r="N48" s="22" t="s">
        <v>55</v>
      </c>
      <c r="O48" s="22" t="s">
        <v>535</v>
      </c>
      <c r="P48" s="22" t="s">
        <v>536</v>
      </c>
      <c r="Q48" s="22" t="s">
        <v>537</v>
      </c>
      <c r="R48" s="22" t="s">
        <v>132</v>
      </c>
      <c r="S48" s="22" t="s">
        <v>538</v>
      </c>
      <c r="T48" s="22" t="s">
        <v>539</v>
      </c>
      <c r="U48" s="22" t="s">
        <v>132</v>
      </c>
      <c r="V48" s="23">
        <v>45930</v>
      </c>
      <c r="W48" s="22" t="s">
        <v>55</v>
      </c>
      <c r="X48" s="22" t="s">
        <v>540</v>
      </c>
      <c r="Y48" s="22" t="s">
        <v>65</v>
      </c>
      <c r="Z48" s="22" t="s">
        <v>55</v>
      </c>
      <c r="AA48" s="22" t="s">
        <v>66</v>
      </c>
      <c r="AB48" s="22" t="s">
        <v>55</v>
      </c>
      <c r="AC48" s="22" t="s">
        <v>55</v>
      </c>
      <c r="AD48" s="22" t="s">
        <v>67</v>
      </c>
      <c r="AE48" s="22" t="s">
        <v>257</v>
      </c>
      <c r="AF48" s="22" t="s">
        <v>156</v>
      </c>
      <c r="AG48" s="22" t="s">
        <v>55</v>
      </c>
      <c r="AH48" s="22" t="s">
        <v>55</v>
      </c>
      <c r="AI48" s="22" t="s">
        <v>55</v>
      </c>
      <c r="AJ48" s="22" t="s">
        <v>55</v>
      </c>
      <c r="AK48" s="22" t="s">
        <v>55</v>
      </c>
      <c r="AL48" s="22" t="s">
        <v>55</v>
      </c>
      <c r="AM48" s="22" t="s">
        <v>55</v>
      </c>
      <c r="AN48" s="22" t="s">
        <v>55</v>
      </c>
      <c r="AO48" s="22" t="s">
        <v>55</v>
      </c>
      <c r="AP48" s="22" t="s">
        <v>55</v>
      </c>
      <c r="AQ48" s="22" t="s">
        <v>55</v>
      </c>
      <c r="AR48" s="22" t="s">
        <v>55</v>
      </c>
      <c r="AS48" s="22" t="s">
        <v>55</v>
      </c>
      <c r="AT48" s="22" t="s">
        <v>55</v>
      </c>
      <c r="AU48" s="22" t="s">
        <v>55</v>
      </c>
      <c r="AV48" s="22" t="s">
        <v>55</v>
      </c>
      <c r="AW48" s="23">
        <v>45777</v>
      </c>
      <c r="AX48" s="23">
        <v>45867</v>
      </c>
      <c r="AY48" s="22" t="s">
        <v>541</v>
      </c>
    </row>
    <row r="49" spans="1:51" ht="188.5" x14ac:dyDescent="0.35">
      <c r="A49" s="22" t="s">
        <v>542</v>
      </c>
      <c r="B49" s="22" t="s">
        <v>347</v>
      </c>
      <c r="C49" s="22" t="s">
        <v>51</v>
      </c>
      <c r="D49" s="22" t="s">
        <v>533</v>
      </c>
      <c r="E49" s="22" t="s">
        <v>52</v>
      </c>
      <c r="F49" s="22" t="s">
        <v>501</v>
      </c>
      <c r="G49" s="22" t="s">
        <v>54</v>
      </c>
      <c r="H49" s="22" t="s">
        <v>1711</v>
      </c>
      <c r="I49" s="22" t="s">
        <v>119</v>
      </c>
      <c r="J49" s="22" t="s">
        <v>543</v>
      </c>
      <c r="K49" s="22" t="s">
        <v>603</v>
      </c>
      <c r="L49" s="22" t="s">
        <v>103</v>
      </c>
      <c r="M49" s="22" t="s">
        <v>545</v>
      </c>
      <c r="N49" s="22" t="s">
        <v>55</v>
      </c>
      <c r="O49" s="22" t="s">
        <v>535</v>
      </c>
      <c r="P49" s="22" t="s">
        <v>546</v>
      </c>
      <c r="Q49" s="22" t="s">
        <v>547</v>
      </c>
      <c r="R49" s="22" t="s">
        <v>55</v>
      </c>
      <c r="S49" s="22" t="s">
        <v>548</v>
      </c>
      <c r="T49" s="22" t="s">
        <v>549</v>
      </c>
      <c r="U49" s="22" t="s">
        <v>63</v>
      </c>
      <c r="V49" s="23">
        <v>45930</v>
      </c>
      <c r="W49" s="22" t="s">
        <v>55</v>
      </c>
      <c r="X49" s="22" t="s">
        <v>540</v>
      </c>
      <c r="Y49" s="22" t="s">
        <v>65</v>
      </c>
      <c r="Z49" s="22" t="s">
        <v>55</v>
      </c>
      <c r="AA49" s="22" t="s">
        <v>66</v>
      </c>
      <c r="AB49" s="22" t="s">
        <v>55</v>
      </c>
      <c r="AC49" s="22" t="s">
        <v>55</v>
      </c>
      <c r="AD49" s="22" t="s">
        <v>67</v>
      </c>
      <c r="AE49" s="22" t="s">
        <v>257</v>
      </c>
      <c r="AF49" s="22" t="s">
        <v>69</v>
      </c>
      <c r="AG49" s="22" t="s">
        <v>55</v>
      </c>
      <c r="AH49" s="22" t="s">
        <v>55</v>
      </c>
      <c r="AI49" s="22" t="s">
        <v>55</v>
      </c>
      <c r="AJ49" s="22" t="s">
        <v>55</v>
      </c>
      <c r="AK49" s="22" t="s">
        <v>55</v>
      </c>
      <c r="AL49" s="22" t="s">
        <v>55</v>
      </c>
      <c r="AM49" s="22" t="s">
        <v>55</v>
      </c>
      <c r="AN49" s="22" t="s">
        <v>55</v>
      </c>
      <c r="AO49" s="22" t="s">
        <v>55</v>
      </c>
      <c r="AP49" s="22" t="s">
        <v>55</v>
      </c>
      <c r="AQ49" s="22" t="s">
        <v>55</v>
      </c>
      <c r="AR49" s="22" t="s">
        <v>55</v>
      </c>
      <c r="AS49" s="22" t="s">
        <v>55</v>
      </c>
      <c r="AT49" s="22" t="s">
        <v>55</v>
      </c>
      <c r="AU49" s="22" t="s">
        <v>55</v>
      </c>
      <c r="AV49" s="22" t="s">
        <v>55</v>
      </c>
      <c r="AW49" s="23">
        <v>45777</v>
      </c>
      <c r="AX49" s="23">
        <v>45867</v>
      </c>
      <c r="AY49" s="22" t="s">
        <v>541</v>
      </c>
    </row>
    <row r="50" spans="1:51" ht="159.5" x14ac:dyDescent="0.35">
      <c r="A50" s="22" t="s">
        <v>550</v>
      </c>
      <c r="B50" s="22" t="s">
        <v>347</v>
      </c>
      <c r="C50" s="22" t="s">
        <v>51</v>
      </c>
      <c r="D50" s="22" t="s">
        <v>533</v>
      </c>
      <c r="E50" s="22" t="s">
        <v>52</v>
      </c>
      <c r="F50" s="22" t="s">
        <v>501</v>
      </c>
      <c r="G50" s="22" t="s">
        <v>54</v>
      </c>
      <c r="H50" s="22" t="s">
        <v>1711</v>
      </c>
      <c r="I50" s="22" t="s">
        <v>119</v>
      </c>
      <c r="J50" s="22" t="s">
        <v>551</v>
      </c>
      <c r="K50" s="22" t="s">
        <v>552</v>
      </c>
      <c r="L50" s="22" t="s">
        <v>57</v>
      </c>
      <c r="M50" s="22" t="s">
        <v>243</v>
      </c>
      <c r="N50" s="22" t="s">
        <v>55</v>
      </c>
      <c r="O50" s="22" t="s">
        <v>535</v>
      </c>
      <c r="P50" s="22" t="s">
        <v>553</v>
      </c>
      <c r="Q50" s="22" t="s">
        <v>554</v>
      </c>
      <c r="R50" s="22" t="s">
        <v>132</v>
      </c>
      <c r="S50" s="22" t="s">
        <v>555</v>
      </c>
      <c r="T50" s="22" t="s">
        <v>556</v>
      </c>
      <c r="U50" s="22" t="s">
        <v>132</v>
      </c>
      <c r="V50" s="23">
        <v>45930</v>
      </c>
      <c r="W50" s="22" t="s">
        <v>55</v>
      </c>
      <c r="X50" s="22" t="s">
        <v>557</v>
      </c>
      <c r="Y50" s="22" t="s">
        <v>65</v>
      </c>
      <c r="Z50" s="22" t="s">
        <v>55</v>
      </c>
      <c r="AA50" s="22" t="s">
        <v>66</v>
      </c>
      <c r="AB50" s="22" t="s">
        <v>55</v>
      </c>
      <c r="AC50" s="22" t="s">
        <v>55</v>
      </c>
      <c r="AD50" s="22" t="s">
        <v>67</v>
      </c>
      <c r="AE50" s="22" t="s">
        <v>257</v>
      </c>
      <c r="AF50" s="22" t="s">
        <v>92</v>
      </c>
      <c r="AG50" s="22" t="s">
        <v>55</v>
      </c>
      <c r="AH50" s="22" t="s">
        <v>55</v>
      </c>
      <c r="AI50" s="22" t="s">
        <v>55</v>
      </c>
      <c r="AJ50" s="22" t="s">
        <v>55</v>
      </c>
      <c r="AK50" s="22" t="s">
        <v>55</v>
      </c>
      <c r="AL50" s="22" t="s">
        <v>55</v>
      </c>
      <c r="AM50" s="22" t="s">
        <v>55</v>
      </c>
      <c r="AN50" s="22" t="s">
        <v>55</v>
      </c>
      <c r="AO50" s="22" t="s">
        <v>55</v>
      </c>
      <c r="AP50" s="22" t="s">
        <v>55</v>
      </c>
      <c r="AQ50" s="22" t="s">
        <v>55</v>
      </c>
      <c r="AR50" s="22" t="s">
        <v>55</v>
      </c>
      <c r="AS50" s="22" t="s">
        <v>55</v>
      </c>
      <c r="AT50" s="22" t="s">
        <v>55</v>
      </c>
      <c r="AU50" s="22" t="s">
        <v>55</v>
      </c>
      <c r="AV50" s="22" t="s">
        <v>55</v>
      </c>
      <c r="AW50" s="23">
        <v>45777</v>
      </c>
      <c r="AX50" s="23">
        <v>45869</v>
      </c>
      <c r="AY50" s="22" t="s">
        <v>541</v>
      </c>
    </row>
    <row r="51" spans="1:51" ht="188.5" x14ac:dyDescent="0.35">
      <c r="A51" s="22" t="s">
        <v>566</v>
      </c>
      <c r="B51" s="22" t="s">
        <v>347</v>
      </c>
      <c r="C51" s="22" t="s">
        <v>51</v>
      </c>
      <c r="D51" s="22" t="s">
        <v>533</v>
      </c>
      <c r="E51" s="22" t="s">
        <v>52</v>
      </c>
      <c r="F51" s="22" t="s">
        <v>501</v>
      </c>
      <c r="G51" s="22" t="s">
        <v>54</v>
      </c>
      <c r="H51" s="22" t="s">
        <v>1711</v>
      </c>
      <c r="I51" s="22" t="s">
        <v>361</v>
      </c>
      <c r="J51" s="22" t="s">
        <v>560</v>
      </c>
      <c r="K51" s="22" t="s">
        <v>604</v>
      </c>
      <c r="L51" s="22" t="s">
        <v>103</v>
      </c>
      <c r="M51" s="22" t="s">
        <v>139</v>
      </c>
      <c r="N51" s="22" t="s">
        <v>55</v>
      </c>
      <c r="O51" s="22" t="s">
        <v>535</v>
      </c>
      <c r="P51" s="22" t="s">
        <v>567</v>
      </c>
      <c r="Q51" s="22" t="s">
        <v>568</v>
      </c>
      <c r="R51" s="22" t="s">
        <v>55</v>
      </c>
      <c r="S51" s="22" t="s">
        <v>569</v>
      </c>
      <c r="T51" s="22" t="s">
        <v>570</v>
      </c>
      <c r="U51" s="22" t="s">
        <v>132</v>
      </c>
      <c r="V51" s="23">
        <v>46022</v>
      </c>
      <c r="W51" s="22" t="s">
        <v>55</v>
      </c>
      <c r="X51" s="22" t="s">
        <v>571</v>
      </c>
      <c r="Y51" s="22" t="s">
        <v>65</v>
      </c>
      <c r="Z51" s="22" t="s">
        <v>55</v>
      </c>
      <c r="AA51" s="22" t="s">
        <v>221</v>
      </c>
      <c r="AB51" s="22" t="s">
        <v>55</v>
      </c>
      <c r="AC51" s="22" t="s">
        <v>55</v>
      </c>
      <c r="AD51" s="22" t="s">
        <v>67</v>
      </c>
      <c r="AE51" s="22" t="s">
        <v>257</v>
      </c>
      <c r="AF51" s="22" t="s">
        <v>98</v>
      </c>
      <c r="AG51" s="22" t="s">
        <v>55</v>
      </c>
      <c r="AH51" s="22" t="s">
        <v>55</v>
      </c>
      <c r="AI51" s="22" t="s">
        <v>55</v>
      </c>
      <c r="AJ51" s="22" t="s">
        <v>55</v>
      </c>
      <c r="AK51" s="22" t="s">
        <v>55</v>
      </c>
      <c r="AL51" s="22" t="s">
        <v>55</v>
      </c>
      <c r="AM51" s="22" t="s">
        <v>55</v>
      </c>
      <c r="AN51" s="22" t="s">
        <v>55</v>
      </c>
      <c r="AO51" s="22" t="s">
        <v>55</v>
      </c>
      <c r="AP51" s="22" t="s">
        <v>55</v>
      </c>
      <c r="AQ51" s="22" t="s">
        <v>55</v>
      </c>
      <c r="AR51" s="22" t="s">
        <v>55</v>
      </c>
      <c r="AS51" s="22" t="s">
        <v>55</v>
      </c>
      <c r="AT51" s="22" t="s">
        <v>55</v>
      </c>
      <c r="AU51" s="22" t="s">
        <v>55</v>
      </c>
      <c r="AV51" s="22" t="s">
        <v>55</v>
      </c>
      <c r="AW51" s="23">
        <v>45777</v>
      </c>
      <c r="AX51" s="23">
        <v>45869</v>
      </c>
      <c r="AY51" s="22" t="s">
        <v>541</v>
      </c>
    </row>
    <row r="52" spans="1:51" ht="174" x14ac:dyDescent="0.35">
      <c r="A52" s="22" t="s">
        <v>574</v>
      </c>
      <c r="B52" s="22" t="s">
        <v>347</v>
      </c>
      <c r="C52" s="22" t="s">
        <v>51</v>
      </c>
      <c r="D52" s="22" t="s">
        <v>533</v>
      </c>
      <c r="E52" s="22" t="s">
        <v>52</v>
      </c>
      <c r="F52" s="22" t="s">
        <v>501</v>
      </c>
      <c r="G52" s="22" t="s">
        <v>54</v>
      </c>
      <c r="H52" s="22" t="s">
        <v>1711</v>
      </c>
      <c r="I52" s="22" t="s">
        <v>117</v>
      </c>
      <c r="J52" s="22" t="s">
        <v>575</v>
      </c>
      <c r="K52" s="22" t="s">
        <v>605</v>
      </c>
      <c r="L52" s="22" t="s">
        <v>103</v>
      </c>
      <c r="M52" s="22" t="s">
        <v>577</v>
      </c>
      <c r="N52" s="22" t="s">
        <v>55</v>
      </c>
      <c r="O52" s="22" t="s">
        <v>535</v>
      </c>
      <c r="P52" s="22" t="s">
        <v>578</v>
      </c>
      <c r="Q52" s="22" t="s">
        <v>579</v>
      </c>
      <c r="R52" s="22" t="s">
        <v>55</v>
      </c>
      <c r="S52" s="22" t="s">
        <v>580</v>
      </c>
      <c r="T52" s="22" t="s">
        <v>581</v>
      </c>
      <c r="U52" s="22" t="s">
        <v>63</v>
      </c>
      <c r="V52" s="23">
        <v>45991</v>
      </c>
      <c r="W52" s="22" t="s">
        <v>55</v>
      </c>
      <c r="X52" s="22" t="s">
        <v>582</v>
      </c>
      <c r="Y52" s="22" t="s">
        <v>65</v>
      </c>
      <c r="Z52" s="22" t="s">
        <v>55</v>
      </c>
      <c r="AA52" s="22" t="s">
        <v>152</v>
      </c>
      <c r="AB52" s="22" t="s">
        <v>55</v>
      </c>
      <c r="AC52" s="22" t="s">
        <v>55</v>
      </c>
      <c r="AD52" s="22" t="s">
        <v>67</v>
      </c>
      <c r="AE52" s="22" t="s">
        <v>257</v>
      </c>
      <c r="AF52" s="22" t="s">
        <v>583</v>
      </c>
      <c r="AG52" s="22" t="s">
        <v>55</v>
      </c>
      <c r="AH52" s="22" t="s">
        <v>55</v>
      </c>
      <c r="AI52" s="22" t="s">
        <v>55</v>
      </c>
      <c r="AJ52" s="22" t="s">
        <v>55</v>
      </c>
      <c r="AK52" s="22" t="s">
        <v>55</v>
      </c>
      <c r="AL52" s="22" t="s">
        <v>55</v>
      </c>
      <c r="AM52" s="22" t="s">
        <v>55</v>
      </c>
      <c r="AN52" s="22" t="s">
        <v>55</v>
      </c>
      <c r="AO52" s="22" t="s">
        <v>55</v>
      </c>
      <c r="AP52" s="22" t="s">
        <v>55</v>
      </c>
      <c r="AQ52" s="22" t="s">
        <v>55</v>
      </c>
      <c r="AR52" s="22" t="s">
        <v>55</v>
      </c>
      <c r="AS52" s="22" t="s">
        <v>55</v>
      </c>
      <c r="AT52" s="22" t="s">
        <v>55</v>
      </c>
      <c r="AU52" s="22" t="s">
        <v>55</v>
      </c>
      <c r="AV52" s="22" t="s">
        <v>55</v>
      </c>
      <c r="AW52" s="23">
        <v>45777</v>
      </c>
      <c r="AX52" s="23">
        <v>45869</v>
      </c>
      <c r="AY52" s="22" t="s">
        <v>541</v>
      </c>
    </row>
    <row r="53" spans="1:51" ht="116" x14ac:dyDescent="0.35">
      <c r="A53" s="22" t="s">
        <v>609</v>
      </c>
      <c r="B53" s="22" t="s">
        <v>347</v>
      </c>
      <c r="C53" s="22" t="s">
        <v>51</v>
      </c>
      <c r="D53" s="22" t="s">
        <v>610</v>
      </c>
      <c r="E53" s="22" t="s">
        <v>108</v>
      </c>
      <c r="F53" s="22" t="s">
        <v>611</v>
      </c>
      <c r="G53" s="22" t="s">
        <v>54</v>
      </c>
      <c r="H53" s="22" t="s">
        <v>1719</v>
      </c>
      <c r="I53" s="22" t="s">
        <v>121</v>
      </c>
      <c r="J53" s="22" t="s">
        <v>612</v>
      </c>
      <c r="K53" s="22" t="s">
        <v>613</v>
      </c>
      <c r="L53" s="22" t="s">
        <v>503</v>
      </c>
      <c r="M53" s="22" t="s">
        <v>614</v>
      </c>
      <c r="N53" s="22" t="s">
        <v>55</v>
      </c>
      <c r="O53" s="22" t="s">
        <v>615</v>
      </c>
      <c r="P53" s="22" t="s">
        <v>616</v>
      </c>
      <c r="Q53" s="22" t="s">
        <v>617</v>
      </c>
      <c r="R53" s="22" t="s">
        <v>63</v>
      </c>
      <c r="S53" s="22" t="s">
        <v>618</v>
      </c>
      <c r="T53" s="22" t="s">
        <v>619</v>
      </c>
      <c r="U53" s="22" t="s">
        <v>63</v>
      </c>
      <c r="V53" s="23">
        <v>45930</v>
      </c>
      <c r="W53" s="22" t="s">
        <v>55</v>
      </c>
      <c r="X53" s="22" t="s">
        <v>620</v>
      </c>
      <c r="Y53" s="22" t="s">
        <v>65</v>
      </c>
      <c r="Z53" s="22" t="s">
        <v>55</v>
      </c>
      <c r="AA53" s="22" t="s">
        <v>66</v>
      </c>
      <c r="AB53" s="22" t="s">
        <v>55</v>
      </c>
      <c r="AC53" s="22" t="s">
        <v>55</v>
      </c>
      <c r="AD53" s="22" t="s">
        <v>67</v>
      </c>
      <c r="AE53" s="22" t="s">
        <v>257</v>
      </c>
      <c r="AF53" s="22" t="s">
        <v>69</v>
      </c>
      <c r="AG53" s="22" t="s">
        <v>55</v>
      </c>
      <c r="AH53" s="22" t="s">
        <v>55</v>
      </c>
      <c r="AI53" s="22" t="s">
        <v>55</v>
      </c>
      <c r="AJ53" s="22" t="s">
        <v>55</v>
      </c>
      <c r="AK53" s="22" t="s">
        <v>55</v>
      </c>
      <c r="AL53" s="22" t="s">
        <v>55</v>
      </c>
      <c r="AM53" s="22" t="s">
        <v>55</v>
      </c>
      <c r="AN53" s="22" t="s">
        <v>55</v>
      </c>
      <c r="AO53" s="22" t="s">
        <v>55</v>
      </c>
      <c r="AP53" s="22" t="s">
        <v>55</v>
      </c>
      <c r="AQ53" s="22" t="s">
        <v>55</v>
      </c>
      <c r="AR53" s="22" t="s">
        <v>55</v>
      </c>
      <c r="AS53" s="22" t="s">
        <v>55</v>
      </c>
      <c r="AT53" s="22" t="s">
        <v>55</v>
      </c>
      <c r="AU53" s="22" t="s">
        <v>55</v>
      </c>
      <c r="AV53" s="22" t="s">
        <v>55</v>
      </c>
      <c r="AW53" s="23">
        <v>45766</v>
      </c>
      <c r="AX53" s="23">
        <v>45870</v>
      </c>
      <c r="AY53" s="22" t="s">
        <v>608</v>
      </c>
    </row>
    <row r="54" spans="1:51" ht="145" x14ac:dyDescent="0.35">
      <c r="A54" s="22" t="s">
        <v>621</v>
      </c>
      <c r="B54" s="22" t="s">
        <v>347</v>
      </c>
      <c r="C54" s="22" t="s">
        <v>51</v>
      </c>
      <c r="D54" s="22" t="s">
        <v>610</v>
      </c>
      <c r="E54" s="22" t="s">
        <v>52</v>
      </c>
      <c r="F54" s="22" t="s">
        <v>611</v>
      </c>
      <c r="G54" s="22" t="s">
        <v>54</v>
      </c>
      <c r="H54" s="22" t="s">
        <v>1719</v>
      </c>
      <c r="I54" s="22" t="s">
        <v>121</v>
      </c>
      <c r="J54" s="22" t="s">
        <v>622</v>
      </c>
      <c r="K54" s="22" t="s">
        <v>564</v>
      </c>
      <c r="L54" s="22" t="s">
        <v>103</v>
      </c>
      <c r="M54" s="22" t="s">
        <v>154</v>
      </c>
      <c r="N54" s="22" t="s">
        <v>55</v>
      </c>
      <c r="O54" s="22" t="s">
        <v>615</v>
      </c>
      <c r="P54" s="22" t="s">
        <v>623</v>
      </c>
      <c r="Q54" s="22" t="s">
        <v>624</v>
      </c>
      <c r="R54" s="22" t="s">
        <v>63</v>
      </c>
      <c r="S54" s="22" t="s">
        <v>625</v>
      </c>
      <c r="T54" s="22" t="s">
        <v>626</v>
      </c>
      <c r="U54" s="22" t="s">
        <v>132</v>
      </c>
      <c r="V54" s="23">
        <v>46022</v>
      </c>
      <c r="W54" s="22" t="s">
        <v>55</v>
      </c>
      <c r="X54" s="22" t="s">
        <v>627</v>
      </c>
      <c r="Y54" s="22" t="s">
        <v>65</v>
      </c>
      <c r="Z54" s="22" t="s">
        <v>55</v>
      </c>
      <c r="AA54" s="22" t="s">
        <v>221</v>
      </c>
      <c r="AB54" s="22" t="s">
        <v>55</v>
      </c>
      <c r="AC54" s="22" t="s">
        <v>55</v>
      </c>
      <c r="AD54" s="22" t="s">
        <v>67</v>
      </c>
      <c r="AE54" s="22" t="s">
        <v>257</v>
      </c>
      <c r="AF54" s="22" t="s">
        <v>156</v>
      </c>
      <c r="AG54" s="22" t="s">
        <v>55</v>
      </c>
      <c r="AH54" s="22" t="s">
        <v>55</v>
      </c>
      <c r="AI54" s="22" t="s">
        <v>55</v>
      </c>
      <c r="AJ54" s="22" t="s">
        <v>55</v>
      </c>
      <c r="AK54" s="22" t="s">
        <v>55</v>
      </c>
      <c r="AL54" s="22" t="s">
        <v>55</v>
      </c>
      <c r="AM54" s="22" t="s">
        <v>55</v>
      </c>
      <c r="AN54" s="22" t="s">
        <v>55</v>
      </c>
      <c r="AO54" s="22" t="s">
        <v>55</v>
      </c>
      <c r="AP54" s="22" t="s">
        <v>55</v>
      </c>
      <c r="AQ54" s="22" t="s">
        <v>55</v>
      </c>
      <c r="AR54" s="22" t="s">
        <v>55</v>
      </c>
      <c r="AS54" s="22" t="s">
        <v>55</v>
      </c>
      <c r="AT54" s="22" t="s">
        <v>55</v>
      </c>
      <c r="AU54" s="22" t="s">
        <v>55</v>
      </c>
      <c r="AV54" s="22" t="s">
        <v>55</v>
      </c>
      <c r="AW54" s="23">
        <v>45766</v>
      </c>
      <c r="AX54" s="23">
        <v>45870</v>
      </c>
      <c r="AY54" s="22" t="s">
        <v>608</v>
      </c>
    </row>
    <row r="55" spans="1:51" ht="87" x14ac:dyDescent="0.35">
      <c r="A55" s="22" t="s">
        <v>628</v>
      </c>
      <c r="B55" s="22" t="s">
        <v>347</v>
      </c>
      <c r="C55" s="22" t="s">
        <v>51</v>
      </c>
      <c r="D55" s="22" t="s">
        <v>610</v>
      </c>
      <c r="E55" s="22" t="s">
        <v>52</v>
      </c>
      <c r="F55" s="22" t="s">
        <v>611</v>
      </c>
      <c r="G55" s="22" t="s">
        <v>54</v>
      </c>
      <c r="H55" s="22" t="s">
        <v>1719</v>
      </c>
      <c r="I55" s="22" t="s">
        <v>121</v>
      </c>
      <c r="J55" s="22" t="s">
        <v>629</v>
      </c>
      <c r="K55" s="22" t="s">
        <v>565</v>
      </c>
      <c r="L55" s="22" t="s">
        <v>103</v>
      </c>
      <c r="M55" s="22" t="s">
        <v>614</v>
      </c>
      <c r="N55" s="22" t="s">
        <v>55</v>
      </c>
      <c r="O55" s="22" t="s">
        <v>615</v>
      </c>
      <c r="P55" s="22" t="s">
        <v>630</v>
      </c>
      <c r="Q55" s="22" t="s">
        <v>631</v>
      </c>
      <c r="R55" s="22" t="s">
        <v>63</v>
      </c>
      <c r="S55" s="22" t="s">
        <v>632</v>
      </c>
      <c r="T55" s="22" t="s">
        <v>633</v>
      </c>
      <c r="U55" s="22" t="s">
        <v>63</v>
      </c>
      <c r="V55" s="23">
        <v>45930</v>
      </c>
      <c r="W55" s="22" t="s">
        <v>55</v>
      </c>
      <c r="X55" s="22" t="s">
        <v>634</v>
      </c>
      <c r="Y55" s="22" t="s">
        <v>65</v>
      </c>
      <c r="Z55" s="22" t="s">
        <v>55</v>
      </c>
      <c r="AA55" s="22" t="s">
        <v>66</v>
      </c>
      <c r="AB55" s="22" t="s">
        <v>55</v>
      </c>
      <c r="AC55" s="22" t="s">
        <v>55</v>
      </c>
      <c r="AD55" s="22" t="s">
        <v>67</v>
      </c>
      <c r="AE55" s="22" t="s">
        <v>257</v>
      </c>
      <c r="AF55" s="22" t="s">
        <v>69</v>
      </c>
      <c r="AG55" s="22" t="s">
        <v>55</v>
      </c>
      <c r="AH55" s="22" t="s">
        <v>55</v>
      </c>
      <c r="AI55" s="22" t="s">
        <v>55</v>
      </c>
      <c r="AJ55" s="22" t="s">
        <v>55</v>
      </c>
      <c r="AK55" s="22" t="s">
        <v>55</v>
      </c>
      <c r="AL55" s="22" t="s">
        <v>55</v>
      </c>
      <c r="AM55" s="22" t="s">
        <v>55</v>
      </c>
      <c r="AN55" s="22" t="s">
        <v>55</v>
      </c>
      <c r="AO55" s="22" t="s">
        <v>55</v>
      </c>
      <c r="AP55" s="22" t="s">
        <v>55</v>
      </c>
      <c r="AQ55" s="22" t="s">
        <v>55</v>
      </c>
      <c r="AR55" s="22" t="s">
        <v>55</v>
      </c>
      <c r="AS55" s="22" t="s">
        <v>55</v>
      </c>
      <c r="AT55" s="22" t="s">
        <v>55</v>
      </c>
      <c r="AU55" s="22" t="s">
        <v>55</v>
      </c>
      <c r="AV55" s="22" t="s">
        <v>55</v>
      </c>
      <c r="AW55" s="23">
        <v>45766</v>
      </c>
      <c r="AX55" s="23">
        <v>45870</v>
      </c>
      <c r="AY55" s="22" t="s">
        <v>608</v>
      </c>
    </row>
    <row r="56" spans="1:51" ht="87" x14ac:dyDescent="0.35">
      <c r="A56" s="22" t="s">
        <v>635</v>
      </c>
      <c r="B56" s="22" t="s">
        <v>347</v>
      </c>
      <c r="C56" s="22" t="s">
        <v>51</v>
      </c>
      <c r="D56" s="22" t="s">
        <v>610</v>
      </c>
      <c r="E56" s="22" t="s">
        <v>52</v>
      </c>
      <c r="F56" s="22" t="s">
        <v>611</v>
      </c>
      <c r="G56" s="22" t="s">
        <v>54</v>
      </c>
      <c r="H56" s="22" t="s">
        <v>1719</v>
      </c>
      <c r="I56" s="22" t="s">
        <v>121</v>
      </c>
      <c r="J56" s="22" t="s">
        <v>636</v>
      </c>
      <c r="K56" s="22" t="s">
        <v>564</v>
      </c>
      <c r="L56" s="22" t="s">
        <v>103</v>
      </c>
      <c r="M56" s="22" t="s">
        <v>154</v>
      </c>
      <c r="N56" s="22" t="s">
        <v>55</v>
      </c>
      <c r="O56" s="22" t="s">
        <v>615</v>
      </c>
      <c r="P56" s="22" t="s">
        <v>637</v>
      </c>
      <c r="Q56" s="22" t="s">
        <v>638</v>
      </c>
      <c r="R56" s="22" t="s">
        <v>63</v>
      </c>
      <c r="S56" s="22" t="s">
        <v>639</v>
      </c>
      <c r="T56" s="22" t="s">
        <v>633</v>
      </c>
      <c r="U56" s="22" t="s">
        <v>63</v>
      </c>
      <c r="V56" s="23">
        <v>45930</v>
      </c>
      <c r="W56" s="22" t="s">
        <v>55</v>
      </c>
      <c r="X56" s="22" t="s">
        <v>640</v>
      </c>
      <c r="Y56" s="22" t="s">
        <v>65</v>
      </c>
      <c r="Z56" s="22" t="s">
        <v>55</v>
      </c>
      <c r="AA56" s="22" t="s">
        <v>66</v>
      </c>
      <c r="AB56" s="22" t="s">
        <v>55</v>
      </c>
      <c r="AC56" s="22" t="s">
        <v>55</v>
      </c>
      <c r="AD56" s="22" t="s">
        <v>67</v>
      </c>
      <c r="AE56" s="22" t="s">
        <v>257</v>
      </c>
      <c r="AF56" s="22" t="s">
        <v>156</v>
      </c>
      <c r="AG56" s="22" t="s">
        <v>55</v>
      </c>
      <c r="AH56" s="22" t="s">
        <v>55</v>
      </c>
      <c r="AI56" s="22" t="s">
        <v>55</v>
      </c>
      <c r="AJ56" s="22" t="s">
        <v>55</v>
      </c>
      <c r="AK56" s="22" t="s">
        <v>55</v>
      </c>
      <c r="AL56" s="22" t="s">
        <v>55</v>
      </c>
      <c r="AM56" s="22" t="s">
        <v>55</v>
      </c>
      <c r="AN56" s="22" t="s">
        <v>55</v>
      </c>
      <c r="AO56" s="22" t="s">
        <v>55</v>
      </c>
      <c r="AP56" s="22" t="s">
        <v>55</v>
      </c>
      <c r="AQ56" s="22" t="s">
        <v>55</v>
      </c>
      <c r="AR56" s="22" t="s">
        <v>55</v>
      </c>
      <c r="AS56" s="22" t="s">
        <v>55</v>
      </c>
      <c r="AT56" s="22" t="s">
        <v>55</v>
      </c>
      <c r="AU56" s="22" t="s">
        <v>55</v>
      </c>
      <c r="AV56" s="22" t="s">
        <v>55</v>
      </c>
      <c r="AW56" s="23">
        <v>45766</v>
      </c>
      <c r="AX56" s="23">
        <v>45870</v>
      </c>
      <c r="AY56" s="22" t="s">
        <v>608</v>
      </c>
    </row>
    <row r="57" spans="1:51" ht="362.5" x14ac:dyDescent="0.35">
      <c r="A57" s="22" t="s">
        <v>641</v>
      </c>
      <c r="B57" s="22" t="s">
        <v>347</v>
      </c>
      <c r="C57" s="22" t="s">
        <v>51</v>
      </c>
      <c r="D57" s="22" t="s">
        <v>610</v>
      </c>
      <c r="E57" s="22" t="s">
        <v>52</v>
      </c>
      <c r="F57" s="22" t="s">
        <v>611</v>
      </c>
      <c r="G57" s="22" t="s">
        <v>54</v>
      </c>
      <c r="H57" s="22" t="s">
        <v>1719</v>
      </c>
      <c r="I57" s="22" t="s">
        <v>160</v>
      </c>
      <c r="J57" s="22" t="s">
        <v>642</v>
      </c>
      <c r="K57" s="22" t="s">
        <v>597</v>
      </c>
      <c r="L57" s="22" t="s">
        <v>103</v>
      </c>
      <c r="M57" s="22" t="s">
        <v>311</v>
      </c>
      <c r="N57" s="22" t="s">
        <v>55</v>
      </c>
      <c r="O57" s="22" t="s">
        <v>615</v>
      </c>
      <c r="P57" s="22" t="s">
        <v>643</v>
      </c>
      <c r="Q57" s="22" t="s">
        <v>644</v>
      </c>
      <c r="R57" s="22" t="s">
        <v>63</v>
      </c>
      <c r="S57" s="22" t="s">
        <v>645</v>
      </c>
      <c r="T57" s="22" t="s">
        <v>646</v>
      </c>
      <c r="U57" s="22" t="s">
        <v>132</v>
      </c>
      <c r="V57" s="23">
        <v>46022</v>
      </c>
      <c r="W57" s="22" t="s">
        <v>55</v>
      </c>
      <c r="X57" s="22" t="s">
        <v>647</v>
      </c>
      <c r="Y57" s="22" t="s">
        <v>65</v>
      </c>
      <c r="Z57" s="22" t="s">
        <v>55</v>
      </c>
      <c r="AA57" s="22" t="s">
        <v>221</v>
      </c>
      <c r="AB57" s="22" t="s">
        <v>55</v>
      </c>
      <c r="AC57" s="22" t="s">
        <v>55</v>
      </c>
      <c r="AD57" s="22" t="s">
        <v>67</v>
      </c>
      <c r="AE57" s="22" t="s">
        <v>257</v>
      </c>
      <c r="AF57" s="22" t="s">
        <v>220</v>
      </c>
      <c r="AG57" s="22" t="s">
        <v>55</v>
      </c>
      <c r="AH57" s="22" t="s">
        <v>55</v>
      </c>
      <c r="AI57" s="22" t="s">
        <v>55</v>
      </c>
      <c r="AJ57" s="22" t="s">
        <v>55</v>
      </c>
      <c r="AK57" s="22" t="s">
        <v>55</v>
      </c>
      <c r="AL57" s="22" t="s">
        <v>55</v>
      </c>
      <c r="AM57" s="22" t="s">
        <v>55</v>
      </c>
      <c r="AN57" s="22" t="s">
        <v>55</v>
      </c>
      <c r="AO57" s="22" t="s">
        <v>55</v>
      </c>
      <c r="AP57" s="22" t="s">
        <v>55</v>
      </c>
      <c r="AQ57" s="22" t="s">
        <v>55</v>
      </c>
      <c r="AR57" s="22" t="s">
        <v>55</v>
      </c>
      <c r="AS57" s="22" t="s">
        <v>55</v>
      </c>
      <c r="AT57" s="22" t="s">
        <v>55</v>
      </c>
      <c r="AU57" s="22" t="s">
        <v>55</v>
      </c>
      <c r="AV57" s="22" t="s">
        <v>55</v>
      </c>
      <c r="AW57" s="23">
        <v>45766</v>
      </c>
      <c r="AX57" s="23">
        <v>45870</v>
      </c>
      <c r="AY57" s="22" t="s">
        <v>608</v>
      </c>
    </row>
    <row r="58" spans="1:51" ht="116" x14ac:dyDescent="0.35">
      <c r="A58" s="22" t="s">
        <v>648</v>
      </c>
      <c r="B58" s="22" t="s">
        <v>347</v>
      </c>
      <c r="C58" s="22" t="s">
        <v>51</v>
      </c>
      <c r="D58" s="22" t="s">
        <v>610</v>
      </c>
      <c r="E58" s="22" t="s">
        <v>108</v>
      </c>
      <c r="F58" s="22" t="s">
        <v>611</v>
      </c>
      <c r="G58" s="22" t="s">
        <v>54</v>
      </c>
      <c r="H58" s="22" t="s">
        <v>1719</v>
      </c>
      <c r="I58" s="22" t="s">
        <v>160</v>
      </c>
      <c r="J58" s="22" t="s">
        <v>649</v>
      </c>
      <c r="K58" s="22" t="s">
        <v>559</v>
      </c>
      <c r="L58" s="22" t="s">
        <v>103</v>
      </c>
      <c r="M58" s="22" t="s">
        <v>55</v>
      </c>
      <c r="N58" s="22" t="s">
        <v>55</v>
      </c>
      <c r="O58" s="22" t="s">
        <v>615</v>
      </c>
      <c r="P58" s="22" t="s">
        <v>650</v>
      </c>
      <c r="Q58" s="22" t="s">
        <v>651</v>
      </c>
      <c r="R58" s="22" t="s">
        <v>132</v>
      </c>
      <c r="S58" s="22" t="s">
        <v>652</v>
      </c>
      <c r="T58" s="22" t="s">
        <v>653</v>
      </c>
      <c r="U58" s="22" t="s">
        <v>132</v>
      </c>
      <c r="V58" s="23">
        <v>46022</v>
      </c>
      <c r="W58" s="22" t="s">
        <v>55</v>
      </c>
      <c r="X58" s="22" t="s">
        <v>647</v>
      </c>
      <c r="Y58" s="22" t="s">
        <v>65</v>
      </c>
      <c r="Z58" s="22" t="s">
        <v>55</v>
      </c>
      <c r="AA58" s="22" t="s">
        <v>221</v>
      </c>
      <c r="AB58" s="22" t="s">
        <v>55</v>
      </c>
      <c r="AC58" s="22" t="s">
        <v>55</v>
      </c>
      <c r="AD58" s="22" t="s">
        <v>67</v>
      </c>
      <c r="AE58" s="22" t="s">
        <v>257</v>
      </c>
      <c r="AF58" s="22" t="s">
        <v>55</v>
      </c>
      <c r="AG58" s="22" t="s">
        <v>55</v>
      </c>
      <c r="AH58" s="22" t="s">
        <v>55</v>
      </c>
      <c r="AI58" s="22" t="s">
        <v>55</v>
      </c>
      <c r="AJ58" s="22" t="s">
        <v>55</v>
      </c>
      <c r="AK58" s="22" t="s">
        <v>55</v>
      </c>
      <c r="AL58" s="22" t="s">
        <v>55</v>
      </c>
      <c r="AM58" s="22" t="s">
        <v>55</v>
      </c>
      <c r="AN58" s="22" t="s">
        <v>55</v>
      </c>
      <c r="AO58" s="22" t="s">
        <v>55</v>
      </c>
      <c r="AP58" s="22" t="s">
        <v>55</v>
      </c>
      <c r="AQ58" s="22" t="s">
        <v>55</v>
      </c>
      <c r="AR58" s="22" t="s">
        <v>55</v>
      </c>
      <c r="AS58" s="22" t="s">
        <v>55</v>
      </c>
      <c r="AT58" s="22" t="s">
        <v>55</v>
      </c>
      <c r="AU58" s="22" t="s">
        <v>55</v>
      </c>
      <c r="AV58" s="22" t="s">
        <v>55</v>
      </c>
      <c r="AW58" s="23">
        <v>45766</v>
      </c>
      <c r="AX58" s="23">
        <v>45870</v>
      </c>
      <c r="AY58" s="22" t="s">
        <v>608</v>
      </c>
    </row>
    <row r="59" spans="1:51" ht="217.5" x14ac:dyDescent="0.35">
      <c r="A59" s="22" t="s">
        <v>654</v>
      </c>
      <c r="B59" s="22" t="s">
        <v>347</v>
      </c>
      <c r="C59" s="22" t="s">
        <v>51</v>
      </c>
      <c r="D59" s="22" t="s">
        <v>610</v>
      </c>
      <c r="E59" s="22" t="s">
        <v>108</v>
      </c>
      <c r="F59" s="22" t="s">
        <v>611</v>
      </c>
      <c r="G59" s="22" t="s">
        <v>54</v>
      </c>
      <c r="H59" s="22" t="s">
        <v>1719</v>
      </c>
      <c r="I59" s="22" t="s">
        <v>160</v>
      </c>
      <c r="J59" s="22" t="s">
        <v>281</v>
      </c>
      <c r="K59" s="22" t="s">
        <v>563</v>
      </c>
      <c r="L59" s="22" t="s">
        <v>103</v>
      </c>
      <c r="M59" s="22" t="s">
        <v>55</v>
      </c>
      <c r="N59" s="22" t="s">
        <v>55</v>
      </c>
      <c r="O59" s="22" t="s">
        <v>615</v>
      </c>
      <c r="P59" s="22" t="s">
        <v>655</v>
      </c>
      <c r="Q59" s="22" t="s">
        <v>656</v>
      </c>
      <c r="R59" s="22" t="s">
        <v>63</v>
      </c>
      <c r="S59" s="22" t="s">
        <v>657</v>
      </c>
      <c r="T59" s="22" t="s">
        <v>658</v>
      </c>
      <c r="U59" s="22" t="s">
        <v>132</v>
      </c>
      <c r="V59" s="23">
        <v>45930</v>
      </c>
      <c r="W59" s="22" t="s">
        <v>55</v>
      </c>
      <c r="X59" s="22" t="s">
        <v>659</v>
      </c>
      <c r="Y59" s="22" t="s">
        <v>65</v>
      </c>
      <c r="Z59" s="22" t="s">
        <v>55</v>
      </c>
      <c r="AA59" s="22" t="s">
        <v>66</v>
      </c>
      <c r="AB59" s="22" t="s">
        <v>55</v>
      </c>
      <c r="AC59" s="22" t="s">
        <v>55</v>
      </c>
      <c r="AD59" s="22" t="s">
        <v>67</v>
      </c>
      <c r="AE59" s="22" t="s">
        <v>257</v>
      </c>
      <c r="AF59" s="22" t="s">
        <v>55</v>
      </c>
      <c r="AG59" s="22" t="s">
        <v>55</v>
      </c>
      <c r="AH59" s="22" t="s">
        <v>55</v>
      </c>
      <c r="AI59" s="22" t="s">
        <v>55</v>
      </c>
      <c r="AJ59" s="22" t="s">
        <v>55</v>
      </c>
      <c r="AK59" s="22" t="s">
        <v>55</v>
      </c>
      <c r="AL59" s="22" t="s">
        <v>55</v>
      </c>
      <c r="AM59" s="22" t="s">
        <v>55</v>
      </c>
      <c r="AN59" s="22" t="s">
        <v>55</v>
      </c>
      <c r="AO59" s="22" t="s">
        <v>55</v>
      </c>
      <c r="AP59" s="22" t="s">
        <v>55</v>
      </c>
      <c r="AQ59" s="22" t="s">
        <v>55</v>
      </c>
      <c r="AR59" s="22" t="s">
        <v>55</v>
      </c>
      <c r="AS59" s="22" t="s">
        <v>55</v>
      </c>
      <c r="AT59" s="22" t="s">
        <v>55</v>
      </c>
      <c r="AU59" s="22" t="s">
        <v>55</v>
      </c>
      <c r="AV59" s="22" t="s">
        <v>55</v>
      </c>
      <c r="AW59" s="23">
        <v>45766</v>
      </c>
      <c r="AX59" s="23">
        <v>45870</v>
      </c>
      <c r="AY59" s="22" t="s">
        <v>608</v>
      </c>
    </row>
    <row r="60" spans="1:51" ht="406" x14ac:dyDescent="0.35">
      <c r="A60" s="22" t="s">
        <v>660</v>
      </c>
      <c r="B60" s="22" t="s">
        <v>347</v>
      </c>
      <c r="C60" s="22" t="s">
        <v>51</v>
      </c>
      <c r="D60" s="22" t="s">
        <v>610</v>
      </c>
      <c r="E60" s="22" t="s">
        <v>108</v>
      </c>
      <c r="F60" s="22" t="s">
        <v>611</v>
      </c>
      <c r="G60" s="22" t="s">
        <v>54</v>
      </c>
      <c r="H60" s="22" t="s">
        <v>1719</v>
      </c>
      <c r="I60" s="22" t="s">
        <v>160</v>
      </c>
      <c r="J60" s="22" t="s">
        <v>661</v>
      </c>
      <c r="K60" s="22" t="s">
        <v>594</v>
      </c>
      <c r="L60" s="22" t="s">
        <v>103</v>
      </c>
      <c r="M60" s="22" t="s">
        <v>55</v>
      </c>
      <c r="N60" s="22" t="s">
        <v>55</v>
      </c>
      <c r="O60" s="22" t="s">
        <v>615</v>
      </c>
      <c r="P60" s="22" t="s">
        <v>662</v>
      </c>
      <c r="Q60" s="22" t="s">
        <v>663</v>
      </c>
      <c r="R60" s="22" t="s">
        <v>63</v>
      </c>
      <c r="S60" s="22" t="s">
        <v>664</v>
      </c>
      <c r="T60" s="22" t="s">
        <v>665</v>
      </c>
      <c r="U60" s="22" t="s">
        <v>132</v>
      </c>
      <c r="V60" s="23">
        <v>46022</v>
      </c>
      <c r="W60" s="22" t="s">
        <v>55</v>
      </c>
      <c r="X60" s="22" t="s">
        <v>647</v>
      </c>
      <c r="Y60" s="22" t="s">
        <v>65</v>
      </c>
      <c r="Z60" s="22" t="s">
        <v>55</v>
      </c>
      <c r="AA60" s="22" t="s">
        <v>221</v>
      </c>
      <c r="AB60" s="22" t="s">
        <v>55</v>
      </c>
      <c r="AC60" s="22" t="s">
        <v>55</v>
      </c>
      <c r="AD60" s="22" t="s">
        <v>67</v>
      </c>
      <c r="AE60" s="22" t="s">
        <v>257</v>
      </c>
      <c r="AF60" s="22" t="s">
        <v>55</v>
      </c>
      <c r="AG60" s="22" t="s">
        <v>55</v>
      </c>
      <c r="AH60" s="22" t="s">
        <v>55</v>
      </c>
      <c r="AI60" s="22" t="s">
        <v>55</v>
      </c>
      <c r="AJ60" s="22" t="s">
        <v>55</v>
      </c>
      <c r="AK60" s="22" t="s">
        <v>55</v>
      </c>
      <c r="AL60" s="22" t="s">
        <v>55</v>
      </c>
      <c r="AM60" s="22" t="s">
        <v>55</v>
      </c>
      <c r="AN60" s="22" t="s">
        <v>55</v>
      </c>
      <c r="AO60" s="22" t="s">
        <v>55</v>
      </c>
      <c r="AP60" s="22" t="s">
        <v>55</v>
      </c>
      <c r="AQ60" s="22" t="s">
        <v>55</v>
      </c>
      <c r="AR60" s="22" t="s">
        <v>55</v>
      </c>
      <c r="AS60" s="22" t="s">
        <v>55</v>
      </c>
      <c r="AT60" s="22" t="s">
        <v>55</v>
      </c>
      <c r="AU60" s="22" t="s">
        <v>55</v>
      </c>
      <c r="AV60" s="22" t="s">
        <v>55</v>
      </c>
      <c r="AW60" s="23">
        <v>45766</v>
      </c>
      <c r="AX60" s="23">
        <v>45870</v>
      </c>
      <c r="AY60" s="22" t="s">
        <v>608</v>
      </c>
    </row>
    <row r="61" spans="1:51" ht="232" x14ac:dyDescent="0.35">
      <c r="A61" s="22" t="s">
        <v>666</v>
      </c>
      <c r="B61" s="22" t="s">
        <v>347</v>
      </c>
      <c r="C61" s="22" t="s">
        <v>51</v>
      </c>
      <c r="D61" s="22" t="s">
        <v>610</v>
      </c>
      <c r="E61" s="22" t="s">
        <v>52</v>
      </c>
      <c r="F61" s="22" t="s">
        <v>611</v>
      </c>
      <c r="G61" s="22" t="s">
        <v>54</v>
      </c>
      <c r="H61" s="22" t="s">
        <v>1719</v>
      </c>
      <c r="I61" s="22" t="s">
        <v>119</v>
      </c>
      <c r="J61" s="22" t="s">
        <v>667</v>
      </c>
      <c r="K61" s="22" t="s">
        <v>544</v>
      </c>
      <c r="L61" s="22" t="s">
        <v>103</v>
      </c>
      <c r="M61" s="22" t="s">
        <v>545</v>
      </c>
      <c r="N61" s="22" t="s">
        <v>55</v>
      </c>
      <c r="O61" s="22" t="s">
        <v>615</v>
      </c>
      <c r="P61" s="22" t="s">
        <v>668</v>
      </c>
      <c r="Q61" s="22" t="s">
        <v>669</v>
      </c>
      <c r="R61" s="22" t="s">
        <v>132</v>
      </c>
      <c r="S61" s="22" t="s">
        <v>670</v>
      </c>
      <c r="T61" s="22" t="s">
        <v>671</v>
      </c>
      <c r="U61" s="22" t="s">
        <v>132</v>
      </c>
      <c r="V61" s="23">
        <v>46022</v>
      </c>
      <c r="W61" s="22" t="s">
        <v>55</v>
      </c>
      <c r="X61" s="22" t="s">
        <v>672</v>
      </c>
      <c r="Y61" s="22" t="s">
        <v>65</v>
      </c>
      <c r="Z61" s="22" t="s">
        <v>55</v>
      </c>
      <c r="AA61" s="22" t="s">
        <v>221</v>
      </c>
      <c r="AB61" s="22" t="s">
        <v>55</v>
      </c>
      <c r="AC61" s="22" t="s">
        <v>55</v>
      </c>
      <c r="AD61" s="22" t="s">
        <v>67</v>
      </c>
      <c r="AE61" s="22" t="s">
        <v>257</v>
      </c>
      <c r="AF61" s="22" t="s">
        <v>69</v>
      </c>
      <c r="AG61" s="22" t="s">
        <v>55</v>
      </c>
      <c r="AH61" s="22" t="s">
        <v>55</v>
      </c>
      <c r="AI61" s="22" t="s">
        <v>55</v>
      </c>
      <c r="AJ61" s="22" t="s">
        <v>55</v>
      </c>
      <c r="AK61" s="22" t="s">
        <v>55</v>
      </c>
      <c r="AL61" s="22" t="s">
        <v>55</v>
      </c>
      <c r="AM61" s="22" t="s">
        <v>55</v>
      </c>
      <c r="AN61" s="22" t="s">
        <v>55</v>
      </c>
      <c r="AO61" s="22" t="s">
        <v>55</v>
      </c>
      <c r="AP61" s="22" t="s">
        <v>55</v>
      </c>
      <c r="AQ61" s="22" t="s">
        <v>55</v>
      </c>
      <c r="AR61" s="22" t="s">
        <v>55</v>
      </c>
      <c r="AS61" s="22" t="s">
        <v>55</v>
      </c>
      <c r="AT61" s="22" t="s">
        <v>55</v>
      </c>
      <c r="AU61" s="22" t="s">
        <v>55</v>
      </c>
      <c r="AV61" s="22" t="s">
        <v>55</v>
      </c>
      <c r="AW61" s="23">
        <v>45766</v>
      </c>
      <c r="AX61" s="23">
        <v>45870</v>
      </c>
      <c r="AY61" s="22" t="s">
        <v>608</v>
      </c>
    </row>
    <row r="62" spans="1:51" ht="101.5" x14ac:dyDescent="0.35">
      <c r="A62" s="22" t="s">
        <v>673</v>
      </c>
      <c r="B62" s="22" t="s">
        <v>347</v>
      </c>
      <c r="C62" s="22" t="s">
        <v>51</v>
      </c>
      <c r="D62" s="22" t="s">
        <v>610</v>
      </c>
      <c r="E62" s="22" t="s">
        <v>52</v>
      </c>
      <c r="F62" s="22" t="s">
        <v>611</v>
      </c>
      <c r="G62" s="22" t="s">
        <v>54</v>
      </c>
      <c r="H62" s="22" t="s">
        <v>1719</v>
      </c>
      <c r="I62" s="22" t="s">
        <v>121</v>
      </c>
      <c r="J62" s="22" t="s">
        <v>674</v>
      </c>
      <c r="K62" s="22" t="s">
        <v>594</v>
      </c>
      <c r="L62" s="22" t="s">
        <v>103</v>
      </c>
      <c r="M62" s="22" t="s">
        <v>675</v>
      </c>
      <c r="N62" s="22" t="s">
        <v>55</v>
      </c>
      <c r="O62" s="22" t="s">
        <v>615</v>
      </c>
      <c r="P62" s="22" t="s">
        <v>676</v>
      </c>
      <c r="Q62" s="22" t="s">
        <v>677</v>
      </c>
      <c r="R62" s="22" t="s">
        <v>63</v>
      </c>
      <c r="S62" s="22" t="s">
        <v>678</v>
      </c>
      <c r="T62" s="22" t="s">
        <v>679</v>
      </c>
      <c r="U62" s="22" t="s">
        <v>132</v>
      </c>
      <c r="V62" s="23">
        <v>45930</v>
      </c>
      <c r="W62" s="22" t="s">
        <v>55</v>
      </c>
      <c r="X62" s="22" t="s">
        <v>680</v>
      </c>
      <c r="Y62" s="22" t="s">
        <v>65</v>
      </c>
      <c r="Z62" s="22" t="s">
        <v>55</v>
      </c>
      <c r="AA62" s="22" t="s">
        <v>66</v>
      </c>
      <c r="AB62" s="22" t="s">
        <v>55</v>
      </c>
      <c r="AC62" s="22" t="s">
        <v>55</v>
      </c>
      <c r="AD62" s="22" t="s">
        <v>67</v>
      </c>
      <c r="AE62" s="22" t="s">
        <v>257</v>
      </c>
      <c r="AF62" s="22" t="s">
        <v>98</v>
      </c>
      <c r="AG62" s="22" t="s">
        <v>55</v>
      </c>
      <c r="AH62" s="22" t="s">
        <v>55</v>
      </c>
      <c r="AI62" s="22" t="s">
        <v>55</v>
      </c>
      <c r="AJ62" s="22" t="s">
        <v>55</v>
      </c>
      <c r="AK62" s="22" t="s">
        <v>55</v>
      </c>
      <c r="AL62" s="22" t="s">
        <v>55</v>
      </c>
      <c r="AM62" s="22" t="s">
        <v>55</v>
      </c>
      <c r="AN62" s="22" t="s">
        <v>55</v>
      </c>
      <c r="AO62" s="22" t="s">
        <v>55</v>
      </c>
      <c r="AP62" s="22" t="s">
        <v>55</v>
      </c>
      <c r="AQ62" s="22" t="s">
        <v>55</v>
      </c>
      <c r="AR62" s="22" t="s">
        <v>55</v>
      </c>
      <c r="AS62" s="22" t="s">
        <v>55</v>
      </c>
      <c r="AT62" s="22" t="s">
        <v>55</v>
      </c>
      <c r="AU62" s="22" t="s">
        <v>55</v>
      </c>
      <c r="AV62" s="22" t="s">
        <v>55</v>
      </c>
      <c r="AW62" s="23">
        <v>45766</v>
      </c>
      <c r="AX62" s="23">
        <v>45870</v>
      </c>
      <c r="AY62" s="22" t="s">
        <v>608</v>
      </c>
    </row>
    <row r="63" spans="1:51" ht="246.5" x14ac:dyDescent="0.35">
      <c r="A63" s="22" t="s">
        <v>681</v>
      </c>
      <c r="B63" s="22" t="s">
        <v>347</v>
      </c>
      <c r="C63" s="22" t="s">
        <v>51</v>
      </c>
      <c r="D63" s="22" t="s">
        <v>610</v>
      </c>
      <c r="E63" s="22" t="s">
        <v>52</v>
      </c>
      <c r="F63" s="22" t="s">
        <v>611</v>
      </c>
      <c r="G63" s="22" t="s">
        <v>54</v>
      </c>
      <c r="H63" s="22" t="s">
        <v>1719</v>
      </c>
      <c r="I63" s="22" t="s">
        <v>56</v>
      </c>
      <c r="J63" s="22" t="s">
        <v>682</v>
      </c>
      <c r="K63" s="22" t="s">
        <v>572</v>
      </c>
      <c r="L63" s="22" t="s">
        <v>103</v>
      </c>
      <c r="M63" s="22" t="s">
        <v>58</v>
      </c>
      <c r="N63" s="22" t="s">
        <v>55</v>
      </c>
      <c r="O63" s="22" t="s">
        <v>615</v>
      </c>
      <c r="P63" s="22" t="s">
        <v>683</v>
      </c>
      <c r="Q63" s="22" t="s">
        <v>684</v>
      </c>
      <c r="R63" s="22" t="s">
        <v>63</v>
      </c>
      <c r="S63" s="22" t="s">
        <v>685</v>
      </c>
      <c r="T63" s="22" t="s">
        <v>686</v>
      </c>
      <c r="U63" s="22" t="s">
        <v>63</v>
      </c>
      <c r="V63" s="23">
        <v>45991</v>
      </c>
      <c r="W63" s="22" t="s">
        <v>55</v>
      </c>
      <c r="X63" s="22" t="s">
        <v>687</v>
      </c>
      <c r="Y63" s="22" t="s">
        <v>65</v>
      </c>
      <c r="Z63" s="22" t="s">
        <v>55</v>
      </c>
      <c r="AA63" s="22" t="s">
        <v>152</v>
      </c>
      <c r="AB63" s="22" t="s">
        <v>55</v>
      </c>
      <c r="AC63" s="22" t="s">
        <v>55</v>
      </c>
      <c r="AD63" s="22" t="s">
        <v>67</v>
      </c>
      <c r="AE63" s="22" t="s">
        <v>257</v>
      </c>
      <c r="AF63" s="22" t="s">
        <v>69</v>
      </c>
      <c r="AG63" s="22" t="s">
        <v>55</v>
      </c>
      <c r="AH63" s="22" t="s">
        <v>55</v>
      </c>
      <c r="AI63" s="22" t="s">
        <v>55</v>
      </c>
      <c r="AJ63" s="22" t="s">
        <v>55</v>
      </c>
      <c r="AK63" s="22" t="s">
        <v>55</v>
      </c>
      <c r="AL63" s="22" t="s">
        <v>55</v>
      </c>
      <c r="AM63" s="22" t="s">
        <v>55</v>
      </c>
      <c r="AN63" s="22" t="s">
        <v>55</v>
      </c>
      <c r="AO63" s="22" t="s">
        <v>55</v>
      </c>
      <c r="AP63" s="22" t="s">
        <v>55</v>
      </c>
      <c r="AQ63" s="22" t="s">
        <v>55</v>
      </c>
      <c r="AR63" s="22" t="s">
        <v>55</v>
      </c>
      <c r="AS63" s="22" t="s">
        <v>55</v>
      </c>
      <c r="AT63" s="22" t="s">
        <v>55</v>
      </c>
      <c r="AU63" s="22" t="s">
        <v>55</v>
      </c>
      <c r="AV63" s="22" t="s">
        <v>55</v>
      </c>
      <c r="AW63" s="23">
        <v>45766</v>
      </c>
      <c r="AX63" s="23">
        <v>45870</v>
      </c>
      <c r="AY63" s="22" t="s">
        <v>608</v>
      </c>
    </row>
    <row r="64" spans="1:51" ht="217.5" x14ac:dyDescent="0.35">
      <c r="A64" s="22" t="s">
        <v>688</v>
      </c>
      <c r="B64" s="22" t="s">
        <v>347</v>
      </c>
      <c r="C64" s="22" t="s">
        <v>51</v>
      </c>
      <c r="D64" s="22" t="s">
        <v>610</v>
      </c>
      <c r="E64" s="22" t="s">
        <v>52</v>
      </c>
      <c r="F64" s="22" t="s">
        <v>611</v>
      </c>
      <c r="G64" s="22" t="s">
        <v>54</v>
      </c>
      <c r="H64" s="22" t="s">
        <v>1719</v>
      </c>
      <c r="I64" s="22" t="s">
        <v>121</v>
      </c>
      <c r="J64" s="22" t="s">
        <v>689</v>
      </c>
      <c r="K64" s="22" t="s">
        <v>564</v>
      </c>
      <c r="L64" s="22" t="s">
        <v>57</v>
      </c>
      <c r="M64" s="22" t="s">
        <v>154</v>
      </c>
      <c r="N64" s="22" t="s">
        <v>55</v>
      </c>
      <c r="O64" s="22" t="s">
        <v>615</v>
      </c>
      <c r="P64" s="22" t="s">
        <v>690</v>
      </c>
      <c r="Q64" s="22" t="s">
        <v>691</v>
      </c>
      <c r="R64" s="22" t="s">
        <v>63</v>
      </c>
      <c r="S64" s="22" t="s">
        <v>692</v>
      </c>
      <c r="T64" s="22" t="s">
        <v>693</v>
      </c>
      <c r="U64" s="22" t="s">
        <v>63</v>
      </c>
      <c r="V64" s="23">
        <v>45930</v>
      </c>
      <c r="W64" s="22" t="s">
        <v>55</v>
      </c>
      <c r="X64" s="22" t="s">
        <v>694</v>
      </c>
      <c r="Y64" s="22" t="s">
        <v>65</v>
      </c>
      <c r="Z64" s="22" t="s">
        <v>55</v>
      </c>
      <c r="AA64" s="22" t="s">
        <v>66</v>
      </c>
      <c r="AB64" s="22" t="s">
        <v>55</v>
      </c>
      <c r="AC64" s="22" t="s">
        <v>55</v>
      </c>
      <c r="AD64" s="22" t="s">
        <v>67</v>
      </c>
      <c r="AE64" s="22" t="s">
        <v>257</v>
      </c>
      <c r="AF64" s="22" t="s">
        <v>156</v>
      </c>
      <c r="AG64" s="22" t="s">
        <v>55</v>
      </c>
      <c r="AH64" s="22" t="s">
        <v>55</v>
      </c>
      <c r="AI64" s="22" t="s">
        <v>55</v>
      </c>
      <c r="AJ64" s="22" t="s">
        <v>55</v>
      </c>
      <c r="AK64" s="22" t="s">
        <v>55</v>
      </c>
      <c r="AL64" s="22" t="s">
        <v>55</v>
      </c>
      <c r="AM64" s="22" t="s">
        <v>55</v>
      </c>
      <c r="AN64" s="22" t="s">
        <v>55</v>
      </c>
      <c r="AO64" s="22" t="s">
        <v>55</v>
      </c>
      <c r="AP64" s="22" t="s">
        <v>55</v>
      </c>
      <c r="AQ64" s="22" t="s">
        <v>55</v>
      </c>
      <c r="AR64" s="22" t="s">
        <v>55</v>
      </c>
      <c r="AS64" s="22" t="s">
        <v>55</v>
      </c>
      <c r="AT64" s="22" t="s">
        <v>55</v>
      </c>
      <c r="AU64" s="22" t="s">
        <v>55</v>
      </c>
      <c r="AV64" s="22" t="s">
        <v>55</v>
      </c>
      <c r="AW64" s="23">
        <v>45766</v>
      </c>
      <c r="AX64" s="23">
        <v>45870</v>
      </c>
      <c r="AY64" s="22" t="s">
        <v>608</v>
      </c>
    </row>
    <row r="65" spans="1:51" ht="188.5" x14ac:dyDescent="0.35">
      <c r="A65" s="22" t="s">
        <v>695</v>
      </c>
      <c r="B65" s="22" t="s">
        <v>347</v>
      </c>
      <c r="C65" s="22" t="s">
        <v>51</v>
      </c>
      <c r="D65" s="22" t="s">
        <v>610</v>
      </c>
      <c r="E65" s="22" t="s">
        <v>52</v>
      </c>
      <c r="F65" s="22" t="s">
        <v>611</v>
      </c>
      <c r="G65" s="22" t="s">
        <v>54</v>
      </c>
      <c r="H65" s="22" t="s">
        <v>1719</v>
      </c>
      <c r="I65" s="22" t="s">
        <v>121</v>
      </c>
      <c r="J65" s="22" t="s">
        <v>696</v>
      </c>
      <c r="K65" s="22" t="s">
        <v>589</v>
      </c>
      <c r="L65" s="22" t="s">
        <v>57</v>
      </c>
      <c r="M65" s="22" t="s">
        <v>258</v>
      </c>
      <c r="N65" s="22" t="s">
        <v>55</v>
      </c>
      <c r="O65" s="22" t="s">
        <v>615</v>
      </c>
      <c r="P65" s="22" t="s">
        <v>697</v>
      </c>
      <c r="Q65" s="22" t="s">
        <v>698</v>
      </c>
      <c r="R65" s="22" t="s">
        <v>132</v>
      </c>
      <c r="S65" s="22" t="s">
        <v>699</v>
      </c>
      <c r="T65" s="22" t="s">
        <v>700</v>
      </c>
      <c r="U65" s="22" t="s">
        <v>63</v>
      </c>
      <c r="V65" s="23">
        <v>45930</v>
      </c>
      <c r="W65" s="22" t="s">
        <v>55</v>
      </c>
      <c r="X65" s="22" t="s">
        <v>634</v>
      </c>
      <c r="Y65" s="22" t="s">
        <v>65</v>
      </c>
      <c r="Z65" s="22" t="s">
        <v>55</v>
      </c>
      <c r="AA65" s="22" t="s">
        <v>66</v>
      </c>
      <c r="AB65" s="22" t="s">
        <v>55</v>
      </c>
      <c r="AC65" s="22" t="s">
        <v>55</v>
      </c>
      <c r="AD65" s="22" t="s">
        <v>67</v>
      </c>
      <c r="AE65" s="22" t="s">
        <v>257</v>
      </c>
      <c r="AF65" s="22" t="s">
        <v>226</v>
      </c>
      <c r="AG65" s="22" t="s">
        <v>55</v>
      </c>
      <c r="AH65" s="22" t="s">
        <v>55</v>
      </c>
      <c r="AI65" s="22" t="s">
        <v>55</v>
      </c>
      <c r="AJ65" s="22" t="s">
        <v>55</v>
      </c>
      <c r="AK65" s="22" t="s">
        <v>55</v>
      </c>
      <c r="AL65" s="22" t="s">
        <v>55</v>
      </c>
      <c r="AM65" s="22" t="s">
        <v>55</v>
      </c>
      <c r="AN65" s="22" t="s">
        <v>55</v>
      </c>
      <c r="AO65" s="22" t="s">
        <v>55</v>
      </c>
      <c r="AP65" s="22" t="s">
        <v>55</v>
      </c>
      <c r="AQ65" s="22" t="s">
        <v>55</v>
      </c>
      <c r="AR65" s="22" t="s">
        <v>55</v>
      </c>
      <c r="AS65" s="22" t="s">
        <v>55</v>
      </c>
      <c r="AT65" s="22" t="s">
        <v>55</v>
      </c>
      <c r="AU65" s="22" t="s">
        <v>55</v>
      </c>
      <c r="AV65" s="22" t="s">
        <v>55</v>
      </c>
      <c r="AW65" s="23">
        <v>45766</v>
      </c>
      <c r="AX65" s="23">
        <v>45870</v>
      </c>
      <c r="AY65" s="22" t="s">
        <v>608</v>
      </c>
    </row>
    <row r="66" spans="1:51" ht="174" x14ac:dyDescent="0.35">
      <c r="A66" s="22" t="s">
        <v>701</v>
      </c>
      <c r="B66" s="22" t="s">
        <v>347</v>
      </c>
      <c r="C66" s="22" t="s">
        <v>51</v>
      </c>
      <c r="D66" s="22" t="s">
        <v>610</v>
      </c>
      <c r="E66" s="22" t="s">
        <v>52</v>
      </c>
      <c r="F66" s="22" t="s">
        <v>611</v>
      </c>
      <c r="G66" s="22" t="s">
        <v>54</v>
      </c>
      <c r="H66" s="22" t="s">
        <v>1719</v>
      </c>
      <c r="I66" s="22" t="s">
        <v>101</v>
      </c>
      <c r="J66" s="22" t="s">
        <v>702</v>
      </c>
      <c r="K66" s="22" t="s">
        <v>561</v>
      </c>
      <c r="L66" s="22" t="s">
        <v>57</v>
      </c>
      <c r="M66" s="22" t="s">
        <v>703</v>
      </c>
      <c r="N66" s="22" t="s">
        <v>55</v>
      </c>
      <c r="O66" s="22" t="s">
        <v>615</v>
      </c>
      <c r="P66" s="22" t="s">
        <v>704</v>
      </c>
      <c r="Q66" s="22" t="s">
        <v>705</v>
      </c>
      <c r="R66" s="22" t="s">
        <v>63</v>
      </c>
      <c r="S66" s="22" t="s">
        <v>706</v>
      </c>
      <c r="T66" s="22" t="s">
        <v>707</v>
      </c>
      <c r="U66" s="22" t="s">
        <v>63</v>
      </c>
      <c r="V66" s="23">
        <v>45930</v>
      </c>
      <c r="W66" s="22" t="s">
        <v>55</v>
      </c>
      <c r="X66" s="22" t="s">
        <v>708</v>
      </c>
      <c r="Y66" s="22" t="s">
        <v>65</v>
      </c>
      <c r="Z66" s="22" t="s">
        <v>55</v>
      </c>
      <c r="AA66" s="22" t="s">
        <v>66</v>
      </c>
      <c r="AB66" s="22" t="s">
        <v>55</v>
      </c>
      <c r="AC66" s="22" t="s">
        <v>55</v>
      </c>
      <c r="AD66" s="22" t="s">
        <v>67</v>
      </c>
      <c r="AE66" s="22" t="s">
        <v>257</v>
      </c>
      <c r="AF66" s="22" t="s">
        <v>98</v>
      </c>
      <c r="AG66" s="22" t="s">
        <v>55</v>
      </c>
      <c r="AH66" s="22" t="s">
        <v>55</v>
      </c>
      <c r="AI66" s="22" t="s">
        <v>55</v>
      </c>
      <c r="AJ66" s="22" t="s">
        <v>55</v>
      </c>
      <c r="AK66" s="22" t="s">
        <v>55</v>
      </c>
      <c r="AL66" s="22" t="s">
        <v>55</v>
      </c>
      <c r="AM66" s="22" t="s">
        <v>55</v>
      </c>
      <c r="AN66" s="22" t="s">
        <v>55</v>
      </c>
      <c r="AO66" s="22" t="s">
        <v>55</v>
      </c>
      <c r="AP66" s="22" t="s">
        <v>55</v>
      </c>
      <c r="AQ66" s="22" t="s">
        <v>55</v>
      </c>
      <c r="AR66" s="22" t="s">
        <v>55</v>
      </c>
      <c r="AS66" s="22" t="s">
        <v>55</v>
      </c>
      <c r="AT66" s="22" t="s">
        <v>55</v>
      </c>
      <c r="AU66" s="22" t="s">
        <v>55</v>
      </c>
      <c r="AV66" s="22" t="s">
        <v>55</v>
      </c>
      <c r="AW66" s="23">
        <v>45766</v>
      </c>
      <c r="AX66" s="23">
        <v>45870</v>
      </c>
      <c r="AY66" s="22" t="s">
        <v>608</v>
      </c>
    </row>
    <row r="67" spans="1:51" ht="116" x14ac:dyDescent="0.35">
      <c r="A67" s="22" t="s">
        <v>709</v>
      </c>
      <c r="B67" s="22" t="s">
        <v>347</v>
      </c>
      <c r="C67" s="22" t="s">
        <v>51</v>
      </c>
      <c r="D67" s="22" t="s">
        <v>610</v>
      </c>
      <c r="E67" s="22" t="s">
        <v>108</v>
      </c>
      <c r="F67" s="22" t="s">
        <v>611</v>
      </c>
      <c r="G67" s="22" t="s">
        <v>54</v>
      </c>
      <c r="H67" s="22" t="s">
        <v>1719</v>
      </c>
      <c r="I67" s="22" t="s">
        <v>160</v>
      </c>
      <c r="J67" s="22" t="s">
        <v>710</v>
      </c>
      <c r="K67" s="22" t="s">
        <v>558</v>
      </c>
      <c r="L67" s="22" t="s">
        <v>57</v>
      </c>
      <c r="M67" s="22" t="s">
        <v>55</v>
      </c>
      <c r="N67" s="22" t="s">
        <v>55</v>
      </c>
      <c r="O67" s="22" t="s">
        <v>615</v>
      </c>
      <c r="P67" s="22" t="s">
        <v>711</v>
      </c>
      <c r="Q67" s="22" t="s">
        <v>712</v>
      </c>
      <c r="R67" s="22" t="s">
        <v>63</v>
      </c>
      <c r="S67" s="22" t="s">
        <v>713</v>
      </c>
      <c r="T67" s="22" t="s">
        <v>714</v>
      </c>
      <c r="U67" s="22" t="s">
        <v>132</v>
      </c>
      <c r="V67" s="23">
        <v>46022</v>
      </c>
      <c r="W67" s="22" t="s">
        <v>55</v>
      </c>
      <c r="X67" s="22" t="s">
        <v>715</v>
      </c>
      <c r="Y67" s="22" t="s">
        <v>65</v>
      </c>
      <c r="Z67" s="22" t="s">
        <v>55</v>
      </c>
      <c r="AA67" s="22" t="s">
        <v>221</v>
      </c>
      <c r="AB67" s="22" t="s">
        <v>55</v>
      </c>
      <c r="AC67" s="22" t="s">
        <v>55</v>
      </c>
      <c r="AD67" s="22" t="s">
        <v>67</v>
      </c>
      <c r="AE67" s="22" t="s">
        <v>257</v>
      </c>
      <c r="AF67" s="22" t="s">
        <v>55</v>
      </c>
      <c r="AG67" s="22" t="s">
        <v>55</v>
      </c>
      <c r="AH67" s="22" t="s">
        <v>55</v>
      </c>
      <c r="AI67" s="22" t="s">
        <v>55</v>
      </c>
      <c r="AJ67" s="22" t="s">
        <v>55</v>
      </c>
      <c r="AK67" s="22" t="s">
        <v>55</v>
      </c>
      <c r="AL67" s="22" t="s">
        <v>55</v>
      </c>
      <c r="AM67" s="22" t="s">
        <v>55</v>
      </c>
      <c r="AN67" s="22" t="s">
        <v>55</v>
      </c>
      <c r="AO67" s="22" t="s">
        <v>55</v>
      </c>
      <c r="AP67" s="22" t="s">
        <v>55</v>
      </c>
      <c r="AQ67" s="22" t="s">
        <v>55</v>
      </c>
      <c r="AR67" s="22" t="s">
        <v>55</v>
      </c>
      <c r="AS67" s="22" t="s">
        <v>55</v>
      </c>
      <c r="AT67" s="22" t="s">
        <v>55</v>
      </c>
      <c r="AU67" s="22" t="s">
        <v>55</v>
      </c>
      <c r="AV67" s="22" t="s">
        <v>55</v>
      </c>
      <c r="AW67" s="23">
        <v>45766</v>
      </c>
      <c r="AX67" s="23">
        <v>45870</v>
      </c>
      <c r="AY67" s="22" t="s">
        <v>608</v>
      </c>
    </row>
    <row r="68" spans="1:51" ht="159.5" x14ac:dyDescent="0.35">
      <c r="A68" s="22" t="s">
        <v>716</v>
      </c>
      <c r="B68" s="22" t="s">
        <v>347</v>
      </c>
      <c r="C68" s="22" t="s">
        <v>51</v>
      </c>
      <c r="D68" s="22" t="s">
        <v>610</v>
      </c>
      <c r="E68" s="22" t="s">
        <v>52</v>
      </c>
      <c r="F68" s="22" t="s">
        <v>611</v>
      </c>
      <c r="G68" s="22" t="s">
        <v>54</v>
      </c>
      <c r="H68" s="22" t="s">
        <v>1719</v>
      </c>
      <c r="I68" s="22" t="s">
        <v>101</v>
      </c>
      <c r="J68" s="22" t="s">
        <v>717</v>
      </c>
      <c r="K68" s="22" t="s">
        <v>561</v>
      </c>
      <c r="L68" s="22" t="s">
        <v>57</v>
      </c>
      <c r="M68" s="22" t="s">
        <v>323</v>
      </c>
      <c r="N68" s="22" t="s">
        <v>55</v>
      </c>
      <c r="O68" s="22" t="s">
        <v>615</v>
      </c>
      <c r="P68" s="22" t="s">
        <v>718</v>
      </c>
      <c r="Q68" s="22" t="s">
        <v>719</v>
      </c>
      <c r="R68" s="22" t="s">
        <v>63</v>
      </c>
      <c r="S68" s="22" t="s">
        <v>720</v>
      </c>
      <c r="T68" s="22" t="s">
        <v>721</v>
      </c>
      <c r="U68" s="22" t="s">
        <v>132</v>
      </c>
      <c r="V68" s="23">
        <v>46022</v>
      </c>
      <c r="W68" s="22" t="s">
        <v>55</v>
      </c>
      <c r="X68" s="22" t="s">
        <v>715</v>
      </c>
      <c r="Y68" s="22" t="s">
        <v>65</v>
      </c>
      <c r="Z68" s="22" t="s">
        <v>55</v>
      </c>
      <c r="AA68" s="22" t="s">
        <v>221</v>
      </c>
      <c r="AB68" s="22" t="s">
        <v>55</v>
      </c>
      <c r="AC68" s="22" t="s">
        <v>55</v>
      </c>
      <c r="AD68" s="22" t="s">
        <v>67</v>
      </c>
      <c r="AE68" s="22" t="s">
        <v>257</v>
      </c>
      <c r="AF68" s="22" t="s">
        <v>98</v>
      </c>
      <c r="AG68" s="22" t="s">
        <v>55</v>
      </c>
      <c r="AH68" s="22" t="s">
        <v>55</v>
      </c>
      <c r="AI68" s="22" t="s">
        <v>55</v>
      </c>
      <c r="AJ68" s="22" t="s">
        <v>55</v>
      </c>
      <c r="AK68" s="22" t="s">
        <v>55</v>
      </c>
      <c r="AL68" s="22" t="s">
        <v>55</v>
      </c>
      <c r="AM68" s="22" t="s">
        <v>55</v>
      </c>
      <c r="AN68" s="22" t="s">
        <v>55</v>
      </c>
      <c r="AO68" s="22" t="s">
        <v>55</v>
      </c>
      <c r="AP68" s="22" t="s">
        <v>55</v>
      </c>
      <c r="AQ68" s="22" t="s">
        <v>55</v>
      </c>
      <c r="AR68" s="22" t="s">
        <v>55</v>
      </c>
      <c r="AS68" s="22" t="s">
        <v>55</v>
      </c>
      <c r="AT68" s="22" t="s">
        <v>55</v>
      </c>
      <c r="AU68" s="22" t="s">
        <v>55</v>
      </c>
      <c r="AV68" s="22" t="s">
        <v>55</v>
      </c>
      <c r="AW68" s="23">
        <v>45766</v>
      </c>
      <c r="AX68" s="23">
        <v>45870</v>
      </c>
      <c r="AY68" s="22" t="s">
        <v>608</v>
      </c>
    </row>
    <row r="69" spans="1:51" ht="101.5" x14ac:dyDescent="0.35">
      <c r="A69" s="22" t="s">
        <v>722</v>
      </c>
      <c r="B69" s="22" t="s">
        <v>347</v>
      </c>
      <c r="C69" s="22" t="s">
        <v>51</v>
      </c>
      <c r="D69" s="22" t="s">
        <v>610</v>
      </c>
      <c r="E69" s="22" t="s">
        <v>108</v>
      </c>
      <c r="F69" s="22" t="s">
        <v>611</v>
      </c>
      <c r="G69" s="22" t="s">
        <v>54</v>
      </c>
      <c r="H69" s="22" t="s">
        <v>1719</v>
      </c>
      <c r="I69" s="22" t="s">
        <v>117</v>
      </c>
      <c r="J69" s="22" t="s">
        <v>723</v>
      </c>
      <c r="K69" s="22" t="s">
        <v>576</v>
      </c>
      <c r="L69" s="22" t="s">
        <v>57</v>
      </c>
      <c r="M69" s="22" t="s">
        <v>55</v>
      </c>
      <c r="N69" s="22" t="s">
        <v>55</v>
      </c>
      <c r="O69" s="22" t="s">
        <v>615</v>
      </c>
      <c r="P69" s="22" t="s">
        <v>724</v>
      </c>
      <c r="Q69" s="22" t="s">
        <v>725</v>
      </c>
      <c r="R69" s="22" t="s">
        <v>63</v>
      </c>
      <c r="S69" s="22" t="s">
        <v>726</v>
      </c>
      <c r="T69" s="22" t="s">
        <v>727</v>
      </c>
      <c r="U69" s="22" t="s">
        <v>63</v>
      </c>
      <c r="V69" s="23">
        <v>45930</v>
      </c>
      <c r="W69" s="22" t="s">
        <v>55</v>
      </c>
      <c r="X69" s="22" t="s">
        <v>728</v>
      </c>
      <c r="Y69" s="22" t="s">
        <v>65</v>
      </c>
      <c r="Z69" s="22" t="s">
        <v>55</v>
      </c>
      <c r="AA69" s="22" t="s">
        <v>66</v>
      </c>
      <c r="AB69" s="22" t="s">
        <v>55</v>
      </c>
      <c r="AC69" s="22" t="s">
        <v>55</v>
      </c>
      <c r="AD69" s="22" t="s">
        <v>67</v>
      </c>
      <c r="AE69" s="22" t="s">
        <v>257</v>
      </c>
      <c r="AF69" s="22" t="s">
        <v>55</v>
      </c>
      <c r="AG69" s="22" t="s">
        <v>55</v>
      </c>
      <c r="AH69" s="22" t="s">
        <v>55</v>
      </c>
      <c r="AI69" s="22" t="s">
        <v>55</v>
      </c>
      <c r="AJ69" s="22" t="s">
        <v>55</v>
      </c>
      <c r="AK69" s="22" t="s">
        <v>55</v>
      </c>
      <c r="AL69" s="22" t="s">
        <v>55</v>
      </c>
      <c r="AM69" s="22" t="s">
        <v>55</v>
      </c>
      <c r="AN69" s="22" t="s">
        <v>55</v>
      </c>
      <c r="AO69" s="22" t="s">
        <v>55</v>
      </c>
      <c r="AP69" s="22" t="s">
        <v>55</v>
      </c>
      <c r="AQ69" s="22" t="s">
        <v>55</v>
      </c>
      <c r="AR69" s="22" t="s">
        <v>55</v>
      </c>
      <c r="AS69" s="22" t="s">
        <v>55</v>
      </c>
      <c r="AT69" s="22" t="s">
        <v>55</v>
      </c>
      <c r="AU69" s="22" t="s">
        <v>55</v>
      </c>
      <c r="AV69" s="22" t="s">
        <v>55</v>
      </c>
      <c r="AW69" s="23">
        <v>45766</v>
      </c>
      <c r="AX69" s="23">
        <v>45870</v>
      </c>
      <c r="AY69" s="22" t="s">
        <v>608</v>
      </c>
    </row>
    <row r="70" spans="1:51" ht="116" x14ac:dyDescent="0.35">
      <c r="A70" s="22" t="s">
        <v>729</v>
      </c>
      <c r="B70" s="22" t="s">
        <v>347</v>
      </c>
      <c r="C70" s="22" t="s">
        <v>51</v>
      </c>
      <c r="D70" s="22" t="s">
        <v>610</v>
      </c>
      <c r="E70" s="22" t="s">
        <v>52</v>
      </c>
      <c r="F70" s="22" t="s">
        <v>611</v>
      </c>
      <c r="G70" s="22" t="s">
        <v>54</v>
      </c>
      <c r="H70" s="22" t="s">
        <v>1719</v>
      </c>
      <c r="I70" s="22" t="s">
        <v>119</v>
      </c>
      <c r="J70" s="22" t="s">
        <v>730</v>
      </c>
      <c r="K70" s="22" t="s">
        <v>552</v>
      </c>
      <c r="L70" s="22" t="s">
        <v>57</v>
      </c>
      <c r="M70" s="22" t="s">
        <v>243</v>
      </c>
      <c r="N70" s="22" t="s">
        <v>55</v>
      </c>
      <c r="O70" s="22" t="s">
        <v>615</v>
      </c>
      <c r="P70" s="22" t="s">
        <v>731</v>
      </c>
      <c r="Q70" s="22" t="s">
        <v>732</v>
      </c>
      <c r="R70" s="22" t="s">
        <v>63</v>
      </c>
      <c r="S70" s="22" t="s">
        <v>733</v>
      </c>
      <c r="T70" s="22" t="s">
        <v>734</v>
      </c>
      <c r="U70" s="22" t="s">
        <v>63</v>
      </c>
      <c r="V70" s="23">
        <v>46112</v>
      </c>
      <c r="W70" s="22" t="s">
        <v>55</v>
      </c>
      <c r="X70" s="22" t="s">
        <v>735</v>
      </c>
      <c r="Y70" s="22" t="s">
        <v>65</v>
      </c>
      <c r="Z70" s="22" t="s">
        <v>55</v>
      </c>
      <c r="AA70" s="22" t="s">
        <v>155</v>
      </c>
      <c r="AB70" s="22" t="s">
        <v>55</v>
      </c>
      <c r="AC70" s="22" t="s">
        <v>55</v>
      </c>
      <c r="AD70" s="22" t="s">
        <v>67</v>
      </c>
      <c r="AE70" s="22" t="s">
        <v>257</v>
      </c>
      <c r="AF70" s="22" t="s">
        <v>92</v>
      </c>
      <c r="AG70" s="22" t="s">
        <v>55</v>
      </c>
      <c r="AH70" s="22" t="s">
        <v>55</v>
      </c>
      <c r="AI70" s="22" t="s">
        <v>55</v>
      </c>
      <c r="AJ70" s="22" t="s">
        <v>55</v>
      </c>
      <c r="AK70" s="22" t="s">
        <v>55</v>
      </c>
      <c r="AL70" s="22" t="s">
        <v>55</v>
      </c>
      <c r="AM70" s="22" t="s">
        <v>55</v>
      </c>
      <c r="AN70" s="22" t="s">
        <v>55</v>
      </c>
      <c r="AO70" s="22" t="s">
        <v>55</v>
      </c>
      <c r="AP70" s="22" t="s">
        <v>55</v>
      </c>
      <c r="AQ70" s="22" t="s">
        <v>55</v>
      </c>
      <c r="AR70" s="22" t="s">
        <v>55</v>
      </c>
      <c r="AS70" s="22" t="s">
        <v>55</v>
      </c>
      <c r="AT70" s="22" t="s">
        <v>55</v>
      </c>
      <c r="AU70" s="22" t="s">
        <v>55</v>
      </c>
      <c r="AV70" s="22" t="s">
        <v>55</v>
      </c>
      <c r="AW70" s="23">
        <v>45766</v>
      </c>
      <c r="AX70" s="23">
        <v>45870</v>
      </c>
      <c r="AY70" s="22" t="s">
        <v>608</v>
      </c>
    </row>
    <row r="71" spans="1:51" ht="174" x14ac:dyDescent="0.35">
      <c r="A71" s="22" t="s">
        <v>736</v>
      </c>
      <c r="B71" s="22" t="s">
        <v>347</v>
      </c>
      <c r="C71" s="22" t="s">
        <v>51</v>
      </c>
      <c r="D71" s="22" t="s">
        <v>610</v>
      </c>
      <c r="E71" s="22" t="s">
        <v>108</v>
      </c>
      <c r="F71" s="22" t="s">
        <v>611</v>
      </c>
      <c r="G71" s="22" t="s">
        <v>54</v>
      </c>
      <c r="H71" s="22" t="s">
        <v>1719</v>
      </c>
      <c r="I71" s="22" t="s">
        <v>109</v>
      </c>
      <c r="J71" s="22" t="s">
        <v>737</v>
      </c>
      <c r="K71" s="22" t="s">
        <v>586</v>
      </c>
      <c r="L71" s="22" t="s">
        <v>57</v>
      </c>
      <c r="M71" s="22" t="s">
        <v>55</v>
      </c>
      <c r="N71" s="22" t="s">
        <v>55</v>
      </c>
      <c r="O71" s="22" t="s">
        <v>615</v>
      </c>
      <c r="P71" s="22" t="s">
        <v>738</v>
      </c>
      <c r="Q71" s="22" t="s">
        <v>739</v>
      </c>
      <c r="R71" s="22" t="s">
        <v>132</v>
      </c>
      <c r="S71" s="22" t="s">
        <v>740</v>
      </c>
      <c r="T71" s="22" t="s">
        <v>741</v>
      </c>
      <c r="U71" s="22" t="s">
        <v>63</v>
      </c>
      <c r="V71" s="23">
        <v>45930</v>
      </c>
      <c r="W71" s="22" t="s">
        <v>55</v>
      </c>
      <c r="X71" s="22" t="s">
        <v>742</v>
      </c>
      <c r="Y71" s="22" t="s">
        <v>65</v>
      </c>
      <c r="Z71" s="22" t="s">
        <v>55</v>
      </c>
      <c r="AA71" s="22" t="s">
        <v>66</v>
      </c>
      <c r="AB71" s="22" t="s">
        <v>55</v>
      </c>
      <c r="AC71" s="22" t="s">
        <v>55</v>
      </c>
      <c r="AD71" s="22" t="s">
        <v>67</v>
      </c>
      <c r="AE71" s="22" t="s">
        <v>257</v>
      </c>
      <c r="AF71" s="22" t="s">
        <v>55</v>
      </c>
      <c r="AG71" s="22" t="s">
        <v>55</v>
      </c>
      <c r="AH71" s="22" t="s">
        <v>55</v>
      </c>
      <c r="AI71" s="22" t="s">
        <v>55</v>
      </c>
      <c r="AJ71" s="22" t="s">
        <v>55</v>
      </c>
      <c r="AK71" s="22" t="s">
        <v>55</v>
      </c>
      <c r="AL71" s="22" t="s">
        <v>55</v>
      </c>
      <c r="AM71" s="22" t="s">
        <v>55</v>
      </c>
      <c r="AN71" s="22" t="s">
        <v>55</v>
      </c>
      <c r="AO71" s="22" t="s">
        <v>55</v>
      </c>
      <c r="AP71" s="22" t="s">
        <v>55</v>
      </c>
      <c r="AQ71" s="22" t="s">
        <v>55</v>
      </c>
      <c r="AR71" s="22" t="s">
        <v>55</v>
      </c>
      <c r="AS71" s="22" t="s">
        <v>55</v>
      </c>
      <c r="AT71" s="22" t="s">
        <v>55</v>
      </c>
      <c r="AU71" s="22" t="s">
        <v>55</v>
      </c>
      <c r="AV71" s="22" t="s">
        <v>55</v>
      </c>
      <c r="AW71" s="23">
        <v>45766</v>
      </c>
      <c r="AX71" s="23">
        <v>45870</v>
      </c>
      <c r="AY71" s="22" t="s">
        <v>608</v>
      </c>
    </row>
    <row r="72" spans="1:51" ht="145" x14ac:dyDescent="0.35">
      <c r="A72" s="22" t="s">
        <v>743</v>
      </c>
      <c r="B72" s="22" t="s">
        <v>347</v>
      </c>
      <c r="C72" s="22" t="s">
        <v>51</v>
      </c>
      <c r="D72" s="22" t="s">
        <v>610</v>
      </c>
      <c r="E72" s="22" t="s">
        <v>108</v>
      </c>
      <c r="F72" s="22" t="s">
        <v>611</v>
      </c>
      <c r="G72" s="22" t="s">
        <v>54</v>
      </c>
      <c r="H72" s="22" t="s">
        <v>1719</v>
      </c>
      <c r="I72" s="22" t="s">
        <v>86</v>
      </c>
      <c r="J72" s="22" t="s">
        <v>744</v>
      </c>
      <c r="K72" s="22" t="s">
        <v>745</v>
      </c>
      <c r="L72" s="22" t="s">
        <v>57</v>
      </c>
      <c r="M72" s="22" t="s">
        <v>55</v>
      </c>
      <c r="N72" s="22" t="s">
        <v>55</v>
      </c>
      <c r="O72" s="22" t="s">
        <v>615</v>
      </c>
      <c r="P72" s="22" t="s">
        <v>746</v>
      </c>
      <c r="Q72" s="22" t="s">
        <v>747</v>
      </c>
      <c r="R72" s="22" t="s">
        <v>63</v>
      </c>
      <c r="S72" s="22" t="s">
        <v>748</v>
      </c>
      <c r="T72" s="22" t="s">
        <v>749</v>
      </c>
      <c r="U72" s="22" t="s">
        <v>63</v>
      </c>
      <c r="V72" s="23">
        <v>45930</v>
      </c>
      <c r="W72" s="22" t="s">
        <v>55</v>
      </c>
      <c r="X72" s="22" t="s">
        <v>750</v>
      </c>
      <c r="Y72" s="22" t="s">
        <v>65</v>
      </c>
      <c r="Z72" s="22" t="s">
        <v>55</v>
      </c>
      <c r="AA72" s="22" t="s">
        <v>66</v>
      </c>
      <c r="AB72" s="22" t="s">
        <v>55</v>
      </c>
      <c r="AC72" s="22" t="s">
        <v>55</v>
      </c>
      <c r="AD72" s="22" t="s">
        <v>67</v>
      </c>
      <c r="AE72" s="22" t="s">
        <v>257</v>
      </c>
      <c r="AF72" s="22" t="s">
        <v>55</v>
      </c>
      <c r="AG72" s="22" t="s">
        <v>55</v>
      </c>
      <c r="AH72" s="22" t="s">
        <v>55</v>
      </c>
      <c r="AI72" s="22" t="s">
        <v>55</v>
      </c>
      <c r="AJ72" s="22" t="s">
        <v>55</v>
      </c>
      <c r="AK72" s="22" t="s">
        <v>55</v>
      </c>
      <c r="AL72" s="22" t="s">
        <v>55</v>
      </c>
      <c r="AM72" s="22" t="s">
        <v>55</v>
      </c>
      <c r="AN72" s="22" t="s">
        <v>55</v>
      </c>
      <c r="AO72" s="22" t="s">
        <v>55</v>
      </c>
      <c r="AP72" s="22" t="s">
        <v>55</v>
      </c>
      <c r="AQ72" s="22" t="s">
        <v>55</v>
      </c>
      <c r="AR72" s="22" t="s">
        <v>55</v>
      </c>
      <c r="AS72" s="22" t="s">
        <v>55</v>
      </c>
      <c r="AT72" s="22" t="s">
        <v>55</v>
      </c>
      <c r="AU72" s="22" t="s">
        <v>55</v>
      </c>
      <c r="AV72" s="22" t="s">
        <v>55</v>
      </c>
      <c r="AW72" s="23">
        <v>45766</v>
      </c>
      <c r="AX72" s="23">
        <v>45870</v>
      </c>
      <c r="AY72" s="22" t="s">
        <v>608</v>
      </c>
    </row>
    <row r="73" spans="1:51" ht="188.5" x14ac:dyDescent="0.35">
      <c r="A73" s="22" t="s">
        <v>756</v>
      </c>
      <c r="B73" s="22" t="s">
        <v>347</v>
      </c>
      <c r="C73" s="22" t="s">
        <v>51</v>
      </c>
      <c r="D73" s="22" t="s">
        <v>465</v>
      </c>
      <c r="E73" s="22" t="s">
        <v>108</v>
      </c>
      <c r="F73" s="22" t="s">
        <v>751</v>
      </c>
      <c r="G73" s="22" t="s">
        <v>126</v>
      </c>
      <c r="H73" s="22" t="s">
        <v>157</v>
      </c>
      <c r="I73" s="22" t="s">
        <v>117</v>
      </c>
      <c r="J73" s="22" t="s">
        <v>757</v>
      </c>
      <c r="K73" s="22" t="s">
        <v>573</v>
      </c>
      <c r="L73" s="22" t="s">
        <v>57</v>
      </c>
      <c r="M73" s="22" t="s">
        <v>55</v>
      </c>
      <c r="N73" s="22" t="s">
        <v>55</v>
      </c>
      <c r="O73" s="22" t="s">
        <v>753</v>
      </c>
      <c r="P73" s="22" t="s">
        <v>758</v>
      </c>
      <c r="Q73" s="22" t="s">
        <v>759</v>
      </c>
      <c r="R73" s="22" t="s">
        <v>63</v>
      </c>
      <c r="S73" s="22" t="s">
        <v>760</v>
      </c>
      <c r="T73" s="22" t="s">
        <v>761</v>
      </c>
      <c r="U73" s="22" t="s">
        <v>63</v>
      </c>
      <c r="V73" s="23">
        <v>46022</v>
      </c>
      <c r="W73" s="22" t="s">
        <v>55</v>
      </c>
      <c r="X73" s="22" t="s">
        <v>762</v>
      </c>
      <c r="Y73" s="22" t="s">
        <v>65</v>
      </c>
      <c r="Z73" s="22" t="s">
        <v>55</v>
      </c>
      <c r="AA73" s="22" t="s">
        <v>221</v>
      </c>
      <c r="AB73" s="22" t="s">
        <v>55</v>
      </c>
      <c r="AC73" s="22" t="s">
        <v>55</v>
      </c>
      <c r="AD73" s="22" t="s">
        <v>67</v>
      </c>
      <c r="AE73" s="22" t="s">
        <v>257</v>
      </c>
      <c r="AF73" s="22" t="s">
        <v>55</v>
      </c>
      <c r="AG73" s="22" t="s">
        <v>55</v>
      </c>
      <c r="AH73" s="22" t="s">
        <v>55</v>
      </c>
      <c r="AI73" s="22" t="s">
        <v>55</v>
      </c>
      <c r="AJ73" s="22" t="s">
        <v>55</v>
      </c>
      <c r="AK73" s="22" t="s">
        <v>55</v>
      </c>
      <c r="AL73" s="22" t="s">
        <v>55</v>
      </c>
      <c r="AM73" s="22" t="s">
        <v>55</v>
      </c>
      <c r="AN73" s="22" t="s">
        <v>55</v>
      </c>
      <c r="AO73" s="22" t="s">
        <v>55</v>
      </c>
      <c r="AP73" s="22" t="s">
        <v>55</v>
      </c>
      <c r="AQ73" s="22" t="s">
        <v>55</v>
      </c>
      <c r="AR73" s="22" t="s">
        <v>55</v>
      </c>
      <c r="AS73" s="22" t="s">
        <v>55</v>
      </c>
      <c r="AT73" s="22" t="s">
        <v>55</v>
      </c>
      <c r="AU73" s="22" t="s">
        <v>55</v>
      </c>
      <c r="AV73" s="22" t="s">
        <v>55</v>
      </c>
      <c r="AW73" s="23">
        <v>45789</v>
      </c>
      <c r="AX73" s="23">
        <v>45882</v>
      </c>
      <c r="AY73" s="22" t="s">
        <v>754</v>
      </c>
    </row>
    <row r="74" spans="1:51" ht="159.5" x14ac:dyDescent="0.35">
      <c r="A74" s="22" t="s">
        <v>763</v>
      </c>
      <c r="B74" s="22" t="s">
        <v>347</v>
      </c>
      <c r="C74" s="22" t="s">
        <v>51</v>
      </c>
      <c r="D74" s="22" t="s">
        <v>465</v>
      </c>
      <c r="E74" s="22" t="s">
        <v>108</v>
      </c>
      <c r="F74" s="22" t="s">
        <v>764</v>
      </c>
      <c r="G74" s="22" t="s">
        <v>126</v>
      </c>
      <c r="H74" s="22" t="s">
        <v>138</v>
      </c>
      <c r="I74" s="22" t="s">
        <v>160</v>
      </c>
      <c r="J74" s="22" t="s">
        <v>765</v>
      </c>
      <c r="K74" s="22" t="s">
        <v>558</v>
      </c>
      <c r="L74" s="22" t="s">
        <v>103</v>
      </c>
      <c r="M74" s="22" t="s">
        <v>55</v>
      </c>
      <c r="N74" s="22" t="s">
        <v>55</v>
      </c>
      <c r="O74" s="22" t="s">
        <v>766</v>
      </c>
      <c r="P74" s="22" t="s">
        <v>767</v>
      </c>
      <c r="Q74" s="22" t="s">
        <v>768</v>
      </c>
      <c r="R74" s="22" t="s">
        <v>63</v>
      </c>
      <c r="S74" s="22" t="s">
        <v>769</v>
      </c>
      <c r="T74" s="22" t="s">
        <v>770</v>
      </c>
      <c r="U74" s="22" t="s">
        <v>63</v>
      </c>
      <c r="V74" s="23">
        <v>45991</v>
      </c>
      <c r="W74" s="22" t="s">
        <v>55</v>
      </c>
      <c r="X74" s="22" t="s">
        <v>771</v>
      </c>
      <c r="Y74" s="22" t="s">
        <v>65</v>
      </c>
      <c r="Z74" s="22" t="s">
        <v>55</v>
      </c>
      <c r="AA74" s="22" t="s">
        <v>152</v>
      </c>
      <c r="AB74" s="22" t="s">
        <v>55</v>
      </c>
      <c r="AC74" s="22" t="s">
        <v>55</v>
      </c>
      <c r="AD74" s="22" t="s">
        <v>67</v>
      </c>
      <c r="AE74" s="22" t="s">
        <v>257</v>
      </c>
      <c r="AF74" s="22" t="s">
        <v>55</v>
      </c>
      <c r="AG74" s="22" t="s">
        <v>55</v>
      </c>
      <c r="AH74" s="22" t="s">
        <v>55</v>
      </c>
      <c r="AI74" s="22" t="s">
        <v>55</v>
      </c>
      <c r="AJ74" s="22" t="s">
        <v>55</v>
      </c>
      <c r="AK74" s="22" t="s">
        <v>55</v>
      </c>
      <c r="AL74" s="22" t="s">
        <v>55</v>
      </c>
      <c r="AM74" s="22" t="s">
        <v>55</v>
      </c>
      <c r="AN74" s="22" t="s">
        <v>55</v>
      </c>
      <c r="AO74" s="22" t="s">
        <v>55</v>
      </c>
      <c r="AP74" s="22" t="s">
        <v>55</v>
      </c>
      <c r="AQ74" s="22" t="s">
        <v>55</v>
      </c>
      <c r="AR74" s="22" t="s">
        <v>55</v>
      </c>
      <c r="AS74" s="22" t="s">
        <v>55</v>
      </c>
      <c r="AT74" s="22" t="s">
        <v>55</v>
      </c>
      <c r="AU74" s="22" t="s">
        <v>55</v>
      </c>
      <c r="AV74" s="22" t="s">
        <v>55</v>
      </c>
      <c r="AW74" s="23">
        <v>45761</v>
      </c>
      <c r="AX74" s="23">
        <v>45891</v>
      </c>
      <c r="AY74" s="22" t="s">
        <v>754</v>
      </c>
    </row>
    <row r="75" spans="1:51" ht="174" x14ac:dyDescent="0.35">
      <c r="A75" s="22" t="s">
        <v>772</v>
      </c>
      <c r="B75" s="22" t="s">
        <v>347</v>
      </c>
      <c r="C75" s="22" t="s">
        <v>51</v>
      </c>
      <c r="D75" s="22" t="s">
        <v>465</v>
      </c>
      <c r="E75" s="22" t="s">
        <v>108</v>
      </c>
      <c r="F75" s="22" t="s">
        <v>764</v>
      </c>
      <c r="G75" s="22" t="s">
        <v>126</v>
      </c>
      <c r="H75" s="22" t="s">
        <v>138</v>
      </c>
      <c r="I75" s="22" t="s">
        <v>121</v>
      </c>
      <c r="J75" s="22" t="s">
        <v>752</v>
      </c>
      <c r="K75" s="22" t="s">
        <v>867</v>
      </c>
      <c r="L75" s="22" t="s">
        <v>103</v>
      </c>
      <c r="M75" s="22" t="s">
        <v>55</v>
      </c>
      <c r="N75" s="22" t="s">
        <v>55</v>
      </c>
      <c r="O75" s="22" t="s">
        <v>766</v>
      </c>
      <c r="P75" s="22" t="s">
        <v>773</v>
      </c>
      <c r="Q75" s="22" t="s">
        <v>774</v>
      </c>
      <c r="R75" s="22" t="s">
        <v>63</v>
      </c>
      <c r="S75" s="22" t="s">
        <v>775</v>
      </c>
      <c r="T75" s="22" t="s">
        <v>776</v>
      </c>
      <c r="U75" s="22" t="s">
        <v>63</v>
      </c>
      <c r="V75" s="23">
        <v>45991</v>
      </c>
      <c r="W75" s="22" t="s">
        <v>55</v>
      </c>
      <c r="X75" s="22" t="s">
        <v>771</v>
      </c>
      <c r="Y75" s="22" t="s">
        <v>65</v>
      </c>
      <c r="Z75" s="22" t="s">
        <v>55</v>
      </c>
      <c r="AA75" s="22" t="s">
        <v>152</v>
      </c>
      <c r="AB75" s="22" t="s">
        <v>55</v>
      </c>
      <c r="AC75" s="22" t="s">
        <v>55</v>
      </c>
      <c r="AD75" s="22" t="s">
        <v>67</v>
      </c>
      <c r="AE75" s="22" t="s">
        <v>257</v>
      </c>
      <c r="AF75" s="22" t="s">
        <v>55</v>
      </c>
      <c r="AG75" s="22" t="s">
        <v>55</v>
      </c>
      <c r="AH75" s="22" t="s">
        <v>55</v>
      </c>
      <c r="AI75" s="22" t="s">
        <v>55</v>
      </c>
      <c r="AJ75" s="22" t="s">
        <v>55</v>
      </c>
      <c r="AK75" s="22" t="s">
        <v>55</v>
      </c>
      <c r="AL75" s="22" t="s">
        <v>55</v>
      </c>
      <c r="AM75" s="22" t="s">
        <v>55</v>
      </c>
      <c r="AN75" s="22" t="s">
        <v>55</v>
      </c>
      <c r="AO75" s="22" t="s">
        <v>55</v>
      </c>
      <c r="AP75" s="22" t="s">
        <v>55</v>
      </c>
      <c r="AQ75" s="22" t="s">
        <v>55</v>
      </c>
      <c r="AR75" s="22" t="s">
        <v>55</v>
      </c>
      <c r="AS75" s="22" t="s">
        <v>55</v>
      </c>
      <c r="AT75" s="22" t="s">
        <v>55</v>
      </c>
      <c r="AU75" s="22" t="s">
        <v>55</v>
      </c>
      <c r="AV75" s="22" t="s">
        <v>55</v>
      </c>
      <c r="AW75" s="23">
        <v>45761</v>
      </c>
      <c r="AX75" s="23">
        <v>45891</v>
      </c>
      <c r="AY75" s="22" t="s">
        <v>754</v>
      </c>
    </row>
    <row r="76" spans="1:51" ht="87" x14ac:dyDescent="0.35">
      <c r="A76" s="22" t="s">
        <v>780</v>
      </c>
      <c r="B76" s="22" t="s">
        <v>347</v>
      </c>
      <c r="C76" s="22" t="s">
        <v>51</v>
      </c>
      <c r="D76" s="22" t="s">
        <v>465</v>
      </c>
      <c r="E76" s="22" t="s">
        <v>108</v>
      </c>
      <c r="F76" s="22" t="s">
        <v>764</v>
      </c>
      <c r="G76" s="22" t="s">
        <v>126</v>
      </c>
      <c r="H76" s="22" t="s">
        <v>138</v>
      </c>
      <c r="I76" s="22" t="s">
        <v>86</v>
      </c>
      <c r="J76" s="22" t="s">
        <v>781</v>
      </c>
      <c r="K76" s="22" t="s">
        <v>745</v>
      </c>
      <c r="L76" s="22" t="s">
        <v>57</v>
      </c>
      <c r="M76" s="22" t="s">
        <v>55</v>
      </c>
      <c r="N76" s="22" t="s">
        <v>55</v>
      </c>
      <c r="O76" s="22" t="s">
        <v>766</v>
      </c>
      <c r="P76" s="22" t="s">
        <v>782</v>
      </c>
      <c r="Q76" s="22" t="s">
        <v>783</v>
      </c>
      <c r="R76" s="22" t="s">
        <v>63</v>
      </c>
      <c r="S76" s="22" t="s">
        <v>784</v>
      </c>
      <c r="T76" s="22" t="s">
        <v>785</v>
      </c>
      <c r="U76" s="22" t="s">
        <v>63</v>
      </c>
      <c r="V76" s="23">
        <v>46022</v>
      </c>
      <c r="W76" s="22" t="s">
        <v>55</v>
      </c>
      <c r="X76" s="22" t="s">
        <v>778</v>
      </c>
      <c r="Y76" s="22" t="s">
        <v>65</v>
      </c>
      <c r="Z76" s="22" t="s">
        <v>55</v>
      </c>
      <c r="AA76" s="22" t="s">
        <v>221</v>
      </c>
      <c r="AB76" s="22" t="s">
        <v>55</v>
      </c>
      <c r="AC76" s="22" t="s">
        <v>55</v>
      </c>
      <c r="AD76" s="22" t="s">
        <v>67</v>
      </c>
      <c r="AE76" s="22" t="s">
        <v>257</v>
      </c>
      <c r="AF76" s="22" t="s">
        <v>55</v>
      </c>
      <c r="AG76" s="22" t="s">
        <v>55</v>
      </c>
      <c r="AH76" s="22" t="s">
        <v>55</v>
      </c>
      <c r="AI76" s="22" t="s">
        <v>55</v>
      </c>
      <c r="AJ76" s="22" t="s">
        <v>55</v>
      </c>
      <c r="AK76" s="22" t="s">
        <v>55</v>
      </c>
      <c r="AL76" s="22" t="s">
        <v>55</v>
      </c>
      <c r="AM76" s="22" t="s">
        <v>55</v>
      </c>
      <c r="AN76" s="22" t="s">
        <v>55</v>
      </c>
      <c r="AO76" s="22" t="s">
        <v>55</v>
      </c>
      <c r="AP76" s="22" t="s">
        <v>55</v>
      </c>
      <c r="AQ76" s="22" t="s">
        <v>55</v>
      </c>
      <c r="AR76" s="22" t="s">
        <v>55</v>
      </c>
      <c r="AS76" s="22" t="s">
        <v>55</v>
      </c>
      <c r="AT76" s="22" t="s">
        <v>55</v>
      </c>
      <c r="AU76" s="22" t="s">
        <v>55</v>
      </c>
      <c r="AV76" s="22" t="s">
        <v>55</v>
      </c>
      <c r="AW76" s="23">
        <v>45761</v>
      </c>
      <c r="AX76" s="23">
        <v>45891</v>
      </c>
      <c r="AY76" s="22" t="s">
        <v>754</v>
      </c>
    </row>
    <row r="77" spans="1:51" ht="58" x14ac:dyDescent="0.35">
      <c r="A77" s="22" t="s">
        <v>786</v>
      </c>
      <c r="B77" s="22" t="s">
        <v>347</v>
      </c>
      <c r="C77" s="22" t="s">
        <v>588</v>
      </c>
      <c r="D77" s="22" t="s">
        <v>465</v>
      </c>
      <c r="E77" s="22" t="s">
        <v>52</v>
      </c>
      <c r="F77" s="22" t="s">
        <v>141</v>
      </c>
      <c r="G77" s="22" t="s">
        <v>84</v>
      </c>
      <c r="H77" s="22" t="s">
        <v>84</v>
      </c>
      <c r="I77" s="22" t="s">
        <v>149</v>
      </c>
      <c r="J77" s="22" t="s">
        <v>55</v>
      </c>
      <c r="K77" s="22" t="s">
        <v>1720</v>
      </c>
      <c r="L77" s="22" t="s">
        <v>103</v>
      </c>
      <c r="M77" s="22" t="s">
        <v>55</v>
      </c>
      <c r="N77" s="22" t="s">
        <v>55</v>
      </c>
      <c r="O77" s="22" t="s">
        <v>1721</v>
      </c>
      <c r="P77" s="22" t="s">
        <v>151</v>
      </c>
      <c r="Q77" s="22" t="s">
        <v>787</v>
      </c>
      <c r="R77" s="22" t="s">
        <v>63</v>
      </c>
      <c r="S77" s="22" t="s">
        <v>150</v>
      </c>
      <c r="T77" s="22" t="s">
        <v>788</v>
      </c>
      <c r="U77" s="22" t="s">
        <v>63</v>
      </c>
      <c r="V77" s="23">
        <v>46022</v>
      </c>
      <c r="W77" s="22" t="s">
        <v>55</v>
      </c>
      <c r="X77" s="22" t="s">
        <v>789</v>
      </c>
      <c r="Y77" s="22" t="s">
        <v>65</v>
      </c>
      <c r="Z77" s="22" t="s">
        <v>55</v>
      </c>
      <c r="AA77" s="22" t="s">
        <v>221</v>
      </c>
      <c r="AB77" s="22" t="s">
        <v>55</v>
      </c>
      <c r="AC77" s="22" t="s">
        <v>55</v>
      </c>
      <c r="AD77" s="22" t="s">
        <v>67</v>
      </c>
      <c r="AE77" s="22" t="s">
        <v>97</v>
      </c>
      <c r="AF77" s="22" t="s">
        <v>55</v>
      </c>
      <c r="AG77" s="22" t="s">
        <v>55</v>
      </c>
      <c r="AH77" s="22" t="s">
        <v>55</v>
      </c>
      <c r="AI77" s="22" t="s">
        <v>55</v>
      </c>
      <c r="AJ77" s="22" t="s">
        <v>55</v>
      </c>
      <c r="AK77" s="22" t="s">
        <v>55</v>
      </c>
      <c r="AL77" s="22" t="s">
        <v>55</v>
      </c>
      <c r="AM77" s="22" t="s">
        <v>55</v>
      </c>
      <c r="AN77" s="22" t="s">
        <v>55</v>
      </c>
      <c r="AO77" s="22" t="s">
        <v>55</v>
      </c>
      <c r="AP77" s="22" t="s">
        <v>55</v>
      </c>
      <c r="AQ77" s="22" t="s">
        <v>55</v>
      </c>
      <c r="AR77" s="22" t="s">
        <v>55</v>
      </c>
      <c r="AS77" s="22" t="s">
        <v>55</v>
      </c>
      <c r="AT77" s="22" t="s">
        <v>55</v>
      </c>
      <c r="AU77" s="22" t="s">
        <v>55</v>
      </c>
      <c r="AV77" s="22" t="s">
        <v>55</v>
      </c>
      <c r="AW77" s="23">
        <v>45869</v>
      </c>
      <c r="AX77" s="23">
        <v>45900</v>
      </c>
      <c r="AY77" s="22" t="s">
        <v>790</v>
      </c>
    </row>
    <row r="78" spans="1:51" ht="58" x14ac:dyDescent="0.35">
      <c r="A78" s="22" t="s">
        <v>791</v>
      </c>
      <c r="B78" s="22" t="s">
        <v>347</v>
      </c>
      <c r="C78" s="22" t="s">
        <v>588</v>
      </c>
      <c r="D78" s="22" t="s">
        <v>465</v>
      </c>
      <c r="E78" s="22" t="s">
        <v>52</v>
      </c>
      <c r="F78" s="22" t="s">
        <v>792</v>
      </c>
      <c r="G78" s="22" t="s">
        <v>94</v>
      </c>
      <c r="H78" s="22" t="s">
        <v>95</v>
      </c>
      <c r="I78" s="22" t="s">
        <v>149</v>
      </c>
      <c r="J78" s="22" t="s">
        <v>55</v>
      </c>
      <c r="K78" s="22" t="s">
        <v>1720</v>
      </c>
      <c r="L78" s="22" t="s">
        <v>103</v>
      </c>
      <c r="M78" s="22" t="s">
        <v>55</v>
      </c>
      <c r="N78" s="22" t="s">
        <v>55</v>
      </c>
      <c r="O78" s="22" t="s">
        <v>1722</v>
      </c>
      <c r="P78" s="22" t="s">
        <v>151</v>
      </c>
      <c r="Q78" s="22" t="s">
        <v>793</v>
      </c>
      <c r="R78" s="22" t="s">
        <v>63</v>
      </c>
      <c r="S78" s="22" t="s">
        <v>150</v>
      </c>
      <c r="T78" s="22" t="s">
        <v>794</v>
      </c>
      <c r="U78" s="22" t="s">
        <v>63</v>
      </c>
      <c r="V78" s="23">
        <v>46022</v>
      </c>
      <c r="W78" s="22" t="s">
        <v>55</v>
      </c>
      <c r="X78" s="22" t="s">
        <v>795</v>
      </c>
      <c r="Y78" s="22" t="s">
        <v>65</v>
      </c>
      <c r="Z78" s="22" t="s">
        <v>55</v>
      </c>
      <c r="AA78" s="22" t="s">
        <v>221</v>
      </c>
      <c r="AB78" s="22" t="s">
        <v>55</v>
      </c>
      <c r="AC78" s="22" t="s">
        <v>55</v>
      </c>
      <c r="AD78" s="22" t="s">
        <v>67</v>
      </c>
      <c r="AE78" s="22" t="s">
        <v>97</v>
      </c>
      <c r="AF78" s="22" t="s">
        <v>55</v>
      </c>
      <c r="AG78" s="22" t="s">
        <v>55</v>
      </c>
      <c r="AH78" s="22" t="s">
        <v>55</v>
      </c>
      <c r="AI78" s="22" t="s">
        <v>55</v>
      </c>
      <c r="AJ78" s="22" t="s">
        <v>55</v>
      </c>
      <c r="AK78" s="22" t="s">
        <v>55</v>
      </c>
      <c r="AL78" s="22" t="s">
        <v>55</v>
      </c>
      <c r="AM78" s="22" t="s">
        <v>55</v>
      </c>
      <c r="AN78" s="22" t="s">
        <v>55</v>
      </c>
      <c r="AO78" s="22" t="s">
        <v>55</v>
      </c>
      <c r="AP78" s="22" t="s">
        <v>55</v>
      </c>
      <c r="AQ78" s="22" t="s">
        <v>55</v>
      </c>
      <c r="AR78" s="22" t="s">
        <v>55</v>
      </c>
      <c r="AS78" s="22" t="s">
        <v>55</v>
      </c>
      <c r="AT78" s="22" t="s">
        <v>55</v>
      </c>
      <c r="AU78" s="22" t="s">
        <v>55</v>
      </c>
      <c r="AV78" s="22" t="s">
        <v>55</v>
      </c>
      <c r="AW78" s="23">
        <v>45869</v>
      </c>
      <c r="AX78" s="23">
        <v>45900</v>
      </c>
      <c r="AY78" s="22" t="s">
        <v>790</v>
      </c>
    </row>
    <row r="79" spans="1:51" ht="58" x14ac:dyDescent="0.35">
      <c r="A79" s="22" t="s">
        <v>796</v>
      </c>
      <c r="B79" s="22" t="s">
        <v>347</v>
      </c>
      <c r="C79" s="22" t="s">
        <v>588</v>
      </c>
      <c r="D79" s="22" t="s">
        <v>465</v>
      </c>
      <c r="E79" s="22" t="s">
        <v>52</v>
      </c>
      <c r="F79" s="22" t="s">
        <v>797</v>
      </c>
      <c r="G79" s="22" t="s">
        <v>94</v>
      </c>
      <c r="H79" s="22" t="s">
        <v>95</v>
      </c>
      <c r="I79" s="22" t="s">
        <v>149</v>
      </c>
      <c r="J79" s="22" t="s">
        <v>55</v>
      </c>
      <c r="K79" s="22" t="s">
        <v>1720</v>
      </c>
      <c r="L79" s="22" t="s">
        <v>103</v>
      </c>
      <c r="M79" s="22" t="s">
        <v>55</v>
      </c>
      <c r="N79" s="22" t="s">
        <v>55</v>
      </c>
      <c r="O79" s="22" t="s">
        <v>1723</v>
      </c>
      <c r="P79" s="22" t="s">
        <v>151</v>
      </c>
      <c r="Q79" s="22" t="s">
        <v>793</v>
      </c>
      <c r="R79" s="22" t="s">
        <v>63</v>
      </c>
      <c r="S79" s="22" t="s">
        <v>150</v>
      </c>
      <c r="T79" s="22" t="s">
        <v>794</v>
      </c>
      <c r="U79" s="22" t="s">
        <v>63</v>
      </c>
      <c r="V79" s="23">
        <v>46022</v>
      </c>
      <c r="W79" s="22" t="s">
        <v>55</v>
      </c>
      <c r="X79" s="22" t="s">
        <v>795</v>
      </c>
      <c r="Y79" s="22" t="s">
        <v>65</v>
      </c>
      <c r="Z79" s="22" t="s">
        <v>55</v>
      </c>
      <c r="AA79" s="22" t="s">
        <v>221</v>
      </c>
      <c r="AB79" s="22" t="s">
        <v>55</v>
      </c>
      <c r="AC79" s="22" t="s">
        <v>55</v>
      </c>
      <c r="AD79" s="22" t="s">
        <v>67</v>
      </c>
      <c r="AE79" s="22" t="s">
        <v>97</v>
      </c>
      <c r="AF79" s="22" t="s">
        <v>55</v>
      </c>
      <c r="AG79" s="22" t="s">
        <v>55</v>
      </c>
      <c r="AH79" s="22" t="s">
        <v>55</v>
      </c>
      <c r="AI79" s="22" t="s">
        <v>55</v>
      </c>
      <c r="AJ79" s="22" t="s">
        <v>55</v>
      </c>
      <c r="AK79" s="22" t="s">
        <v>55</v>
      </c>
      <c r="AL79" s="22" t="s">
        <v>55</v>
      </c>
      <c r="AM79" s="22" t="s">
        <v>55</v>
      </c>
      <c r="AN79" s="22" t="s">
        <v>55</v>
      </c>
      <c r="AO79" s="22" t="s">
        <v>55</v>
      </c>
      <c r="AP79" s="22" t="s">
        <v>55</v>
      </c>
      <c r="AQ79" s="22" t="s">
        <v>55</v>
      </c>
      <c r="AR79" s="22" t="s">
        <v>55</v>
      </c>
      <c r="AS79" s="22" t="s">
        <v>55</v>
      </c>
      <c r="AT79" s="22" t="s">
        <v>55</v>
      </c>
      <c r="AU79" s="22" t="s">
        <v>55</v>
      </c>
      <c r="AV79" s="22" t="s">
        <v>55</v>
      </c>
      <c r="AW79" s="23">
        <v>45869</v>
      </c>
      <c r="AX79" s="23">
        <v>45900</v>
      </c>
      <c r="AY79" s="22" t="s">
        <v>790</v>
      </c>
    </row>
    <row r="80" spans="1:51" ht="58" x14ac:dyDescent="0.35">
      <c r="A80" s="22" t="s">
        <v>798</v>
      </c>
      <c r="B80" s="22" t="s">
        <v>347</v>
      </c>
      <c r="C80" s="22" t="s">
        <v>588</v>
      </c>
      <c r="D80" s="22" t="s">
        <v>465</v>
      </c>
      <c r="E80" s="22" t="s">
        <v>52</v>
      </c>
      <c r="F80" s="22" t="s">
        <v>799</v>
      </c>
      <c r="G80" s="22" t="s">
        <v>54</v>
      </c>
      <c r="H80" s="22" t="s">
        <v>1716</v>
      </c>
      <c r="I80" s="22" t="s">
        <v>149</v>
      </c>
      <c r="J80" s="22" t="s">
        <v>55</v>
      </c>
      <c r="K80" s="22" t="s">
        <v>1720</v>
      </c>
      <c r="L80" s="22" t="s">
        <v>103</v>
      </c>
      <c r="M80" s="22" t="s">
        <v>55</v>
      </c>
      <c r="N80" s="22" t="s">
        <v>55</v>
      </c>
      <c r="O80" s="22" t="s">
        <v>1724</v>
      </c>
      <c r="P80" s="22" t="s">
        <v>151</v>
      </c>
      <c r="Q80" s="22" t="s">
        <v>793</v>
      </c>
      <c r="R80" s="22" t="s">
        <v>63</v>
      </c>
      <c r="S80" s="22" t="s">
        <v>150</v>
      </c>
      <c r="T80" s="22" t="s">
        <v>794</v>
      </c>
      <c r="U80" s="22" t="s">
        <v>63</v>
      </c>
      <c r="V80" s="23">
        <v>46022</v>
      </c>
      <c r="W80" s="22" t="s">
        <v>55</v>
      </c>
      <c r="X80" s="22" t="s">
        <v>800</v>
      </c>
      <c r="Y80" s="22" t="s">
        <v>65</v>
      </c>
      <c r="Z80" s="22" t="s">
        <v>55</v>
      </c>
      <c r="AA80" s="22" t="s">
        <v>221</v>
      </c>
      <c r="AB80" s="22" t="s">
        <v>55</v>
      </c>
      <c r="AC80" s="22" t="s">
        <v>55</v>
      </c>
      <c r="AD80" s="22" t="s">
        <v>67</v>
      </c>
      <c r="AE80" s="22" t="s">
        <v>97</v>
      </c>
      <c r="AF80" s="22" t="s">
        <v>55</v>
      </c>
      <c r="AG80" s="22" t="s">
        <v>55</v>
      </c>
      <c r="AH80" s="22" t="s">
        <v>55</v>
      </c>
      <c r="AI80" s="22" t="s">
        <v>55</v>
      </c>
      <c r="AJ80" s="22" t="s">
        <v>55</v>
      </c>
      <c r="AK80" s="22" t="s">
        <v>55</v>
      </c>
      <c r="AL80" s="22" t="s">
        <v>55</v>
      </c>
      <c r="AM80" s="22" t="s">
        <v>55</v>
      </c>
      <c r="AN80" s="22" t="s">
        <v>55</v>
      </c>
      <c r="AO80" s="22" t="s">
        <v>55</v>
      </c>
      <c r="AP80" s="22" t="s">
        <v>55</v>
      </c>
      <c r="AQ80" s="22" t="s">
        <v>55</v>
      </c>
      <c r="AR80" s="22" t="s">
        <v>55</v>
      </c>
      <c r="AS80" s="22" t="s">
        <v>55</v>
      </c>
      <c r="AT80" s="22" t="s">
        <v>55</v>
      </c>
      <c r="AU80" s="22" t="s">
        <v>55</v>
      </c>
      <c r="AV80" s="22" t="s">
        <v>55</v>
      </c>
      <c r="AW80" s="23">
        <v>45869</v>
      </c>
      <c r="AX80" s="23">
        <v>45900</v>
      </c>
      <c r="AY80" s="22" t="s">
        <v>790</v>
      </c>
    </row>
    <row r="81" spans="1:51" ht="43.5" x14ac:dyDescent="0.35">
      <c r="A81" s="22" t="s">
        <v>801</v>
      </c>
      <c r="B81" s="22" t="s">
        <v>347</v>
      </c>
      <c r="C81" s="22" t="s">
        <v>116</v>
      </c>
      <c r="D81" s="22" t="s">
        <v>465</v>
      </c>
      <c r="E81" s="22" t="s">
        <v>52</v>
      </c>
      <c r="F81" s="22" t="s">
        <v>802</v>
      </c>
      <c r="G81" s="22" t="s">
        <v>84</v>
      </c>
      <c r="H81" s="22" t="s">
        <v>84</v>
      </c>
      <c r="I81" s="22" t="s">
        <v>803</v>
      </c>
      <c r="J81" s="22" t="s">
        <v>804</v>
      </c>
      <c r="K81" s="22" t="s">
        <v>868</v>
      </c>
      <c r="L81" s="22" t="s">
        <v>55</v>
      </c>
      <c r="M81" s="22" t="s">
        <v>805</v>
      </c>
      <c r="N81" s="22" t="s">
        <v>55</v>
      </c>
      <c r="O81" s="22" t="s">
        <v>806</v>
      </c>
      <c r="P81" s="22" t="s">
        <v>807</v>
      </c>
      <c r="Q81" s="22" t="s">
        <v>808</v>
      </c>
      <c r="R81" s="22" t="s">
        <v>55</v>
      </c>
      <c r="S81" s="22" t="s">
        <v>55</v>
      </c>
      <c r="T81" s="22" t="s">
        <v>809</v>
      </c>
      <c r="U81" s="22" t="s">
        <v>63</v>
      </c>
      <c r="V81" s="23">
        <v>45961</v>
      </c>
      <c r="W81" s="22" t="s">
        <v>55</v>
      </c>
      <c r="X81" s="22" t="s">
        <v>810</v>
      </c>
      <c r="Y81" s="22" t="s">
        <v>65</v>
      </c>
      <c r="Z81" s="22" t="s">
        <v>55</v>
      </c>
      <c r="AA81" s="22" t="s">
        <v>66</v>
      </c>
      <c r="AB81" s="22" t="s">
        <v>55</v>
      </c>
      <c r="AC81" s="22" t="s">
        <v>55</v>
      </c>
      <c r="AD81" s="22" t="s">
        <v>118</v>
      </c>
      <c r="AE81" s="22" t="s">
        <v>97</v>
      </c>
      <c r="AF81" s="22" t="s">
        <v>123</v>
      </c>
      <c r="AG81" s="22" t="s">
        <v>55</v>
      </c>
      <c r="AH81" s="22" t="s">
        <v>55</v>
      </c>
      <c r="AI81" s="22" t="s">
        <v>55</v>
      </c>
      <c r="AJ81" s="22" t="s">
        <v>55</v>
      </c>
      <c r="AK81" s="22" t="s">
        <v>55</v>
      </c>
      <c r="AL81" s="22" t="s">
        <v>55</v>
      </c>
      <c r="AM81" s="22" t="s">
        <v>55</v>
      </c>
      <c r="AN81" s="22" t="s">
        <v>55</v>
      </c>
      <c r="AO81" s="22" t="s">
        <v>55</v>
      </c>
      <c r="AP81" s="22" t="s">
        <v>55</v>
      </c>
      <c r="AQ81" s="22" t="s">
        <v>55</v>
      </c>
      <c r="AR81" s="22" t="s">
        <v>55</v>
      </c>
      <c r="AS81" s="22" t="s">
        <v>55</v>
      </c>
      <c r="AT81" s="22" t="s">
        <v>55</v>
      </c>
      <c r="AU81" s="22" t="s">
        <v>55</v>
      </c>
      <c r="AV81" s="22" t="s">
        <v>55</v>
      </c>
      <c r="AW81" s="22" t="s">
        <v>55</v>
      </c>
      <c r="AX81" s="22" t="s">
        <v>55</v>
      </c>
      <c r="AY81" s="22" t="s">
        <v>811</v>
      </c>
    </row>
    <row r="82" spans="1:51" ht="43.5" x14ac:dyDescent="0.35">
      <c r="A82" s="22" t="s">
        <v>823</v>
      </c>
      <c r="B82" s="22" t="s">
        <v>347</v>
      </c>
      <c r="C82" s="22" t="s">
        <v>116</v>
      </c>
      <c r="D82" s="22" t="s">
        <v>465</v>
      </c>
      <c r="E82" s="22" t="s">
        <v>52</v>
      </c>
      <c r="F82" s="22" t="s">
        <v>817</v>
      </c>
      <c r="G82" s="22" t="s">
        <v>606</v>
      </c>
      <c r="H82" s="22" t="s">
        <v>818</v>
      </c>
      <c r="I82" s="22" t="s">
        <v>526</v>
      </c>
      <c r="J82" s="22" t="s">
        <v>824</v>
      </c>
      <c r="K82" s="22" t="s">
        <v>868</v>
      </c>
      <c r="L82" s="22" t="s">
        <v>55</v>
      </c>
      <c r="M82" s="22" t="s">
        <v>825</v>
      </c>
      <c r="N82" s="22" t="s">
        <v>55</v>
      </c>
      <c r="O82" s="22" t="s">
        <v>820</v>
      </c>
      <c r="P82" s="22" t="s">
        <v>826</v>
      </c>
      <c r="Q82" s="22" t="s">
        <v>827</v>
      </c>
      <c r="R82" s="22" t="s">
        <v>55</v>
      </c>
      <c r="S82" s="22" t="s">
        <v>55</v>
      </c>
      <c r="T82" s="22" t="s">
        <v>828</v>
      </c>
      <c r="U82" s="22" t="s">
        <v>63</v>
      </c>
      <c r="V82" s="23">
        <v>45961</v>
      </c>
      <c r="W82" s="22" t="s">
        <v>55</v>
      </c>
      <c r="X82" s="22" t="s">
        <v>821</v>
      </c>
      <c r="Y82" s="22" t="s">
        <v>65</v>
      </c>
      <c r="Z82" s="22" t="s">
        <v>55</v>
      </c>
      <c r="AA82" s="22" t="s">
        <v>66</v>
      </c>
      <c r="AB82" s="22" t="s">
        <v>55</v>
      </c>
      <c r="AC82" s="22" t="s">
        <v>55</v>
      </c>
      <c r="AD82" s="22" t="s">
        <v>118</v>
      </c>
      <c r="AE82" s="22" t="s">
        <v>97</v>
      </c>
      <c r="AF82" s="22" t="s">
        <v>829</v>
      </c>
      <c r="AG82" s="22" t="s">
        <v>55</v>
      </c>
      <c r="AH82" s="22" t="s">
        <v>55</v>
      </c>
      <c r="AI82" s="22" t="s">
        <v>55</v>
      </c>
      <c r="AJ82" s="22" t="s">
        <v>55</v>
      </c>
      <c r="AK82" s="22" t="s">
        <v>55</v>
      </c>
      <c r="AL82" s="22" t="s">
        <v>55</v>
      </c>
      <c r="AM82" s="22" t="s">
        <v>55</v>
      </c>
      <c r="AN82" s="22" t="s">
        <v>55</v>
      </c>
      <c r="AO82" s="22" t="s">
        <v>55</v>
      </c>
      <c r="AP82" s="22" t="s">
        <v>55</v>
      </c>
      <c r="AQ82" s="22" t="s">
        <v>55</v>
      </c>
      <c r="AR82" s="22" t="s">
        <v>55</v>
      </c>
      <c r="AS82" s="22" t="s">
        <v>55</v>
      </c>
      <c r="AT82" s="22" t="s">
        <v>55</v>
      </c>
      <c r="AU82" s="22" t="s">
        <v>55</v>
      </c>
      <c r="AV82" s="22" t="s">
        <v>55</v>
      </c>
      <c r="AW82" s="22" t="s">
        <v>55</v>
      </c>
      <c r="AX82" s="22" t="s">
        <v>55</v>
      </c>
      <c r="AY82" s="22" t="s">
        <v>811</v>
      </c>
    </row>
    <row r="83" spans="1:51" ht="29" x14ac:dyDescent="0.35">
      <c r="A83" s="22" t="s">
        <v>830</v>
      </c>
      <c r="B83" s="22" t="s">
        <v>347</v>
      </c>
      <c r="C83" s="22" t="s">
        <v>116</v>
      </c>
      <c r="D83" s="22" t="s">
        <v>465</v>
      </c>
      <c r="E83" s="22" t="s">
        <v>52</v>
      </c>
      <c r="F83" s="22" t="s">
        <v>751</v>
      </c>
      <c r="G83" s="22" t="s">
        <v>126</v>
      </c>
      <c r="H83" s="22" t="s">
        <v>157</v>
      </c>
      <c r="I83" s="22" t="s">
        <v>119</v>
      </c>
      <c r="J83" s="22" t="s">
        <v>242</v>
      </c>
      <c r="K83" s="22" t="s">
        <v>552</v>
      </c>
      <c r="L83" s="22" t="s">
        <v>55</v>
      </c>
      <c r="M83" s="22" t="s">
        <v>243</v>
      </c>
      <c r="N83" s="22" t="s">
        <v>55</v>
      </c>
      <c r="O83" s="22" t="s">
        <v>831</v>
      </c>
      <c r="P83" s="22" t="s">
        <v>832</v>
      </c>
      <c r="Q83" s="22" t="s">
        <v>833</v>
      </c>
      <c r="R83" s="22" t="s">
        <v>55</v>
      </c>
      <c r="S83" s="22" t="s">
        <v>55</v>
      </c>
      <c r="T83" s="22" t="s">
        <v>834</v>
      </c>
      <c r="U83" s="22" t="s">
        <v>63</v>
      </c>
      <c r="V83" s="23">
        <v>46022</v>
      </c>
      <c r="W83" s="22" t="s">
        <v>55</v>
      </c>
      <c r="X83" s="22" t="s">
        <v>835</v>
      </c>
      <c r="Y83" s="22" t="s">
        <v>65</v>
      </c>
      <c r="Z83" s="22" t="s">
        <v>55</v>
      </c>
      <c r="AA83" s="22" t="s">
        <v>221</v>
      </c>
      <c r="AB83" s="22" t="s">
        <v>55</v>
      </c>
      <c r="AC83" s="22" t="s">
        <v>55</v>
      </c>
      <c r="AD83" s="22" t="s">
        <v>118</v>
      </c>
      <c r="AE83" s="22" t="s">
        <v>97</v>
      </c>
      <c r="AF83" s="22" t="s">
        <v>92</v>
      </c>
      <c r="AG83" s="22" t="s">
        <v>55</v>
      </c>
      <c r="AH83" s="22" t="s">
        <v>55</v>
      </c>
      <c r="AI83" s="22" t="s">
        <v>55</v>
      </c>
      <c r="AJ83" s="22" t="s">
        <v>55</v>
      </c>
      <c r="AK83" s="22" t="s">
        <v>55</v>
      </c>
      <c r="AL83" s="22" t="s">
        <v>55</v>
      </c>
      <c r="AM83" s="22" t="s">
        <v>55</v>
      </c>
      <c r="AN83" s="22" t="s">
        <v>55</v>
      </c>
      <c r="AO83" s="22" t="s">
        <v>55</v>
      </c>
      <c r="AP83" s="22" t="s">
        <v>55</v>
      </c>
      <c r="AQ83" s="22" t="s">
        <v>55</v>
      </c>
      <c r="AR83" s="22" t="s">
        <v>55</v>
      </c>
      <c r="AS83" s="22" t="s">
        <v>55</v>
      </c>
      <c r="AT83" s="22" t="s">
        <v>55</v>
      </c>
      <c r="AU83" s="22" t="s">
        <v>55</v>
      </c>
      <c r="AV83" s="22" t="s">
        <v>55</v>
      </c>
      <c r="AW83" s="22" t="s">
        <v>55</v>
      </c>
      <c r="AX83" s="22" t="s">
        <v>55</v>
      </c>
      <c r="AY83" s="22" t="s">
        <v>811</v>
      </c>
    </row>
    <row r="84" spans="1:51" ht="58" x14ac:dyDescent="0.35">
      <c r="A84" s="22" t="s">
        <v>836</v>
      </c>
      <c r="B84" s="22" t="s">
        <v>347</v>
      </c>
      <c r="C84" s="22" t="s">
        <v>116</v>
      </c>
      <c r="D84" s="22" t="s">
        <v>465</v>
      </c>
      <c r="E84" s="22" t="s">
        <v>52</v>
      </c>
      <c r="F84" s="22" t="s">
        <v>837</v>
      </c>
      <c r="G84" s="22" t="s">
        <v>126</v>
      </c>
      <c r="H84" s="22" t="s">
        <v>138</v>
      </c>
      <c r="I84" s="22" t="s">
        <v>119</v>
      </c>
      <c r="J84" s="22" t="s">
        <v>242</v>
      </c>
      <c r="K84" s="22" t="s">
        <v>552</v>
      </c>
      <c r="L84" s="22" t="s">
        <v>55</v>
      </c>
      <c r="M84" s="22" t="s">
        <v>243</v>
      </c>
      <c r="N84" s="22" t="s">
        <v>55</v>
      </c>
      <c r="O84" s="22" t="s">
        <v>838</v>
      </c>
      <c r="P84" s="22" t="s">
        <v>832</v>
      </c>
      <c r="Q84" s="22" t="s">
        <v>839</v>
      </c>
      <c r="R84" s="22" t="s">
        <v>55</v>
      </c>
      <c r="S84" s="22" t="s">
        <v>55</v>
      </c>
      <c r="T84" s="22" t="s">
        <v>840</v>
      </c>
      <c r="U84" s="22" t="s">
        <v>63</v>
      </c>
      <c r="V84" s="23">
        <v>45961</v>
      </c>
      <c r="W84" s="22" t="s">
        <v>55</v>
      </c>
      <c r="X84" s="22" t="s">
        <v>841</v>
      </c>
      <c r="Y84" s="22" t="s">
        <v>65</v>
      </c>
      <c r="Z84" s="23">
        <v>46022</v>
      </c>
      <c r="AA84" s="22" t="s">
        <v>66</v>
      </c>
      <c r="AB84" s="22" t="s">
        <v>1725</v>
      </c>
      <c r="AC84" s="22" t="s">
        <v>55</v>
      </c>
      <c r="AD84" s="22" t="s">
        <v>118</v>
      </c>
      <c r="AE84" s="22" t="s">
        <v>97</v>
      </c>
      <c r="AF84" s="22" t="s">
        <v>92</v>
      </c>
      <c r="AG84" s="22" t="s">
        <v>55</v>
      </c>
      <c r="AH84" s="22" t="s">
        <v>55</v>
      </c>
      <c r="AI84" s="22" t="s">
        <v>55</v>
      </c>
      <c r="AJ84" s="22" t="s">
        <v>55</v>
      </c>
      <c r="AK84" s="22" t="s">
        <v>55</v>
      </c>
      <c r="AL84" s="22" t="s">
        <v>55</v>
      </c>
      <c r="AM84" s="22" t="s">
        <v>55</v>
      </c>
      <c r="AN84" s="22" t="s">
        <v>55</v>
      </c>
      <c r="AO84" s="22" t="s">
        <v>55</v>
      </c>
      <c r="AP84" s="22" t="s">
        <v>55</v>
      </c>
      <c r="AQ84" s="22" t="s">
        <v>55</v>
      </c>
      <c r="AR84" s="22" t="s">
        <v>55</v>
      </c>
      <c r="AS84" s="22" t="s">
        <v>55</v>
      </c>
      <c r="AT84" s="22" t="s">
        <v>55</v>
      </c>
      <c r="AU84" s="22" t="s">
        <v>55</v>
      </c>
      <c r="AV84" s="22" t="s">
        <v>55</v>
      </c>
      <c r="AW84" s="22" t="s">
        <v>55</v>
      </c>
      <c r="AX84" s="22" t="s">
        <v>55</v>
      </c>
      <c r="AY84" s="22" t="s">
        <v>811</v>
      </c>
    </row>
    <row r="85" spans="1:51" ht="43.5" x14ac:dyDescent="0.35">
      <c r="A85" s="22" t="s">
        <v>846</v>
      </c>
      <c r="B85" s="22" t="s">
        <v>347</v>
      </c>
      <c r="C85" s="22" t="s">
        <v>116</v>
      </c>
      <c r="D85" s="22" t="s">
        <v>465</v>
      </c>
      <c r="E85" s="22" t="s">
        <v>52</v>
      </c>
      <c r="F85" s="22" t="s">
        <v>159</v>
      </c>
      <c r="G85" s="22" t="s">
        <v>94</v>
      </c>
      <c r="H85" s="22" t="s">
        <v>95</v>
      </c>
      <c r="I85" s="22" t="s">
        <v>803</v>
      </c>
      <c r="J85" s="22" t="s">
        <v>812</v>
      </c>
      <c r="K85" s="22" t="s">
        <v>868</v>
      </c>
      <c r="L85" s="22" t="s">
        <v>55</v>
      </c>
      <c r="M85" s="22" t="s">
        <v>476</v>
      </c>
      <c r="N85" s="22" t="s">
        <v>55</v>
      </c>
      <c r="O85" s="22" t="s">
        <v>847</v>
      </c>
      <c r="P85" s="22" t="s">
        <v>845</v>
      </c>
      <c r="Q85" s="22" t="s">
        <v>848</v>
      </c>
      <c r="R85" s="22" t="s">
        <v>55</v>
      </c>
      <c r="S85" s="22" t="s">
        <v>55</v>
      </c>
      <c r="T85" s="22" t="s">
        <v>849</v>
      </c>
      <c r="U85" s="22" t="s">
        <v>63</v>
      </c>
      <c r="V85" s="23">
        <v>45961</v>
      </c>
      <c r="W85" s="22" t="s">
        <v>55</v>
      </c>
      <c r="X85" s="22" t="s">
        <v>850</v>
      </c>
      <c r="Y85" s="22" t="s">
        <v>65</v>
      </c>
      <c r="Z85" s="22" t="s">
        <v>55</v>
      </c>
      <c r="AA85" s="22" t="s">
        <v>66</v>
      </c>
      <c r="AB85" s="22" t="s">
        <v>55</v>
      </c>
      <c r="AC85" s="22" t="s">
        <v>55</v>
      </c>
      <c r="AD85" s="22" t="s">
        <v>118</v>
      </c>
      <c r="AE85" s="22" t="s">
        <v>97</v>
      </c>
      <c r="AF85" s="22" t="s">
        <v>477</v>
      </c>
      <c r="AG85" s="22" t="s">
        <v>55</v>
      </c>
      <c r="AH85" s="22" t="s">
        <v>55</v>
      </c>
      <c r="AI85" s="22" t="s">
        <v>55</v>
      </c>
      <c r="AJ85" s="22" t="s">
        <v>55</v>
      </c>
      <c r="AK85" s="22" t="s">
        <v>55</v>
      </c>
      <c r="AL85" s="22" t="s">
        <v>55</v>
      </c>
      <c r="AM85" s="22" t="s">
        <v>55</v>
      </c>
      <c r="AN85" s="22" t="s">
        <v>55</v>
      </c>
      <c r="AO85" s="22" t="s">
        <v>55</v>
      </c>
      <c r="AP85" s="22" t="s">
        <v>55</v>
      </c>
      <c r="AQ85" s="22" t="s">
        <v>55</v>
      </c>
      <c r="AR85" s="22" t="s">
        <v>55</v>
      </c>
      <c r="AS85" s="22" t="s">
        <v>55</v>
      </c>
      <c r="AT85" s="22" t="s">
        <v>55</v>
      </c>
      <c r="AU85" s="22" t="s">
        <v>55</v>
      </c>
      <c r="AV85" s="22" t="s">
        <v>55</v>
      </c>
      <c r="AW85" s="22" t="s">
        <v>55</v>
      </c>
      <c r="AX85" s="22" t="s">
        <v>55</v>
      </c>
      <c r="AY85" s="22" t="s">
        <v>811</v>
      </c>
    </row>
    <row r="86" spans="1:51" ht="43.5" x14ac:dyDescent="0.35">
      <c r="A86" s="22" t="s">
        <v>851</v>
      </c>
      <c r="B86" s="22" t="s">
        <v>347</v>
      </c>
      <c r="C86" s="22" t="s">
        <v>116</v>
      </c>
      <c r="D86" s="22" t="s">
        <v>465</v>
      </c>
      <c r="E86" s="22" t="s">
        <v>52</v>
      </c>
      <c r="F86" s="22" t="s">
        <v>159</v>
      </c>
      <c r="G86" s="22" t="s">
        <v>94</v>
      </c>
      <c r="H86" s="22" t="s">
        <v>95</v>
      </c>
      <c r="I86" s="22" t="s">
        <v>121</v>
      </c>
      <c r="J86" s="22" t="s">
        <v>223</v>
      </c>
      <c r="K86" s="22" t="s">
        <v>868</v>
      </c>
      <c r="L86" s="22" t="s">
        <v>55</v>
      </c>
      <c r="M86" s="22" t="s">
        <v>852</v>
      </c>
      <c r="N86" s="22" t="s">
        <v>55</v>
      </c>
      <c r="O86" s="22" t="s">
        <v>847</v>
      </c>
      <c r="P86" s="22" t="s">
        <v>853</v>
      </c>
      <c r="Q86" s="22" t="s">
        <v>854</v>
      </c>
      <c r="R86" s="22" t="s">
        <v>55</v>
      </c>
      <c r="S86" s="22" t="s">
        <v>55</v>
      </c>
      <c r="T86" s="22" t="s">
        <v>855</v>
      </c>
      <c r="U86" s="22" t="s">
        <v>63</v>
      </c>
      <c r="V86" s="23">
        <v>45961</v>
      </c>
      <c r="W86" s="22" t="s">
        <v>55</v>
      </c>
      <c r="X86" s="22" t="s">
        <v>856</v>
      </c>
      <c r="Y86" s="22" t="s">
        <v>65</v>
      </c>
      <c r="Z86" s="22" t="s">
        <v>55</v>
      </c>
      <c r="AA86" s="22" t="s">
        <v>66</v>
      </c>
      <c r="AB86" s="22" t="s">
        <v>55</v>
      </c>
      <c r="AC86" s="22" t="s">
        <v>55</v>
      </c>
      <c r="AD86" s="22" t="s">
        <v>118</v>
      </c>
      <c r="AE86" s="22" t="s">
        <v>97</v>
      </c>
      <c r="AF86" s="22" t="s">
        <v>123</v>
      </c>
      <c r="AG86" s="22" t="s">
        <v>55</v>
      </c>
      <c r="AH86" s="22" t="s">
        <v>55</v>
      </c>
      <c r="AI86" s="22" t="s">
        <v>55</v>
      </c>
      <c r="AJ86" s="22" t="s">
        <v>55</v>
      </c>
      <c r="AK86" s="22" t="s">
        <v>55</v>
      </c>
      <c r="AL86" s="22" t="s">
        <v>55</v>
      </c>
      <c r="AM86" s="22" t="s">
        <v>55</v>
      </c>
      <c r="AN86" s="22" t="s">
        <v>55</v>
      </c>
      <c r="AO86" s="22" t="s">
        <v>55</v>
      </c>
      <c r="AP86" s="22" t="s">
        <v>55</v>
      </c>
      <c r="AQ86" s="22" t="s">
        <v>55</v>
      </c>
      <c r="AR86" s="22" t="s">
        <v>55</v>
      </c>
      <c r="AS86" s="22" t="s">
        <v>55</v>
      </c>
      <c r="AT86" s="22" t="s">
        <v>55</v>
      </c>
      <c r="AU86" s="22" t="s">
        <v>55</v>
      </c>
      <c r="AV86" s="22" t="s">
        <v>55</v>
      </c>
      <c r="AW86" s="22" t="s">
        <v>55</v>
      </c>
      <c r="AX86" s="22" t="s">
        <v>55</v>
      </c>
      <c r="AY86" s="22" t="s">
        <v>811</v>
      </c>
    </row>
    <row r="87" spans="1:51" ht="188.5" x14ac:dyDescent="0.35">
      <c r="A87" s="22" t="s">
        <v>869</v>
      </c>
      <c r="B87" s="22" t="s">
        <v>347</v>
      </c>
      <c r="C87" s="22" t="s">
        <v>51</v>
      </c>
      <c r="D87" s="22" t="s">
        <v>465</v>
      </c>
      <c r="E87" s="22" t="s">
        <v>108</v>
      </c>
      <c r="F87" s="22" t="s">
        <v>1726</v>
      </c>
      <c r="G87" s="22" t="s">
        <v>126</v>
      </c>
      <c r="H87" s="22" t="s">
        <v>138</v>
      </c>
      <c r="I87" s="22" t="s">
        <v>160</v>
      </c>
      <c r="J87" s="22" t="s">
        <v>870</v>
      </c>
      <c r="K87" s="22" t="s">
        <v>558</v>
      </c>
      <c r="L87" s="22" t="s">
        <v>103</v>
      </c>
      <c r="M87" s="22" t="s">
        <v>55</v>
      </c>
      <c r="N87" s="22" t="s">
        <v>55</v>
      </c>
      <c r="O87" s="22" t="s">
        <v>871</v>
      </c>
      <c r="P87" s="22" t="s">
        <v>872</v>
      </c>
      <c r="Q87" s="22" t="s">
        <v>873</v>
      </c>
      <c r="R87" s="22" t="s">
        <v>63</v>
      </c>
      <c r="S87" s="22" t="s">
        <v>874</v>
      </c>
      <c r="T87" s="22" t="s">
        <v>875</v>
      </c>
      <c r="U87" s="22" t="s">
        <v>132</v>
      </c>
      <c r="V87" s="23">
        <v>45991</v>
      </c>
      <c r="W87" s="22" t="s">
        <v>55</v>
      </c>
      <c r="X87" s="22" t="s">
        <v>876</v>
      </c>
      <c r="Y87" s="22" t="s">
        <v>65</v>
      </c>
      <c r="Z87" s="22" t="s">
        <v>55</v>
      </c>
      <c r="AA87" s="22" t="s">
        <v>152</v>
      </c>
      <c r="AB87" s="22" t="s">
        <v>55</v>
      </c>
      <c r="AC87" s="22" t="s">
        <v>55</v>
      </c>
      <c r="AD87" s="22" t="s">
        <v>67</v>
      </c>
      <c r="AE87" s="22" t="s">
        <v>257</v>
      </c>
      <c r="AF87" s="22" t="s">
        <v>55</v>
      </c>
      <c r="AG87" s="22" t="s">
        <v>55</v>
      </c>
      <c r="AH87" s="22" t="s">
        <v>55</v>
      </c>
      <c r="AI87" s="22" t="s">
        <v>55</v>
      </c>
      <c r="AJ87" s="22" t="s">
        <v>55</v>
      </c>
      <c r="AK87" s="22" t="s">
        <v>55</v>
      </c>
      <c r="AL87" s="22" t="s">
        <v>55</v>
      </c>
      <c r="AM87" s="22" t="s">
        <v>55</v>
      </c>
      <c r="AN87" s="22" t="s">
        <v>55</v>
      </c>
      <c r="AO87" s="22" t="s">
        <v>55</v>
      </c>
      <c r="AP87" s="22" t="s">
        <v>55</v>
      </c>
      <c r="AQ87" s="22" t="s">
        <v>55</v>
      </c>
      <c r="AR87" s="22" t="s">
        <v>55</v>
      </c>
      <c r="AS87" s="22" t="s">
        <v>55</v>
      </c>
      <c r="AT87" s="22" t="s">
        <v>55</v>
      </c>
      <c r="AU87" s="22" t="s">
        <v>55</v>
      </c>
      <c r="AV87" s="22" t="s">
        <v>55</v>
      </c>
      <c r="AW87" s="23">
        <v>45789</v>
      </c>
      <c r="AX87" s="23">
        <v>45903</v>
      </c>
      <c r="AY87" s="22" t="s">
        <v>877</v>
      </c>
    </row>
    <row r="88" spans="1:51" ht="130.5" x14ac:dyDescent="0.35">
      <c r="A88" s="22" t="s">
        <v>878</v>
      </c>
      <c r="B88" s="22" t="s">
        <v>347</v>
      </c>
      <c r="C88" s="22" t="s">
        <v>51</v>
      </c>
      <c r="D88" s="22" t="s">
        <v>465</v>
      </c>
      <c r="E88" s="22" t="s">
        <v>108</v>
      </c>
      <c r="F88" s="22" t="s">
        <v>1726</v>
      </c>
      <c r="G88" s="22" t="s">
        <v>126</v>
      </c>
      <c r="H88" s="22" t="s">
        <v>138</v>
      </c>
      <c r="I88" s="22" t="s">
        <v>160</v>
      </c>
      <c r="J88" s="22" t="s">
        <v>870</v>
      </c>
      <c r="K88" s="22" t="s">
        <v>558</v>
      </c>
      <c r="L88" s="22" t="s">
        <v>103</v>
      </c>
      <c r="M88" s="22" t="s">
        <v>55</v>
      </c>
      <c r="N88" s="22" t="s">
        <v>118</v>
      </c>
      <c r="O88" s="22" t="s">
        <v>871</v>
      </c>
      <c r="P88" s="22" t="s">
        <v>767</v>
      </c>
      <c r="Q88" s="22" t="s">
        <v>879</v>
      </c>
      <c r="R88" s="22" t="s">
        <v>63</v>
      </c>
      <c r="S88" s="22" t="s">
        <v>880</v>
      </c>
      <c r="T88" s="22" t="s">
        <v>881</v>
      </c>
      <c r="U88" s="22" t="s">
        <v>132</v>
      </c>
      <c r="V88" s="23">
        <v>45991</v>
      </c>
      <c r="W88" s="22" t="s">
        <v>55</v>
      </c>
      <c r="X88" s="22" t="s">
        <v>882</v>
      </c>
      <c r="Y88" s="22" t="s">
        <v>65</v>
      </c>
      <c r="Z88" s="22" t="s">
        <v>55</v>
      </c>
      <c r="AA88" s="22" t="s">
        <v>152</v>
      </c>
      <c r="AB88" s="22" t="s">
        <v>55</v>
      </c>
      <c r="AC88" s="22" t="s">
        <v>55</v>
      </c>
      <c r="AD88" s="22" t="s">
        <v>67</v>
      </c>
      <c r="AE88" s="22" t="s">
        <v>257</v>
      </c>
      <c r="AF88" s="22" t="s">
        <v>55</v>
      </c>
      <c r="AG88" s="22" t="s">
        <v>55</v>
      </c>
      <c r="AH88" s="22" t="s">
        <v>55</v>
      </c>
      <c r="AI88" s="22" t="s">
        <v>55</v>
      </c>
      <c r="AJ88" s="22" t="s">
        <v>55</v>
      </c>
      <c r="AK88" s="22" t="s">
        <v>55</v>
      </c>
      <c r="AL88" s="22" t="s">
        <v>55</v>
      </c>
      <c r="AM88" s="22" t="s">
        <v>55</v>
      </c>
      <c r="AN88" s="22" t="s">
        <v>55</v>
      </c>
      <c r="AO88" s="22" t="s">
        <v>55</v>
      </c>
      <c r="AP88" s="22" t="s">
        <v>55</v>
      </c>
      <c r="AQ88" s="22" t="s">
        <v>55</v>
      </c>
      <c r="AR88" s="22" t="s">
        <v>55</v>
      </c>
      <c r="AS88" s="22" t="s">
        <v>55</v>
      </c>
      <c r="AT88" s="22" t="s">
        <v>55</v>
      </c>
      <c r="AU88" s="22" t="s">
        <v>55</v>
      </c>
      <c r="AV88" s="22" t="s">
        <v>55</v>
      </c>
      <c r="AW88" s="23">
        <v>45789</v>
      </c>
      <c r="AX88" s="23">
        <v>45903</v>
      </c>
      <c r="AY88" s="22" t="s">
        <v>877</v>
      </c>
    </row>
    <row r="89" spans="1:51" ht="130.5" x14ac:dyDescent="0.35">
      <c r="A89" s="22" t="s">
        <v>883</v>
      </c>
      <c r="B89" s="22" t="s">
        <v>347</v>
      </c>
      <c r="C89" s="22" t="s">
        <v>51</v>
      </c>
      <c r="D89" s="22" t="s">
        <v>465</v>
      </c>
      <c r="E89" s="22" t="s">
        <v>108</v>
      </c>
      <c r="F89" s="22" t="s">
        <v>1726</v>
      </c>
      <c r="G89" s="22" t="s">
        <v>126</v>
      </c>
      <c r="H89" s="22" t="s">
        <v>138</v>
      </c>
      <c r="I89" s="22" t="s">
        <v>121</v>
      </c>
      <c r="J89" s="22" t="s">
        <v>752</v>
      </c>
      <c r="K89" s="22" t="s">
        <v>867</v>
      </c>
      <c r="L89" s="22" t="s">
        <v>57</v>
      </c>
      <c r="M89" s="22" t="s">
        <v>55</v>
      </c>
      <c r="N89" s="22" t="s">
        <v>55</v>
      </c>
      <c r="O89" s="22" t="s">
        <v>871</v>
      </c>
      <c r="P89" s="22" t="s">
        <v>884</v>
      </c>
      <c r="Q89" s="22" t="s">
        <v>885</v>
      </c>
      <c r="R89" s="22" t="s">
        <v>63</v>
      </c>
      <c r="S89" s="22" t="s">
        <v>886</v>
      </c>
      <c r="T89" s="22" t="s">
        <v>887</v>
      </c>
      <c r="U89" s="22" t="s">
        <v>63</v>
      </c>
      <c r="V89" s="23">
        <v>45991</v>
      </c>
      <c r="W89" s="22" t="s">
        <v>55</v>
      </c>
      <c r="X89" s="22" t="s">
        <v>882</v>
      </c>
      <c r="Y89" s="22" t="s">
        <v>65</v>
      </c>
      <c r="Z89" s="22" t="s">
        <v>55</v>
      </c>
      <c r="AA89" s="22" t="s">
        <v>152</v>
      </c>
      <c r="AB89" s="22" t="s">
        <v>55</v>
      </c>
      <c r="AC89" s="22" t="s">
        <v>55</v>
      </c>
      <c r="AD89" s="22" t="s">
        <v>67</v>
      </c>
      <c r="AE89" s="22" t="s">
        <v>257</v>
      </c>
      <c r="AF89" s="22" t="s">
        <v>55</v>
      </c>
      <c r="AG89" s="22" t="s">
        <v>55</v>
      </c>
      <c r="AH89" s="22" t="s">
        <v>55</v>
      </c>
      <c r="AI89" s="22" t="s">
        <v>55</v>
      </c>
      <c r="AJ89" s="22" t="s">
        <v>55</v>
      </c>
      <c r="AK89" s="22" t="s">
        <v>55</v>
      </c>
      <c r="AL89" s="22" t="s">
        <v>55</v>
      </c>
      <c r="AM89" s="22" t="s">
        <v>55</v>
      </c>
      <c r="AN89" s="22" t="s">
        <v>55</v>
      </c>
      <c r="AO89" s="22" t="s">
        <v>55</v>
      </c>
      <c r="AP89" s="22" t="s">
        <v>55</v>
      </c>
      <c r="AQ89" s="22" t="s">
        <v>55</v>
      </c>
      <c r="AR89" s="22" t="s">
        <v>55</v>
      </c>
      <c r="AS89" s="22" t="s">
        <v>55</v>
      </c>
      <c r="AT89" s="22" t="s">
        <v>55</v>
      </c>
      <c r="AU89" s="22" t="s">
        <v>55</v>
      </c>
      <c r="AV89" s="22" t="s">
        <v>55</v>
      </c>
      <c r="AW89" s="23">
        <v>45789</v>
      </c>
      <c r="AX89" s="23">
        <v>45903</v>
      </c>
      <c r="AY89" s="22" t="s">
        <v>877</v>
      </c>
    </row>
    <row r="90" spans="1:51" ht="174" x14ac:dyDescent="0.35">
      <c r="A90" s="22" t="s">
        <v>888</v>
      </c>
      <c r="B90" s="22" t="s">
        <v>347</v>
      </c>
      <c r="C90" s="22" t="s">
        <v>51</v>
      </c>
      <c r="D90" s="22" t="s">
        <v>465</v>
      </c>
      <c r="E90" s="22" t="s">
        <v>108</v>
      </c>
      <c r="F90" s="22" t="s">
        <v>1726</v>
      </c>
      <c r="G90" s="22" t="s">
        <v>126</v>
      </c>
      <c r="H90" s="22" t="s">
        <v>138</v>
      </c>
      <c r="I90" s="22" t="s">
        <v>101</v>
      </c>
      <c r="J90" s="22" t="s">
        <v>889</v>
      </c>
      <c r="K90" s="22" t="s">
        <v>561</v>
      </c>
      <c r="L90" s="22" t="s">
        <v>57</v>
      </c>
      <c r="M90" s="22" t="s">
        <v>55</v>
      </c>
      <c r="N90" s="22" t="s">
        <v>55</v>
      </c>
      <c r="O90" s="22" t="s">
        <v>871</v>
      </c>
      <c r="P90" s="22" t="s">
        <v>890</v>
      </c>
      <c r="Q90" s="22" t="s">
        <v>891</v>
      </c>
      <c r="R90" s="22" t="s">
        <v>63</v>
      </c>
      <c r="S90" s="22" t="s">
        <v>892</v>
      </c>
      <c r="T90" s="22" t="s">
        <v>893</v>
      </c>
      <c r="U90" s="22" t="s">
        <v>132</v>
      </c>
      <c r="V90" s="23">
        <v>45991</v>
      </c>
      <c r="W90" s="22" t="s">
        <v>55</v>
      </c>
      <c r="X90" s="22" t="s">
        <v>894</v>
      </c>
      <c r="Y90" s="22" t="s">
        <v>65</v>
      </c>
      <c r="Z90" s="22" t="s">
        <v>55</v>
      </c>
      <c r="AA90" s="22" t="s">
        <v>152</v>
      </c>
      <c r="AB90" s="22" t="s">
        <v>55</v>
      </c>
      <c r="AC90" s="22" t="s">
        <v>55</v>
      </c>
      <c r="AD90" s="22" t="s">
        <v>67</v>
      </c>
      <c r="AE90" s="22" t="s">
        <v>257</v>
      </c>
      <c r="AF90" s="22" t="s">
        <v>55</v>
      </c>
      <c r="AG90" s="22" t="s">
        <v>55</v>
      </c>
      <c r="AH90" s="22" t="s">
        <v>55</v>
      </c>
      <c r="AI90" s="22" t="s">
        <v>55</v>
      </c>
      <c r="AJ90" s="22" t="s">
        <v>55</v>
      </c>
      <c r="AK90" s="22" t="s">
        <v>55</v>
      </c>
      <c r="AL90" s="22" t="s">
        <v>55</v>
      </c>
      <c r="AM90" s="22" t="s">
        <v>55</v>
      </c>
      <c r="AN90" s="22" t="s">
        <v>55</v>
      </c>
      <c r="AO90" s="22" t="s">
        <v>55</v>
      </c>
      <c r="AP90" s="22" t="s">
        <v>55</v>
      </c>
      <c r="AQ90" s="22" t="s">
        <v>55</v>
      </c>
      <c r="AR90" s="22" t="s">
        <v>55</v>
      </c>
      <c r="AS90" s="22" t="s">
        <v>55</v>
      </c>
      <c r="AT90" s="22" t="s">
        <v>55</v>
      </c>
      <c r="AU90" s="22" t="s">
        <v>55</v>
      </c>
      <c r="AV90" s="22" t="s">
        <v>55</v>
      </c>
      <c r="AW90" s="23">
        <v>45789</v>
      </c>
      <c r="AX90" s="23">
        <v>45903</v>
      </c>
      <c r="AY90" s="22" t="s">
        <v>877</v>
      </c>
    </row>
    <row r="91" spans="1:51" ht="377" x14ac:dyDescent="0.35">
      <c r="A91" s="22" t="s">
        <v>895</v>
      </c>
      <c r="B91" s="22" t="s">
        <v>347</v>
      </c>
      <c r="C91" s="22" t="s">
        <v>51</v>
      </c>
      <c r="D91" s="22" t="s">
        <v>465</v>
      </c>
      <c r="E91" s="22" t="s">
        <v>108</v>
      </c>
      <c r="F91" s="22" t="s">
        <v>896</v>
      </c>
      <c r="G91" s="22" t="s">
        <v>54</v>
      </c>
      <c r="H91" s="22" t="s">
        <v>1727</v>
      </c>
      <c r="I91" s="22" t="s">
        <v>86</v>
      </c>
      <c r="J91" s="22" t="s">
        <v>897</v>
      </c>
      <c r="K91" s="22" t="s">
        <v>594</v>
      </c>
      <c r="L91" s="22" t="s">
        <v>57</v>
      </c>
      <c r="M91" s="22" t="s">
        <v>55</v>
      </c>
      <c r="N91" s="22" t="s">
        <v>55</v>
      </c>
      <c r="O91" s="22" t="s">
        <v>898</v>
      </c>
      <c r="P91" s="22" t="s">
        <v>897</v>
      </c>
      <c r="Q91" s="22" t="s">
        <v>899</v>
      </c>
      <c r="R91" s="22" t="s">
        <v>63</v>
      </c>
      <c r="S91" s="22" t="s">
        <v>900</v>
      </c>
      <c r="T91" s="22" t="s">
        <v>901</v>
      </c>
      <c r="U91" s="22" t="s">
        <v>63</v>
      </c>
      <c r="V91" s="23">
        <v>45991</v>
      </c>
      <c r="W91" s="22" t="s">
        <v>55</v>
      </c>
      <c r="X91" s="22" t="s">
        <v>902</v>
      </c>
      <c r="Y91" s="22" t="s">
        <v>65</v>
      </c>
      <c r="Z91" s="22" t="s">
        <v>55</v>
      </c>
      <c r="AA91" s="22" t="s">
        <v>152</v>
      </c>
      <c r="AB91" s="22" t="s">
        <v>55</v>
      </c>
      <c r="AC91" s="22" t="s">
        <v>55</v>
      </c>
      <c r="AD91" s="22" t="s">
        <v>67</v>
      </c>
      <c r="AE91" s="22" t="s">
        <v>257</v>
      </c>
      <c r="AF91" s="22" t="s">
        <v>55</v>
      </c>
      <c r="AG91" s="22" t="s">
        <v>55</v>
      </c>
      <c r="AH91" s="22" t="s">
        <v>55</v>
      </c>
      <c r="AI91" s="22" t="s">
        <v>55</v>
      </c>
      <c r="AJ91" s="22" t="s">
        <v>55</v>
      </c>
      <c r="AK91" s="22" t="s">
        <v>55</v>
      </c>
      <c r="AL91" s="22" t="s">
        <v>55</v>
      </c>
      <c r="AM91" s="22" t="s">
        <v>55</v>
      </c>
      <c r="AN91" s="22" t="s">
        <v>55</v>
      </c>
      <c r="AO91" s="22" t="s">
        <v>55</v>
      </c>
      <c r="AP91" s="22" t="s">
        <v>55</v>
      </c>
      <c r="AQ91" s="22" t="s">
        <v>55</v>
      </c>
      <c r="AR91" s="22" t="s">
        <v>55</v>
      </c>
      <c r="AS91" s="22" t="s">
        <v>55</v>
      </c>
      <c r="AT91" s="22" t="s">
        <v>55</v>
      </c>
      <c r="AU91" s="22" t="s">
        <v>55</v>
      </c>
      <c r="AV91" s="22" t="s">
        <v>55</v>
      </c>
      <c r="AW91" s="23">
        <v>45835</v>
      </c>
      <c r="AX91" s="23">
        <v>45912</v>
      </c>
      <c r="AY91" s="22" t="s">
        <v>877</v>
      </c>
    </row>
    <row r="92" spans="1:51" ht="87" x14ac:dyDescent="0.35">
      <c r="A92" s="22" t="s">
        <v>903</v>
      </c>
      <c r="B92" s="22" t="s">
        <v>347</v>
      </c>
      <c r="C92" s="22" t="s">
        <v>51</v>
      </c>
      <c r="D92" s="22" t="s">
        <v>465</v>
      </c>
      <c r="E92" s="22" t="s">
        <v>108</v>
      </c>
      <c r="F92" s="22" t="s">
        <v>896</v>
      </c>
      <c r="G92" s="22" t="s">
        <v>54</v>
      </c>
      <c r="H92" s="22" t="s">
        <v>1727</v>
      </c>
      <c r="I92" s="22" t="s">
        <v>160</v>
      </c>
      <c r="J92" s="22" t="s">
        <v>904</v>
      </c>
      <c r="K92" s="22" t="s">
        <v>559</v>
      </c>
      <c r="L92" s="22" t="s">
        <v>57</v>
      </c>
      <c r="M92" s="22" t="s">
        <v>55</v>
      </c>
      <c r="N92" s="22" t="s">
        <v>905</v>
      </c>
      <c r="O92" s="22" t="s">
        <v>898</v>
      </c>
      <c r="P92" s="22" t="s">
        <v>904</v>
      </c>
      <c r="Q92" s="22" t="s">
        <v>906</v>
      </c>
      <c r="R92" s="22" t="s">
        <v>63</v>
      </c>
      <c r="S92" s="22" t="s">
        <v>907</v>
      </c>
      <c r="T92" s="22" t="s">
        <v>908</v>
      </c>
      <c r="U92" s="22" t="s">
        <v>63</v>
      </c>
      <c r="V92" s="23">
        <v>45961</v>
      </c>
      <c r="W92" s="22" t="s">
        <v>55</v>
      </c>
      <c r="X92" s="22" t="s">
        <v>909</v>
      </c>
      <c r="Y92" s="22" t="s">
        <v>65</v>
      </c>
      <c r="Z92" s="22" t="s">
        <v>55</v>
      </c>
      <c r="AA92" s="22" t="s">
        <v>66</v>
      </c>
      <c r="AB92" s="22" t="s">
        <v>55</v>
      </c>
      <c r="AC92" s="22" t="s">
        <v>55</v>
      </c>
      <c r="AD92" s="22" t="s">
        <v>67</v>
      </c>
      <c r="AE92" s="22" t="s">
        <v>257</v>
      </c>
      <c r="AF92" s="22" t="s">
        <v>55</v>
      </c>
      <c r="AG92" s="22" t="s">
        <v>55</v>
      </c>
      <c r="AH92" s="22" t="s">
        <v>55</v>
      </c>
      <c r="AI92" s="22" t="s">
        <v>55</v>
      </c>
      <c r="AJ92" s="22" t="s">
        <v>55</v>
      </c>
      <c r="AK92" s="22" t="s">
        <v>55</v>
      </c>
      <c r="AL92" s="22" t="s">
        <v>55</v>
      </c>
      <c r="AM92" s="22" t="s">
        <v>55</v>
      </c>
      <c r="AN92" s="22" t="s">
        <v>55</v>
      </c>
      <c r="AO92" s="22" t="s">
        <v>55</v>
      </c>
      <c r="AP92" s="22" t="s">
        <v>55</v>
      </c>
      <c r="AQ92" s="22" t="s">
        <v>55</v>
      </c>
      <c r="AR92" s="22" t="s">
        <v>55</v>
      </c>
      <c r="AS92" s="22" t="s">
        <v>55</v>
      </c>
      <c r="AT92" s="22" t="s">
        <v>55</v>
      </c>
      <c r="AU92" s="22" t="s">
        <v>55</v>
      </c>
      <c r="AV92" s="22" t="s">
        <v>55</v>
      </c>
      <c r="AW92" s="23">
        <v>45835</v>
      </c>
      <c r="AX92" s="23">
        <v>45912</v>
      </c>
      <c r="AY92" s="22" t="s">
        <v>877</v>
      </c>
    </row>
    <row r="93" spans="1:51" ht="217.5" x14ac:dyDescent="0.35">
      <c r="A93" s="22" t="s">
        <v>910</v>
      </c>
      <c r="B93" s="22" t="s">
        <v>347</v>
      </c>
      <c r="C93" s="22" t="s">
        <v>51</v>
      </c>
      <c r="D93" s="22" t="s">
        <v>465</v>
      </c>
      <c r="E93" s="22" t="s">
        <v>52</v>
      </c>
      <c r="F93" s="22" t="s">
        <v>896</v>
      </c>
      <c r="G93" s="22" t="s">
        <v>54</v>
      </c>
      <c r="H93" s="22" t="s">
        <v>1727</v>
      </c>
      <c r="I93" s="22" t="s">
        <v>101</v>
      </c>
      <c r="J93" s="22" t="s">
        <v>755</v>
      </c>
      <c r="K93" s="22" t="s">
        <v>561</v>
      </c>
      <c r="L93" s="22" t="s">
        <v>57</v>
      </c>
      <c r="M93" s="22" t="s">
        <v>323</v>
      </c>
      <c r="N93" s="22" t="s">
        <v>55</v>
      </c>
      <c r="O93" s="22" t="s">
        <v>898</v>
      </c>
      <c r="P93" s="22" t="s">
        <v>911</v>
      </c>
      <c r="Q93" s="22" t="s">
        <v>912</v>
      </c>
      <c r="R93" s="22" t="s">
        <v>63</v>
      </c>
      <c r="S93" s="22" t="s">
        <v>913</v>
      </c>
      <c r="T93" s="22" t="s">
        <v>914</v>
      </c>
      <c r="U93" s="22" t="s">
        <v>63</v>
      </c>
      <c r="V93" s="23">
        <v>45991</v>
      </c>
      <c r="W93" s="22" t="s">
        <v>55</v>
      </c>
      <c r="X93" s="22" t="s">
        <v>909</v>
      </c>
      <c r="Y93" s="22" t="s">
        <v>65</v>
      </c>
      <c r="Z93" s="22" t="s">
        <v>55</v>
      </c>
      <c r="AA93" s="22" t="s">
        <v>152</v>
      </c>
      <c r="AB93" s="22" t="s">
        <v>55</v>
      </c>
      <c r="AC93" s="22" t="s">
        <v>55</v>
      </c>
      <c r="AD93" s="22" t="s">
        <v>67</v>
      </c>
      <c r="AE93" s="22" t="s">
        <v>257</v>
      </c>
      <c r="AF93" s="22" t="s">
        <v>98</v>
      </c>
      <c r="AG93" s="22" t="s">
        <v>55</v>
      </c>
      <c r="AH93" s="22" t="s">
        <v>55</v>
      </c>
      <c r="AI93" s="22" t="s">
        <v>55</v>
      </c>
      <c r="AJ93" s="22" t="s">
        <v>55</v>
      </c>
      <c r="AK93" s="22" t="s">
        <v>55</v>
      </c>
      <c r="AL93" s="22" t="s">
        <v>55</v>
      </c>
      <c r="AM93" s="22" t="s">
        <v>55</v>
      </c>
      <c r="AN93" s="22" t="s">
        <v>55</v>
      </c>
      <c r="AO93" s="22" t="s">
        <v>55</v>
      </c>
      <c r="AP93" s="22" t="s">
        <v>55</v>
      </c>
      <c r="AQ93" s="22" t="s">
        <v>55</v>
      </c>
      <c r="AR93" s="22" t="s">
        <v>55</v>
      </c>
      <c r="AS93" s="22" t="s">
        <v>55</v>
      </c>
      <c r="AT93" s="22" t="s">
        <v>55</v>
      </c>
      <c r="AU93" s="22" t="s">
        <v>55</v>
      </c>
      <c r="AV93" s="22" t="s">
        <v>55</v>
      </c>
      <c r="AW93" s="23">
        <v>45835</v>
      </c>
      <c r="AX93" s="23">
        <v>45912</v>
      </c>
      <c r="AY93" s="22" t="s">
        <v>877</v>
      </c>
    </row>
    <row r="94" spans="1:51" ht="159.5" x14ac:dyDescent="0.35">
      <c r="A94" s="22" t="s">
        <v>915</v>
      </c>
      <c r="B94" s="22" t="s">
        <v>347</v>
      </c>
      <c r="C94" s="22" t="s">
        <v>51</v>
      </c>
      <c r="D94" s="22" t="s">
        <v>465</v>
      </c>
      <c r="E94" s="22" t="s">
        <v>52</v>
      </c>
      <c r="F94" s="22" t="s">
        <v>896</v>
      </c>
      <c r="G94" s="22" t="s">
        <v>54</v>
      </c>
      <c r="H94" s="22" t="s">
        <v>1727</v>
      </c>
      <c r="I94" s="22" t="s">
        <v>119</v>
      </c>
      <c r="J94" s="22" t="s">
        <v>916</v>
      </c>
      <c r="K94" s="22" t="s">
        <v>544</v>
      </c>
      <c r="L94" s="22" t="s">
        <v>57</v>
      </c>
      <c r="M94" s="22" t="s">
        <v>122</v>
      </c>
      <c r="N94" s="22" t="s">
        <v>122</v>
      </c>
      <c r="O94" s="22" t="s">
        <v>898</v>
      </c>
      <c r="P94" s="22" t="s">
        <v>917</v>
      </c>
      <c r="Q94" s="22" t="s">
        <v>918</v>
      </c>
      <c r="R94" s="22" t="s">
        <v>63</v>
      </c>
      <c r="S94" s="22" t="s">
        <v>919</v>
      </c>
      <c r="T94" s="22" t="s">
        <v>920</v>
      </c>
      <c r="U94" s="22" t="s">
        <v>63</v>
      </c>
      <c r="V94" s="23">
        <v>45991</v>
      </c>
      <c r="W94" s="22" t="s">
        <v>55</v>
      </c>
      <c r="X94" s="22" t="s">
        <v>921</v>
      </c>
      <c r="Y94" s="22" t="s">
        <v>65</v>
      </c>
      <c r="Z94" s="22" t="s">
        <v>55</v>
      </c>
      <c r="AA94" s="22" t="s">
        <v>152</v>
      </c>
      <c r="AB94" s="22" t="s">
        <v>55</v>
      </c>
      <c r="AC94" s="22" t="s">
        <v>55</v>
      </c>
      <c r="AD94" s="22" t="s">
        <v>67</v>
      </c>
      <c r="AE94" s="22" t="s">
        <v>257</v>
      </c>
      <c r="AF94" s="22" t="s">
        <v>123</v>
      </c>
      <c r="AG94" s="22" t="s">
        <v>55</v>
      </c>
      <c r="AH94" s="22" t="s">
        <v>55</v>
      </c>
      <c r="AI94" s="22" t="s">
        <v>55</v>
      </c>
      <c r="AJ94" s="22" t="s">
        <v>55</v>
      </c>
      <c r="AK94" s="22" t="s">
        <v>55</v>
      </c>
      <c r="AL94" s="22" t="s">
        <v>55</v>
      </c>
      <c r="AM94" s="22" t="s">
        <v>55</v>
      </c>
      <c r="AN94" s="22" t="s">
        <v>55</v>
      </c>
      <c r="AO94" s="22" t="s">
        <v>55</v>
      </c>
      <c r="AP94" s="22" t="s">
        <v>55</v>
      </c>
      <c r="AQ94" s="22" t="s">
        <v>55</v>
      </c>
      <c r="AR94" s="22" t="s">
        <v>55</v>
      </c>
      <c r="AS94" s="22" t="s">
        <v>55</v>
      </c>
      <c r="AT94" s="22" t="s">
        <v>55</v>
      </c>
      <c r="AU94" s="22" t="s">
        <v>55</v>
      </c>
      <c r="AV94" s="22" t="s">
        <v>55</v>
      </c>
      <c r="AW94" s="23">
        <v>45835</v>
      </c>
      <c r="AX94" s="23">
        <v>45912</v>
      </c>
      <c r="AY94" s="22" t="s">
        <v>877</v>
      </c>
    </row>
    <row r="95" spans="1:51" ht="145" x14ac:dyDescent="0.35">
      <c r="A95" s="22" t="s">
        <v>922</v>
      </c>
      <c r="B95" s="22" t="s">
        <v>347</v>
      </c>
      <c r="C95" s="22" t="s">
        <v>51</v>
      </c>
      <c r="D95" s="22" t="s">
        <v>465</v>
      </c>
      <c r="E95" s="22" t="s">
        <v>108</v>
      </c>
      <c r="F95" s="22" t="s">
        <v>923</v>
      </c>
      <c r="G95" s="22" t="s">
        <v>94</v>
      </c>
      <c r="H95" s="22" t="s">
        <v>162</v>
      </c>
      <c r="I95" s="22" t="s">
        <v>362</v>
      </c>
      <c r="J95" s="22" t="s">
        <v>924</v>
      </c>
      <c r="K95" s="22" t="s">
        <v>593</v>
      </c>
      <c r="L95" s="22" t="s">
        <v>503</v>
      </c>
      <c r="M95" s="22" t="s">
        <v>55</v>
      </c>
      <c r="N95" s="22" t="s">
        <v>55</v>
      </c>
      <c r="O95" s="22" t="s">
        <v>925</v>
      </c>
      <c r="P95" s="22" t="s">
        <v>926</v>
      </c>
      <c r="Q95" s="22" t="s">
        <v>927</v>
      </c>
      <c r="R95" s="22" t="s">
        <v>63</v>
      </c>
      <c r="S95" s="22" t="s">
        <v>928</v>
      </c>
      <c r="T95" s="22" t="s">
        <v>929</v>
      </c>
      <c r="U95" s="22" t="s">
        <v>132</v>
      </c>
      <c r="V95" s="23">
        <v>46022</v>
      </c>
      <c r="W95" s="22" t="s">
        <v>55</v>
      </c>
      <c r="X95" s="22" t="s">
        <v>930</v>
      </c>
      <c r="Y95" s="22" t="s">
        <v>65</v>
      </c>
      <c r="Z95" s="22" t="s">
        <v>55</v>
      </c>
      <c r="AA95" s="22" t="s">
        <v>221</v>
      </c>
      <c r="AB95" s="22" t="s">
        <v>55</v>
      </c>
      <c r="AC95" s="22" t="s">
        <v>55</v>
      </c>
      <c r="AD95" s="22" t="s">
        <v>67</v>
      </c>
      <c r="AE95" s="22" t="s">
        <v>257</v>
      </c>
      <c r="AF95" s="22" t="s">
        <v>55</v>
      </c>
      <c r="AG95" s="22" t="s">
        <v>55</v>
      </c>
      <c r="AH95" s="22" t="s">
        <v>55</v>
      </c>
      <c r="AI95" s="22" t="s">
        <v>55</v>
      </c>
      <c r="AJ95" s="22" t="s">
        <v>55</v>
      </c>
      <c r="AK95" s="22" t="s">
        <v>55</v>
      </c>
      <c r="AL95" s="22" t="s">
        <v>55</v>
      </c>
      <c r="AM95" s="22" t="s">
        <v>55</v>
      </c>
      <c r="AN95" s="22" t="s">
        <v>55</v>
      </c>
      <c r="AO95" s="22" t="s">
        <v>55</v>
      </c>
      <c r="AP95" s="22" t="s">
        <v>55</v>
      </c>
      <c r="AQ95" s="22" t="s">
        <v>55</v>
      </c>
      <c r="AR95" s="22" t="s">
        <v>55</v>
      </c>
      <c r="AS95" s="22" t="s">
        <v>55</v>
      </c>
      <c r="AT95" s="22" t="s">
        <v>55</v>
      </c>
      <c r="AU95" s="22" t="s">
        <v>55</v>
      </c>
      <c r="AV95" s="22" t="s">
        <v>55</v>
      </c>
      <c r="AW95" s="23">
        <v>45807</v>
      </c>
      <c r="AX95" s="23">
        <v>45922</v>
      </c>
      <c r="AY95" s="22" t="s">
        <v>877</v>
      </c>
    </row>
    <row r="96" spans="1:51" ht="130.5" x14ac:dyDescent="0.35">
      <c r="A96" s="22" t="s">
        <v>931</v>
      </c>
      <c r="B96" s="22" t="s">
        <v>347</v>
      </c>
      <c r="C96" s="22" t="s">
        <v>51</v>
      </c>
      <c r="D96" s="22" t="s">
        <v>465</v>
      </c>
      <c r="E96" s="22" t="s">
        <v>108</v>
      </c>
      <c r="F96" s="22" t="s">
        <v>923</v>
      </c>
      <c r="G96" s="22" t="s">
        <v>94</v>
      </c>
      <c r="H96" s="22" t="s">
        <v>162</v>
      </c>
      <c r="I96" s="22" t="s">
        <v>101</v>
      </c>
      <c r="J96" s="22" t="s">
        <v>932</v>
      </c>
      <c r="K96" s="22" t="s">
        <v>561</v>
      </c>
      <c r="L96" s="22" t="s">
        <v>503</v>
      </c>
      <c r="M96" s="22" t="s">
        <v>55</v>
      </c>
      <c r="N96" s="22" t="s">
        <v>55</v>
      </c>
      <c r="O96" s="22" t="s">
        <v>925</v>
      </c>
      <c r="P96" s="22" t="s">
        <v>933</v>
      </c>
      <c r="Q96" s="22" t="s">
        <v>934</v>
      </c>
      <c r="R96" s="22" t="s">
        <v>63</v>
      </c>
      <c r="S96" s="22" t="s">
        <v>935</v>
      </c>
      <c r="T96" s="22" t="s">
        <v>936</v>
      </c>
      <c r="U96" s="22" t="s">
        <v>132</v>
      </c>
      <c r="V96" s="23">
        <v>46387</v>
      </c>
      <c r="W96" s="22" t="s">
        <v>55</v>
      </c>
      <c r="X96" s="22" t="s">
        <v>937</v>
      </c>
      <c r="Y96" s="22" t="s">
        <v>65</v>
      </c>
      <c r="Z96" s="22" t="s">
        <v>55</v>
      </c>
      <c r="AA96" s="22" t="s">
        <v>155</v>
      </c>
      <c r="AB96" s="22" t="s">
        <v>55</v>
      </c>
      <c r="AC96" s="22" t="s">
        <v>55</v>
      </c>
      <c r="AD96" s="22" t="s">
        <v>67</v>
      </c>
      <c r="AE96" s="22" t="s">
        <v>257</v>
      </c>
      <c r="AF96" s="22" t="s">
        <v>55</v>
      </c>
      <c r="AG96" s="22" t="s">
        <v>55</v>
      </c>
      <c r="AH96" s="22" t="s">
        <v>55</v>
      </c>
      <c r="AI96" s="22" t="s">
        <v>55</v>
      </c>
      <c r="AJ96" s="22" t="s">
        <v>55</v>
      </c>
      <c r="AK96" s="22" t="s">
        <v>55</v>
      </c>
      <c r="AL96" s="22" t="s">
        <v>55</v>
      </c>
      <c r="AM96" s="22" t="s">
        <v>55</v>
      </c>
      <c r="AN96" s="22" t="s">
        <v>55</v>
      </c>
      <c r="AO96" s="22" t="s">
        <v>55</v>
      </c>
      <c r="AP96" s="22" t="s">
        <v>55</v>
      </c>
      <c r="AQ96" s="22" t="s">
        <v>55</v>
      </c>
      <c r="AR96" s="22" t="s">
        <v>55</v>
      </c>
      <c r="AS96" s="22" t="s">
        <v>55</v>
      </c>
      <c r="AT96" s="22" t="s">
        <v>55</v>
      </c>
      <c r="AU96" s="22" t="s">
        <v>55</v>
      </c>
      <c r="AV96" s="22" t="s">
        <v>55</v>
      </c>
      <c r="AW96" s="23">
        <v>45807</v>
      </c>
      <c r="AX96" s="23">
        <v>45922</v>
      </c>
      <c r="AY96" s="22" t="s">
        <v>877</v>
      </c>
    </row>
    <row r="97" spans="1:51" ht="145" x14ac:dyDescent="0.35">
      <c r="A97" s="22" t="s">
        <v>938</v>
      </c>
      <c r="B97" s="22" t="s">
        <v>347</v>
      </c>
      <c r="C97" s="22" t="s">
        <v>51</v>
      </c>
      <c r="D97" s="22" t="s">
        <v>465</v>
      </c>
      <c r="E97" s="22" t="s">
        <v>108</v>
      </c>
      <c r="F97" s="22" t="s">
        <v>923</v>
      </c>
      <c r="G97" s="22" t="s">
        <v>94</v>
      </c>
      <c r="H97" s="22" t="s">
        <v>162</v>
      </c>
      <c r="I97" s="22" t="s">
        <v>109</v>
      </c>
      <c r="J97" s="22" t="s">
        <v>939</v>
      </c>
      <c r="K97" s="22" t="s">
        <v>586</v>
      </c>
      <c r="L97" s="22" t="s">
        <v>103</v>
      </c>
      <c r="M97" s="22" t="s">
        <v>55</v>
      </c>
      <c r="N97" s="22" t="s">
        <v>55</v>
      </c>
      <c r="O97" s="22" t="s">
        <v>925</v>
      </c>
      <c r="P97" s="22" t="s">
        <v>940</v>
      </c>
      <c r="Q97" s="22" t="s">
        <v>941</v>
      </c>
      <c r="R97" s="22" t="s">
        <v>63</v>
      </c>
      <c r="S97" s="22" t="s">
        <v>942</v>
      </c>
      <c r="T97" s="22" t="s">
        <v>943</v>
      </c>
      <c r="U97" s="22" t="s">
        <v>132</v>
      </c>
      <c r="V97" s="23">
        <v>46203</v>
      </c>
      <c r="W97" s="22" t="s">
        <v>55</v>
      </c>
      <c r="X97" s="22" t="s">
        <v>944</v>
      </c>
      <c r="Y97" s="22" t="s">
        <v>65</v>
      </c>
      <c r="Z97" s="22" t="s">
        <v>55</v>
      </c>
      <c r="AA97" s="22" t="s">
        <v>155</v>
      </c>
      <c r="AB97" s="22" t="s">
        <v>55</v>
      </c>
      <c r="AC97" s="22" t="s">
        <v>55</v>
      </c>
      <c r="AD97" s="22" t="s">
        <v>67</v>
      </c>
      <c r="AE97" s="22" t="s">
        <v>257</v>
      </c>
      <c r="AF97" s="22" t="s">
        <v>55</v>
      </c>
      <c r="AG97" s="22" t="s">
        <v>55</v>
      </c>
      <c r="AH97" s="22" t="s">
        <v>55</v>
      </c>
      <c r="AI97" s="22" t="s">
        <v>55</v>
      </c>
      <c r="AJ97" s="22" t="s">
        <v>55</v>
      </c>
      <c r="AK97" s="22" t="s">
        <v>55</v>
      </c>
      <c r="AL97" s="22" t="s">
        <v>55</v>
      </c>
      <c r="AM97" s="22" t="s">
        <v>55</v>
      </c>
      <c r="AN97" s="22" t="s">
        <v>55</v>
      </c>
      <c r="AO97" s="22" t="s">
        <v>55</v>
      </c>
      <c r="AP97" s="22" t="s">
        <v>55</v>
      </c>
      <c r="AQ97" s="22" t="s">
        <v>55</v>
      </c>
      <c r="AR97" s="22" t="s">
        <v>55</v>
      </c>
      <c r="AS97" s="22" t="s">
        <v>55</v>
      </c>
      <c r="AT97" s="22" t="s">
        <v>55</v>
      </c>
      <c r="AU97" s="22" t="s">
        <v>55</v>
      </c>
      <c r="AV97" s="22" t="s">
        <v>55</v>
      </c>
      <c r="AW97" s="23">
        <v>45807</v>
      </c>
      <c r="AX97" s="23">
        <v>45922</v>
      </c>
      <c r="AY97" s="22" t="s">
        <v>877</v>
      </c>
    </row>
    <row r="98" spans="1:51" ht="116" x14ac:dyDescent="0.35">
      <c r="A98" s="22" t="s">
        <v>945</v>
      </c>
      <c r="B98" s="22" t="s">
        <v>347</v>
      </c>
      <c r="C98" s="22" t="s">
        <v>51</v>
      </c>
      <c r="D98" s="22" t="s">
        <v>465</v>
      </c>
      <c r="E98" s="22" t="s">
        <v>108</v>
      </c>
      <c r="F98" s="22" t="s">
        <v>923</v>
      </c>
      <c r="G98" s="22" t="s">
        <v>94</v>
      </c>
      <c r="H98" s="22" t="s">
        <v>162</v>
      </c>
      <c r="I98" s="22" t="s">
        <v>109</v>
      </c>
      <c r="J98" s="22" t="s">
        <v>946</v>
      </c>
      <c r="K98" s="22" t="s">
        <v>586</v>
      </c>
      <c r="L98" s="22" t="s">
        <v>103</v>
      </c>
      <c r="M98" s="22" t="s">
        <v>55</v>
      </c>
      <c r="N98" s="22" t="s">
        <v>55</v>
      </c>
      <c r="O98" s="22" t="s">
        <v>925</v>
      </c>
      <c r="P98" s="22" t="s">
        <v>947</v>
      </c>
      <c r="Q98" s="22" t="s">
        <v>948</v>
      </c>
      <c r="R98" s="22" t="s">
        <v>63</v>
      </c>
      <c r="S98" s="22" t="s">
        <v>949</v>
      </c>
      <c r="T98" s="22" t="s">
        <v>950</v>
      </c>
      <c r="U98" s="22" t="s">
        <v>132</v>
      </c>
      <c r="V98" s="23">
        <v>46203</v>
      </c>
      <c r="W98" s="22" t="s">
        <v>55</v>
      </c>
      <c r="X98" s="22" t="s">
        <v>951</v>
      </c>
      <c r="Y98" s="22" t="s">
        <v>65</v>
      </c>
      <c r="Z98" s="22" t="s">
        <v>55</v>
      </c>
      <c r="AA98" s="22" t="s">
        <v>155</v>
      </c>
      <c r="AB98" s="22" t="s">
        <v>55</v>
      </c>
      <c r="AC98" s="22" t="s">
        <v>55</v>
      </c>
      <c r="AD98" s="22" t="s">
        <v>67</v>
      </c>
      <c r="AE98" s="22" t="s">
        <v>257</v>
      </c>
      <c r="AF98" s="22" t="s">
        <v>55</v>
      </c>
      <c r="AG98" s="22" t="s">
        <v>55</v>
      </c>
      <c r="AH98" s="22" t="s">
        <v>55</v>
      </c>
      <c r="AI98" s="22" t="s">
        <v>55</v>
      </c>
      <c r="AJ98" s="22" t="s">
        <v>55</v>
      </c>
      <c r="AK98" s="22" t="s">
        <v>55</v>
      </c>
      <c r="AL98" s="22" t="s">
        <v>55</v>
      </c>
      <c r="AM98" s="22" t="s">
        <v>55</v>
      </c>
      <c r="AN98" s="22" t="s">
        <v>55</v>
      </c>
      <c r="AO98" s="22" t="s">
        <v>55</v>
      </c>
      <c r="AP98" s="22" t="s">
        <v>55</v>
      </c>
      <c r="AQ98" s="22" t="s">
        <v>55</v>
      </c>
      <c r="AR98" s="22" t="s">
        <v>55</v>
      </c>
      <c r="AS98" s="22" t="s">
        <v>55</v>
      </c>
      <c r="AT98" s="22" t="s">
        <v>55</v>
      </c>
      <c r="AU98" s="22" t="s">
        <v>55</v>
      </c>
      <c r="AV98" s="22" t="s">
        <v>55</v>
      </c>
      <c r="AW98" s="23">
        <v>45807</v>
      </c>
      <c r="AX98" s="23">
        <v>45922</v>
      </c>
      <c r="AY98" s="22" t="s">
        <v>877</v>
      </c>
    </row>
    <row r="99" spans="1:51" ht="203" x14ac:dyDescent="0.35">
      <c r="A99" s="22" t="s">
        <v>953</v>
      </c>
      <c r="B99" s="22" t="s">
        <v>347</v>
      </c>
      <c r="C99" s="22" t="s">
        <v>588</v>
      </c>
      <c r="D99" s="22" t="s">
        <v>182</v>
      </c>
      <c r="E99" s="22" t="s">
        <v>52</v>
      </c>
      <c r="F99" s="22" t="s">
        <v>954</v>
      </c>
      <c r="G99" s="22" t="s">
        <v>126</v>
      </c>
      <c r="H99" s="22" t="s">
        <v>138</v>
      </c>
      <c r="I99" s="22" t="s">
        <v>121</v>
      </c>
      <c r="J99" s="22" t="s">
        <v>153</v>
      </c>
      <c r="K99" s="22" t="s">
        <v>564</v>
      </c>
      <c r="L99" s="22" t="s">
        <v>57</v>
      </c>
      <c r="M99" s="22" t="s">
        <v>154</v>
      </c>
      <c r="N99" s="22" t="s">
        <v>55</v>
      </c>
      <c r="O99" s="22" t="s">
        <v>955</v>
      </c>
      <c r="P99" s="22" t="s">
        <v>956</v>
      </c>
      <c r="Q99" s="22" t="s">
        <v>957</v>
      </c>
      <c r="R99" s="22" t="s">
        <v>55</v>
      </c>
      <c r="S99" s="22" t="s">
        <v>958</v>
      </c>
      <c r="T99" s="22" t="s">
        <v>959</v>
      </c>
      <c r="U99" s="22" t="s">
        <v>63</v>
      </c>
      <c r="V99" s="23">
        <v>46022</v>
      </c>
      <c r="W99" s="22" t="s">
        <v>55</v>
      </c>
      <c r="X99" s="22" t="s">
        <v>960</v>
      </c>
      <c r="Y99" s="22" t="s">
        <v>65</v>
      </c>
      <c r="Z99" s="22" t="s">
        <v>55</v>
      </c>
      <c r="AA99" s="22" t="s">
        <v>221</v>
      </c>
      <c r="AB99" s="22" t="s">
        <v>55</v>
      </c>
      <c r="AC99" s="22" t="s">
        <v>55</v>
      </c>
      <c r="AD99" s="22" t="s">
        <v>67</v>
      </c>
      <c r="AE99" s="22" t="s">
        <v>97</v>
      </c>
      <c r="AF99" s="22" t="s">
        <v>156</v>
      </c>
      <c r="AG99" s="22" t="s">
        <v>55</v>
      </c>
      <c r="AH99" s="22" t="s">
        <v>55</v>
      </c>
      <c r="AI99" s="22" t="s">
        <v>55</v>
      </c>
      <c r="AJ99" s="22" t="s">
        <v>55</v>
      </c>
      <c r="AK99" s="22" t="s">
        <v>55</v>
      </c>
      <c r="AL99" s="22" t="s">
        <v>55</v>
      </c>
      <c r="AM99" s="22" t="s">
        <v>55</v>
      </c>
      <c r="AN99" s="22" t="s">
        <v>55</v>
      </c>
      <c r="AO99" s="22" t="s">
        <v>55</v>
      </c>
      <c r="AP99" s="22" t="s">
        <v>55</v>
      </c>
      <c r="AQ99" s="22" t="s">
        <v>55</v>
      </c>
      <c r="AR99" s="22" t="s">
        <v>55</v>
      </c>
      <c r="AS99" s="22" t="s">
        <v>55</v>
      </c>
      <c r="AT99" s="22" t="s">
        <v>55</v>
      </c>
      <c r="AU99" s="22" t="s">
        <v>55</v>
      </c>
      <c r="AV99" s="22" t="s">
        <v>55</v>
      </c>
      <c r="AW99" s="23">
        <v>45922</v>
      </c>
      <c r="AX99" s="23">
        <v>45922</v>
      </c>
      <c r="AY99" s="22" t="s">
        <v>877</v>
      </c>
    </row>
    <row r="100" spans="1:51" ht="43.5" x14ac:dyDescent="0.35">
      <c r="A100" s="22" t="s">
        <v>961</v>
      </c>
      <c r="B100" s="22" t="s">
        <v>347</v>
      </c>
      <c r="C100" s="22" t="s">
        <v>116</v>
      </c>
      <c r="D100" s="22" t="s">
        <v>465</v>
      </c>
      <c r="E100" s="22" t="s">
        <v>52</v>
      </c>
      <c r="F100" s="22" t="s">
        <v>962</v>
      </c>
      <c r="G100" s="22" t="s">
        <v>94</v>
      </c>
      <c r="H100" s="22" t="s">
        <v>95</v>
      </c>
      <c r="I100" s="22" t="s">
        <v>117</v>
      </c>
      <c r="J100" s="22" t="s">
        <v>842</v>
      </c>
      <c r="K100" s="22" t="s">
        <v>576</v>
      </c>
      <c r="L100" s="22" t="s">
        <v>55</v>
      </c>
      <c r="M100" s="22" t="s">
        <v>963</v>
      </c>
      <c r="N100" s="22" t="s">
        <v>55</v>
      </c>
      <c r="O100" s="22" t="s">
        <v>964</v>
      </c>
      <c r="P100" s="22" t="s">
        <v>965</v>
      </c>
      <c r="Q100" s="22" t="s">
        <v>965</v>
      </c>
      <c r="R100" s="22" t="s">
        <v>55</v>
      </c>
      <c r="S100" s="22" t="s">
        <v>55</v>
      </c>
      <c r="T100" s="22" t="s">
        <v>966</v>
      </c>
      <c r="U100" s="22" t="s">
        <v>63</v>
      </c>
      <c r="V100" s="23">
        <v>45961</v>
      </c>
      <c r="W100" s="22" t="s">
        <v>55</v>
      </c>
      <c r="X100" s="22" t="s">
        <v>967</v>
      </c>
      <c r="Y100" s="22" t="s">
        <v>65</v>
      </c>
      <c r="Z100" s="22" t="s">
        <v>55</v>
      </c>
      <c r="AA100" s="22" t="s">
        <v>66</v>
      </c>
      <c r="AB100" s="22" t="s">
        <v>55</v>
      </c>
      <c r="AC100" s="22" t="s">
        <v>55</v>
      </c>
      <c r="AD100" s="22" t="s">
        <v>118</v>
      </c>
      <c r="AE100" s="22" t="s">
        <v>97</v>
      </c>
      <c r="AF100" s="22" t="s">
        <v>55</v>
      </c>
      <c r="AG100" s="22" t="s">
        <v>55</v>
      </c>
      <c r="AH100" s="22" t="s">
        <v>55</v>
      </c>
      <c r="AI100" s="22" t="s">
        <v>55</v>
      </c>
      <c r="AJ100" s="22" t="s">
        <v>55</v>
      </c>
      <c r="AK100" s="22" t="s">
        <v>55</v>
      </c>
      <c r="AL100" s="22" t="s">
        <v>55</v>
      </c>
      <c r="AM100" s="22" t="s">
        <v>55</v>
      </c>
      <c r="AN100" s="22" t="s">
        <v>55</v>
      </c>
      <c r="AO100" s="22" t="s">
        <v>55</v>
      </c>
      <c r="AP100" s="22" t="s">
        <v>55</v>
      </c>
      <c r="AQ100" s="22" t="s">
        <v>55</v>
      </c>
      <c r="AR100" s="22" t="s">
        <v>55</v>
      </c>
      <c r="AS100" s="22" t="s">
        <v>55</v>
      </c>
      <c r="AT100" s="22" t="s">
        <v>55</v>
      </c>
      <c r="AU100" s="22" t="s">
        <v>55</v>
      </c>
      <c r="AV100" s="22" t="s">
        <v>55</v>
      </c>
      <c r="AW100" s="22" t="s">
        <v>55</v>
      </c>
      <c r="AX100" s="22" t="s">
        <v>55</v>
      </c>
      <c r="AY100" s="22" t="s">
        <v>877</v>
      </c>
    </row>
    <row r="101" spans="1:51" ht="58" x14ac:dyDescent="0.35">
      <c r="A101" s="22" t="s">
        <v>968</v>
      </c>
      <c r="B101" s="22" t="s">
        <v>347</v>
      </c>
      <c r="C101" s="22" t="s">
        <v>116</v>
      </c>
      <c r="D101" s="22" t="s">
        <v>465</v>
      </c>
      <c r="E101" s="22" t="s">
        <v>52</v>
      </c>
      <c r="F101" s="22" t="s">
        <v>962</v>
      </c>
      <c r="G101" s="22" t="s">
        <v>94</v>
      </c>
      <c r="H101" s="22" t="s">
        <v>95</v>
      </c>
      <c r="I101" s="22" t="s">
        <v>121</v>
      </c>
      <c r="J101" s="22" t="s">
        <v>223</v>
      </c>
      <c r="K101" s="22" t="s">
        <v>565</v>
      </c>
      <c r="L101" s="22" t="s">
        <v>55</v>
      </c>
      <c r="M101" s="22" t="s">
        <v>969</v>
      </c>
      <c r="N101" s="22" t="s">
        <v>55</v>
      </c>
      <c r="O101" s="22" t="s">
        <v>964</v>
      </c>
      <c r="P101" s="22" t="s">
        <v>970</v>
      </c>
      <c r="Q101" s="22" t="s">
        <v>970</v>
      </c>
      <c r="R101" s="22" t="s">
        <v>55</v>
      </c>
      <c r="S101" s="22" t="s">
        <v>55</v>
      </c>
      <c r="T101" s="22" t="s">
        <v>971</v>
      </c>
      <c r="U101" s="22" t="s">
        <v>63</v>
      </c>
      <c r="V101" s="23">
        <v>45961</v>
      </c>
      <c r="W101" s="22" t="s">
        <v>55</v>
      </c>
      <c r="X101" s="22" t="s">
        <v>972</v>
      </c>
      <c r="Y101" s="22" t="s">
        <v>65</v>
      </c>
      <c r="Z101" s="22" t="s">
        <v>55</v>
      </c>
      <c r="AA101" s="22" t="s">
        <v>66</v>
      </c>
      <c r="AB101" s="22" t="s">
        <v>55</v>
      </c>
      <c r="AC101" s="22" t="s">
        <v>55</v>
      </c>
      <c r="AD101" s="22" t="s">
        <v>118</v>
      </c>
      <c r="AE101" s="22" t="s">
        <v>97</v>
      </c>
      <c r="AF101" s="22" t="s">
        <v>55</v>
      </c>
      <c r="AG101" s="22" t="s">
        <v>55</v>
      </c>
      <c r="AH101" s="22" t="s">
        <v>55</v>
      </c>
      <c r="AI101" s="22" t="s">
        <v>55</v>
      </c>
      <c r="AJ101" s="22" t="s">
        <v>55</v>
      </c>
      <c r="AK101" s="22" t="s">
        <v>55</v>
      </c>
      <c r="AL101" s="22" t="s">
        <v>55</v>
      </c>
      <c r="AM101" s="22" t="s">
        <v>55</v>
      </c>
      <c r="AN101" s="22" t="s">
        <v>55</v>
      </c>
      <c r="AO101" s="22" t="s">
        <v>55</v>
      </c>
      <c r="AP101" s="22" t="s">
        <v>55</v>
      </c>
      <c r="AQ101" s="22" t="s">
        <v>55</v>
      </c>
      <c r="AR101" s="22" t="s">
        <v>55</v>
      </c>
      <c r="AS101" s="22" t="s">
        <v>55</v>
      </c>
      <c r="AT101" s="22" t="s">
        <v>55</v>
      </c>
      <c r="AU101" s="22" t="s">
        <v>55</v>
      </c>
      <c r="AV101" s="22" t="s">
        <v>55</v>
      </c>
      <c r="AW101" s="22" t="s">
        <v>55</v>
      </c>
      <c r="AX101" s="22" t="s">
        <v>55</v>
      </c>
      <c r="AY101" s="22" t="s">
        <v>877</v>
      </c>
    </row>
    <row r="102" spans="1:51" ht="29" x14ac:dyDescent="0.35">
      <c r="A102" s="22" t="s">
        <v>973</v>
      </c>
      <c r="B102" s="22" t="s">
        <v>347</v>
      </c>
      <c r="C102" s="22" t="s">
        <v>116</v>
      </c>
      <c r="D102" s="22" t="s">
        <v>465</v>
      </c>
      <c r="E102" s="22" t="s">
        <v>52</v>
      </c>
      <c r="F102" s="22" t="s">
        <v>962</v>
      </c>
      <c r="G102" s="22" t="s">
        <v>94</v>
      </c>
      <c r="H102" s="22" t="s">
        <v>95</v>
      </c>
      <c r="I102" s="22" t="s">
        <v>361</v>
      </c>
      <c r="J102" s="22" t="s">
        <v>974</v>
      </c>
      <c r="K102" s="22" t="s">
        <v>584</v>
      </c>
      <c r="L102" s="22" t="s">
        <v>55</v>
      </c>
      <c r="M102" s="22" t="s">
        <v>975</v>
      </c>
      <c r="N102" s="22" t="s">
        <v>55</v>
      </c>
      <c r="O102" s="22" t="s">
        <v>964</v>
      </c>
      <c r="P102" s="22" t="s">
        <v>976</v>
      </c>
      <c r="Q102" s="22" t="s">
        <v>976</v>
      </c>
      <c r="R102" s="22" t="s">
        <v>55</v>
      </c>
      <c r="S102" s="22" t="s">
        <v>55</v>
      </c>
      <c r="T102" s="22" t="s">
        <v>977</v>
      </c>
      <c r="U102" s="22" t="s">
        <v>63</v>
      </c>
      <c r="V102" s="23">
        <v>45961</v>
      </c>
      <c r="W102" s="22" t="s">
        <v>55</v>
      </c>
      <c r="X102" s="22" t="s">
        <v>978</v>
      </c>
      <c r="Y102" s="22" t="s">
        <v>65</v>
      </c>
      <c r="Z102" s="22" t="s">
        <v>55</v>
      </c>
      <c r="AA102" s="22" t="s">
        <v>66</v>
      </c>
      <c r="AB102" s="22" t="s">
        <v>55</v>
      </c>
      <c r="AC102" s="22" t="s">
        <v>55</v>
      </c>
      <c r="AD102" s="22" t="s">
        <v>118</v>
      </c>
      <c r="AE102" s="22" t="s">
        <v>97</v>
      </c>
      <c r="AF102" s="22" t="s">
        <v>55</v>
      </c>
      <c r="AG102" s="22" t="s">
        <v>55</v>
      </c>
      <c r="AH102" s="22" t="s">
        <v>55</v>
      </c>
      <c r="AI102" s="22" t="s">
        <v>55</v>
      </c>
      <c r="AJ102" s="22" t="s">
        <v>55</v>
      </c>
      <c r="AK102" s="22" t="s">
        <v>55</v>
      </c>
      <c r="AL102" s="22" t="s">
        <v>55</v>
      </c>
      <c r="AM102" s="22" t="s">
        <v>55</v>
      </c>
      <c r="AN102" s="22" t="s">
        <v>55</v>
      </c>
      <c r="AO102" s="22" t="s">
        <v>55</v>
      </c>
      <c r="AP102" s="22" t="s">
        <v>55</v>
      </c>
      <c r="AQ102" s="22" t="s">
        <v>55</v>
      </c>
      <c r="AR102" s="22" t="s">
        <v>55</v>
      </c>
      <c r="AS102" s="22" t="s">
        <v>55</v>
      </c>
      <c r="AT102" s="22" t="s">
        <v>55</v>
      </c>
      <c r="AU102" s="22" t="s">
        <v>55</v>
      </c>
      <c r="AV102" s="22" t="s">
        <v>55</v>
      </c>
      <c r="AW102" s="22" t="s">
        <v>55</v>
      </c>
      <c r="AX102" s="22" t="s">
        <v>55</v>
      </c>
      <c r="AY102" s="22" t="s">
        <v>877</v>
      </c>
    </row>
    <row r="103" spans="1:51" ht="58" x14ac:dyDescent="0.35">
      <c r="A103" s="22" t="s">
        <v>979</v>
      </c>
      <c r="B103" s="22" t="s">
        <v>347</v>
      </c>
      <c r="C103" s="22" t="s">
        <v>116</v>
      </c>
      <c r="D103" s="22" t="s">
        <v>465</v>
      </c>
      <c r="E103" s="22" t="s">
        <v>52</v>
      </c>
      <c r="F103" s="22" t="s">
        <v>962</v>
      </c>
      <c r="G103" s="22" t="s">
        <v>94</v>
      </c>
      <c r="H103" s="22" t="s">
        <v>95</v>
      </c>
      <c r="I103" s="22" t="s">
        <v>361</v>
      </c>
      <c r="J103" s="22" t="s">
        <v>980</v>
      </c>
      <c r="K103" s="22" t="s">
        <v>584</v>
      </c>
      <c r="L103" s="22" t="s">
        <v>55</v>
      </c>
      <c r="M103" s="22" t="s">
        <v>981</v>
      </c>
      <c r="N103" s="22" t="s">
        <v>55</v>
      </c>
      <c r="O103" s="22" t="s">
        <v>964</v>
      </c>
      <c r="P103" s="22" t="s">
        <v>982</v>
      </c>
      <c r="Q103" s="22" t="s">
        <v>982</v>
      </c>
      <c r="R103" s="22" t="s">
        <v>55</v>
      </c>
      <c r="S103" s="22" t="s">
        <v>55</v>
      </c>
      <c r="T103" s="22" t="s">
        <v>983</v>
      </c>
      <c r="U103" s="22" t="s">
        <v>63</v>
      </c>
      <c r="V103" s="23">
        <v>45961</v>
      </c>
      <c r="W103" s="22" t="s">
        <v>55</v>
      </c>
      <c r="X103" s="22" t="s">
        <v>984</v>
      </c>
      <c r="Y103" s="22" t="s">
        <v>65</v>
      </c>
      <c r="Z103" s="22" t="s">
        <v>55</v>
      </c>
      <c r="AA103" s="22" t="s">
        <v>66</v>
      </c>
      <c r="AB103" s="22" t="s">
        <v>55</v>
      </c>
      <c r="AC103" s="22" t="s">
        <v>55</v>
      </c>
      <c r="AD103" s="22" t="s">
        <v>118</v>
      </c>
      <c r="AE103" s="22" t="s">
        <v>97</v>
      </c>
      <c r="AF103" s="22" t="s">
        <v>55</v>
      </c>
      <c r="AG103" s="22" t="s">
        <v>55</v>
      </c>
      <c r="AH103" s="22" t="s">
        <v>55</v>
      </c>
      <c r="AI103" s="22" t="s">
        <v>55</v>
      </c>
      <c r="AJ103" s="22" t="s">
        <v>55</v>
      </c>
      <c r="AK103" s="22" t="s">
        <v>55</v>
      </c>
      <c r="AL103" s="22" t="s">
        <v>55</v>
      </c>
      <c r="AM103" s="22" t="s">
        <v>55</v>
      </c>
      <c r="AN103" s="22" t="s">
        <v>55</v>
      </c>
      <c r="AO103" s="22" t="s">
        <v>55</v>
      </c>
      <c r="AP103" s="22" t="s">
        <v>55</v>
      </c>
      <c r="AQ103" s="22" t="s">
        <v>55</v>
      </c>
      <c r="AR103" s="22" t="s">
        <v>55</v>
      </c>
      <c r="AS103" s="22" t="s">
        <v>55</v>
      </c>
      <c r="AT103" s="22" t="s">
        <v>55</v>
      </c>
      <c r="AU103" s="22" t="s">
        <v>55</v>
      </c>
      <c r="AV103" s="22" t="s">
        <v>55</v>
      </c>
      <c r="AW103" s="22" t="s">
        <v>55</v>
      </c>
      <c r="AX103" s="22" t="s">
        <v>55</v>
      </c>
      <c r="AY103" s="22" t="s">
        <v>877</v>
      </c>
    </row>
    <row r="104" spans="1:51" ht="43.5" x14ac:dyDescent="0.35">
      <c r="A104" s="22" t="s">
        <v>985</v>
      </c>
      <c r="B104" s="22" t="s">
        <v>347</v>
      </c>
      <c r="C104" s="22" t="s">
        <v>116</v>
      </c>
      <c r="D104" s="22" t="s">
        <v>465</v>
      </c>
      <c r="E104" s="22" t="s">
        <v>52</v>
      </c>
      <c r="F104" s="22" t="s">
        <v>986</v>
      </c>
      <c r="G104" s="22" t="s">
        <v>94</v>
      </c>
      <c r="H104" s="22" t="s">
        <v>95</v>
      </c>
      <c r="I104" s="22" t="s">
        <v>526</v>
      </c>
      <c r="J104" s="22" t="s">
        <v>822</v>
      </c>
      <c r="K104" s="22" t="s">
        <v>572</v>
      </c>
      <c r="L104" s="22" t="s">
        <v>55</v>
      </c>
      <c r="M104" s="22" t="s">
        <v>252</v>
      </c>
      <c r="N104" s="22" t="s">
        <v>55</v>
      </c>
      <c r="O104" s="22" t="s">
        <v>987</v>
      </c>
      <c r="P104" s="22" t="s">
        <v>988</v>
      </c>
      <c r="Q104" s="22" t="s">
        <v>989</v>
      </c>
      <c r="R104" s="22" t="s">
        <v>55</v>
      </c>
      <c r="S104" s="22" t="s">
        <v>55</v>
      </c>
      <c r="T104" s="22" t="s">
        <v>990</v>
      </c>
      <c r="U104" s="22" t="s">
        <v>63</v>
      </c>
      <c r="V104" s="23">
        <v>45960</v>
      </c>
      <c r="W104" s="22" t="s">
        <v>55</v>
      </c>
      <c r="X104" s="22" t="s">
        <v>991</v>
      </c>
      <c r="Y104" s="22" t="s">
        <v>65</v>
      </c>
      <c r="Z104" s="22" t="s">
        <v>55</v>
      </c>
      <c r="AA104" s="22" t="s">
        <v>66</v>
      </c>
      <c r="AB104" s="22" t="s">
        <v>55</v>
      </c>
      <c r="AC104" s="22" t="s">
        <v>55</v>
      </c>
      <c r="AD104" s="22" t="s">
        <v>118</v>
      </c>
      <c r="AE104" s="22" t="s">
        <v>97</v>
      </c>
      <c r="AF104" s="22" t="s">
        <v>98</v>
      </c>
      <c r="AG104" s="22" t="s">
        <v>55</v>
      </c>
      <c r="AH104" s="22" t="s">
        <v>55</v>
      </c>
      <c r="AI104" s="22" t="s">
        <v>55</v>
      </c>
      <c r="AJ104" s="22" t="s">
        <v>55</v>
      </c>
      <c r="AK104" s="22" t="s">
        <v>55</v>
      </c>
      <c r="AL104" s="22" t="s">
        <v>55</v>
      </c>
      <c r="AM104" s="22" t="s">
        <v>55</v>
      </c>
      <c r="AN104" s="22" t="s">
        <v>55</v>
      </c>
      <c r="AO104" s="22" t="s">
        <v>55</v>
      </c>
      <c r="AP104" s="22" t="s">
        <v>55</v>
      </c>
      <c r="AQ104" s="22" t="s">
        <v>55</v>
      </c>
      <c r="AR104" s="22" t="s">
        <v>55</v>
      </c>
      <c r="AS104" s="22" t="s">
        <v>55</v>
      </c>
      <c r="AT104" s="22" t="s">
        <v>55</v>
      </c>
      <c r="AU104" s="22" t="s">
        <v>55</v>
      </c>
      <c r="AV104" s="22" t="s">
        <v>55</v>
      </c>
      <c r="AW104" s="22" t="s">
        <v>55</v>
      </c>
      <c r="AX104" s="22" t="s">
        <v>55</v>
      </c>
      <c r="AY104" s="22" t="s">
        <v>877</v>
      </c>
    </row>
    <row r="105" spans="1:51" ht="43.5" x14ac:dyDescent="0.35">
      <c r="A105" s="22" t="s">
        <v>992</v>
      </c>
      <c r="B105" s="22" t="s">
        <v>347</v>
      </c>
      <c r="C105" s="22" t="s">
        <v>116</v>
      </c>
      <c r="D105" s="22" t="s">
        <v>465</v>
      </c>
      <c r="E105" s="22" t="s">
        <v>52</v>
      </c>
      <c r="F105" s="22" t="s">
        <v>986</v>
      </c>
      <c r="G105" s="22" t="s">
        <v>94</v>
      </c>
      <c r="H105" s="22" t="s">
        <v>95</v>
      </c>
      <c r="I105" s="22" t="s">
        <v>526</v>
      </c>
      <c r="J105" s="22" t="s">
        <v>993</v>
      </c>
      <c r="K105" s="22" t="s">
        <v>572</v>
      </c>
      <c r="L105" s="22" t="s">
        <v>55</v>
      </c>
      <c r="M105" s="22" t="s">
        <v>777</v>
      </c>
      <c r="N105" s="22" t="s">
        <v>55</v>
      </c>
      <c r="O105" s="22" t="s">
        <v>987</v>
      </c>
      <c r="P105" s="22" t="s">
        <v>988</v>
      </c>
      <c r="Q105" s="22" t="s">
        <v>994</v>
      </c>
      <c r="R105" s="22" t="s">
        <v>55</v>
      </c>
      <c r="S105" s="22" t="s">
        <v>55</v>
      </c>
      <c r="T105" s="22" t="s">
        <v>995</v>
      </c>
      <c r="U105" s="22" t="s">
        <v>63</v>
      </c>
      <c r="V105" s="23">
        <v>45960</v>
      </c>
      <c r="W105" s="22" t="s">
        <v>55</v>
      </c>
      <c r="X105" s="22" t="s">
        <v>991</v>
      </c>
      <c r="Y105" s="22" t="s">
        <v>65</v>
      </c>
      <c r="Z105" s="22" t="s">
        <v>55</v>
      </c>
      <c r="AA105" s="22" t="s">
        <v>66</v>
      </c>
      <c r="AB105" s="22" t="s">
        <v>55</v>
      </c>
      <c r="AC105" s="22" t="s">
        <v>55</v>
      </c>
      <c r="AD105" s="22" t="s">
        <v>118</v>
      </c>
      <c r="AE105" s="22" t="s">
        <v>97</v>
      </c>
      <c r="AF105" s="22" t="s">
        <v>779</v>
      </c>
      <c r="AG105" s="22" t="s">
        <v>55</v>
      </c>
      <c r="AH105" s="22" t="s">
        <v>55</v>
      </c>
      <c r="AI105" s="22" t="s">
        <v>55</v>
      </c>
      <c r="AJ105" s="22" t="s">
        <v>55</v>
      </c>
      <c r="AK105" s="22" t="s">
        <v>55</v>
      </c>
      <c r="AL105" s="22" t="s">
        <v>55</v>
      </c>
      <c r="AM105" s="22" t="s">
        <v>55</v>
      </c>
      <c r="AN105" s="22" t="s">
        <v>55</v>
      </c>
      <c r="AO105" s="22" t="s">
        <v>55</v>
      </c>
      <c r="AP105" s="22" t="s">
        <v>55</v>
      </c>
      <c r="AQ105" s="22" t="s">
        <v>55</v>
      </c>
      <c r="AR105" s="22" t="s">
        <v>55</v>
      </c>
      <c r="AS105" s="22" t="s">
        <v>55</v>
      </c>
      <c r="AT105" s="22" t="s">
        <v>55</v>
      </c>
      <c r="AU105" s="22" t="s">
        <v>55</v>
      </c>
      <c r="AV105" s="22" t="s">
        <v>55</v>
      </c>
      <c r="AW105" s="22" t="s">
        <v>55</v>
      </c>
      <c r="AX105" s="22" t="s">
        <v>55</v>
      </c>
      <c r="AY105" s="22" t="s">
        <v>877</v>
      </c>
    </row>
    <row r="106" spans="1:51" ht="43.5" x14ac:dyDescent="0.35">
      <c r="A106" s="22" t="s">
        <v>996</v>
      </c>
      <c r="B106" s="22" t="s">
        <v>347</v>
      </c>
      <c r="C106" s="22" t="s">
        <v>116</v>
      </c>
      <c r="D106" s="22" t="s">
        <v>465</v>
      </c>
      <c r="E106" s="22" t="s">
        <v>52</v>
      </c>
      <c r="F106" s="22" t="s">
        <v>997</v>
      </c>
      <c r="G106" s="22" t="s">
        <v>606</v>
      </c>
      <c r="H106" s="22" t="s">
        <v>607</v>
      </c>
      <c r="I106" s="22" t="s">
        <v>121</v>
      </c>
      <c r="J106" s="22" t="s">
        <v>843</v>
      </c>
      <c r="K106" s="22" t="s">
        <v>565</v>
      </c>
      <c r="L106" s="22" t="s">
        <v>55</v>
      </c>
      <c r="M106" s="22" t="s">
        <v>998</v>
      </c>
      <c r="N106" s="22" t="s">
        <v>55</v>
      </c>
      <c r="O106" s="22" t="s">
        <v>999</v>
      </c>
      <c r="P106" s="22" t="s">
        <v>1000</v>
      </c>
      <c r="Q106" s="22" t="s">
        <v>1001</v>
      </c>
      <c r="R106" s="22" t="s">
        <v>55</v>
      </c>
      <c r="S106" s="22" t="s">
        <v>55</v>
      </c>
      <c r="T106" s="22" t="s">
        <v>1002</v>
      </c>
      <c r="U106" s="22" t="s">
        <v>63</v>
      </c>
      <c r="V106" s="23">
        <v>45961</v>
      </c>
      <c r="W106" s="22" t="s">
        <v>55</v>
      </c>
      <c r="X106" s="22" t="s">
        <v>1003</v>
      </c>
      <c r="Y106" s="22" t="s">
        <v>65</v>
      </c>
      <c r="Z106" s="22" t="s">
        <v>55</v>
      </c>
      <c r="AA106" s="22" t="s">
        <v>66</v>
      </c>
      <c r="AB106" s="22" t="s">
        <v>55</v>
      </c>
      <c r="AC106" s="22" t="s">
        <v>55</v>
      </c>
      <c r="AD106" s="22" t="s">
        <v>118</v>
      </c>
      <c r="AE106" s="22" t="s">
        <v>97</v>
      </c>
      <c r="AF106" s="22" t="s">
        <v>1004</v>
      </c>
      <c r="AG106" s="22" t="s">
        <v>55</v>
      </c>
      <c r="AH106" s="22" t="s">
        <v>55</v>
      </c>
      <c r="AI106" s="22" t="s">
        <v>55</v>
      </c>
      <c r="AJ106" s="22" t="s">
        <v>55</v>
      </c>
      <c r="AK106" s="22" t="s">
        <v>55</v>
      </c>
      <c r="AL106" s="22" t="s">
        <v>55</v>
      </c>
      <c r="AM106" s="22" t="s">
        <v>55</v>
      </c>
      <c r="AN106" s="22" t="s">
        <v>55</v>
      </c>
      <c r="AO106" s="22" t="s">
        <v>55</v>
      </c>
      <c r="AP106" s="22" t="s">
        <v>55</v>
      </c>
      <c r="AQ106" s="22" t="s">
        <v>55</v>
      </c>
      <c r="AR106" s="22" t="s">
        <v>55</v>
      </c>
      <c r="AS106" s="22" t="s">
        <v>55</v>
      </c>
      <c r="AT106" s="22" t="s">
        <v>55</v>
      </c>
      <c r="AU106" s="22" t="s">
        <v>55</v>
      </c>
      <c r="AV106" s="22" t="s">
        <v>55</v>
      </c>
      <c r="AW106" s="22" t="s">
        <v>55</v>
      </c>
      <c r="AX106" s="22" t="s">
        <v>55</v>
      </c>
      <c r="AY106" s="22" t="s">
        <v>877</v>
      </c>
    </row>
    <row r="107" spans="1:51" ht="29" x14ac:dyDescent="0.35">
      <c r="A107" s="22" t="s">
        <v>1005</v>
      </c>
      <c r="B107" s="22" t="s">
        <v>347</v>
      </c>
      <c r="C107" s="22" t="s">
        <v>116</v>
      </c>
      <c r="D107" s="22" t="s">
        <v>465</v>
      </c>
      <c r="E107" s="22" t="s">
        <v>52</v>
      </c>
      <c r="F107" s="22" t="s">
        <v>997</v>
      </c>
      <c r="G107" s="22" t="s">
        <v>606</v>
      </c>
      <c r="H107" s="22" t="s">
        <v>607</v>
      </c>
      <c r="I107" s="22" t="s">
        <v>117</v>
      </c>
      <c r="J107" s="22" t="s">
        <v>819</v>
      </c>
      <c r="K107" s="22" t="s">
        <v>868</v>
      </c>
      <c r="L107" s="22" t="s">
        <v>55</v>
      </c>
      <c r="M107" s="22" t="s">
        <v>1006</v>
      </c>
      <c r="N107" s="22" t="s">
        <v>55</v>
      </c>
      <c r="O107" s="22" t="s">
        <v>999</v>
      </c>
      <c r="P107" s="22" t="s">
        <v>1007</v>
      </c>
      <c r="Q107" s="22" t="s">
        <v>1008</v>
      </c>
      <c r="R107" s="22" t="s">
        <v>55</v>
      </c>
      <c r="S107" s="22" t="s">
        <v>55</v>
      </c>
      <c r="T107" s="22" t="s">
        <v>1009</v>
      </c>
      <c r="U107" s="22" t="s">
        <v>63</v>
      </c>
      <c r="V107" s="23">
        <v>45961</v>
      </c>
      <c r="W107" s="22" t="s">
        <v>55</v>
      </c>
      <c r="X107" s="22" t="s">
        <v>1010</v>
      </c>
      <c r="Y107" s="22" t="s">
        <v>65</v>
      </c>
      <c r="Z107" s="22" t="s">
        <v>55</v>
      </c>
      <c r="AA107" s="22" t="s">
        <v>66</v>
      </c>
      <c r="AB107" s="22" t="s">
        <v>55</v>
      </c>
      <c r="AC107" s="22" t="s">
        <v>55</v>
      </c>
      <c r="AD107" s="22" t="s">
        <v>118</v>
      </c>
      <c r="AE107" s="22" t="s">
        <v>97</v>
      </c>
      <c r="AF107" s="22" t="s">
        <v>583</v>
      </c>
      <c r="AG107" s="22" t="s">
        <v>55</v>
      </c>
      <c r="AH107" s="22" t="s">
        <v>55</v>
      </c>
      <c r="AI107" s="22" t="s">
        <v>55</v>
      </c>
      <c r="AJ107" s="22" t="s">
        <v>55</v>
      </c>
      <c r="AK107" s="22" t="s">
        <v>55</v>
      </c>
      <c r="AL107" s="22" t="s">
        <v>55</v>
      </c>
      <c r="AM107" s="22" t="s">
        <v>55</v>
      </c>
      <c r="AN107" s="22" t="s">
        <v>55</v>
      </c>
      <c r="AO107" s="22" t="s">
        <v>55</v>
      </c>
      <c r="AP107" s="22" t="s">
        <v>55</v>
      </c>
      <c r="AQ107" s="22" t="s">
        <v>55</v>
      </c>
      <c r="AR107" s="22" t="s">
        <v>55</v>
      </c>
      <c r="AS107" s="22" t="s">
        <v>55</v>
      </c>
      <c r="AT107" s="22" t="s">
        <v>55</v>
      </c>
      <c r="AU107" s="22" t="s">
        <v>55</v>
      </c>
      <c r="AV107" s="22" t="s">
        <v>55</v>
      </c>
      <c r="AW107" s="22" t="s">
        <v>55</v>
      </c>
      <c r="AX107" s="22" t="s">
        <v>55</v>
      </c>
      <c r="AY107" s="22" t="s">
        <v>877</v>
      </c>
    </row>
    <row r="108" spans="1:51" ht="58" x14ac:dyDescent="0.35">
      <c r="A108" s="22" t="s">
        <v>1011</v>
      </c>
      <c r="B108" s="22" t="s">
        <v>347</v>
      </c>
      <c r="C108" s="22" t="s">
        <v>116</v>
      </c>
      <c r="D108" s="22" t="s">
        <v>465</v>
      </c>
      <c r="E108" s="22" t="s">
        <v>52</v>
      </c>
      <c r="F108" s="22" t="s">
        <v>997</v>
      </c>
      <c r="G108" s="22" t="s">
        <v>606</v>
      </c>
      <c r="H108" s="22" t="s">
        <v>607</v>
      </c>
      <c r="I108" s="22" t="s">
        <v>121</v>
      </c>
      <c r="J108" s="22" t="s">
        <v>843</v>
      </c>
      <c r="K108" s="22" t="s">
        <v>584</v>
      </c>
      <c r="L108" s="22" t="s">
        <v>55</v>
      </c>
      <c r="M108" s="22" t="s">
        <v>844</v>
      </c>
      <c r="N108" s="22" t="s">
        <v>55</v>
      </c>
      <c r="O108" s="22" t="s">
        <v>999</v>
      </c>
      <c r="P108" s="22" t="s">
        <v>1012</v>
      </c>
      <c r="Q108" s="22" t="s">
        <v>1013</v>
      </c>
      <c r="R108" s="22" t="s">
        <v>55</v>
      </c>
      <c r="S108" s="22" t="s">
        <v>55</v>
      </c>
      <c r="T108" s="22" t="s">
        <v>1014</v>
      </c>
      <c r="U108" s="22" t="s">
        <v>63</v>
      </c>
      <c r="V108" s="23">
        <v>45961</v>
      </c>
      <c r="W108" s="22" t="s">
        <v>55</v>
      </c>
      <c r="X108" s="22" t="s">
        <v>1015</v>
      </c>
      <c r="Y108" s="22" t="s">
        <v>65</v>
      </c>
      <c r="Z108" s="22" t="s">
        <v>55</v>
      </c>
      <c r="AA108" s="22" t="s">
        <v>66</v>
      </c>
      <c r="AB108" s="22" t="s">
        <v>55</v>
      </c>
      <c r="AC108" s="22" t="s">
        <v>55</v>
      </c>
      <c r="AD108" s="22" t="s">
        <v>118</v>
      </c>
      <c r="AE108" s="22" t="s">
        <v>97</v>
      </c>
      <c r="AF108" s="22" t="s">
        <v>583</v>
      </c>
      <c r="AG108" s="22" t="s">
        <v>55</v>
      </c>
      <c r="AH108" s="22" t="s">
        <v>55</v>
      </c>
      <c r="AI108" s="22" t="s">
        <v>55</v>
      </c>
      <c r="AJ108" s="22" t="s">
        <v>55</v>
      </c>
      <c r="AK108" s="22" t="s">
        <v>55</v>
      </c>
      <c r="AL108" s="22" t="s">
        <v>55</v>
      </c>
      <c r="AM108" s="22" t="s">
        <v>55</v>
      </c>
      <c r="AN108" s="22" t="s">
        <v>55</v>
      </c>
      <c r="AO108" s="22" t="s">
        <v>55</v>
      </c>
      <c r="AP108" s="22" t="s">
        <v>55</v>
      </c>
      <c r="AQ108" s="22" t="s">
        <v>55</v>
      </c>
      <c r="AR108" s="22" t="s">
        <v>55</v>
      </c>
      <c r="AS108" s="22" t="s">
        <v>55</v>
      </c>
      <c r="AT108" s="22" t="s">
        <v>55</v>
      </c>
      <c r="AU108" s="22" t="s">
        <v>55</v>
      </c>
      <c r="AV108" s="22" t="s">
        <v>55</v>
      </c>
      <c r="AW108" s="22" t="s">
        <v>55</v>
      </c>
      <c r="AX108" s="22" t="s">
        <v>55</v>
      </c>
      <c r="AY108" s="22" t="s">
        <v>877</v>
      </c>
    </row>
    <row r="109" spans="1:51" ht="58" x14ac:dyDescent="0.35">
      <c r="A109" s="22" t="s">
        <v>1017</v>
      </c>
      <c r="B109" s="22" t="s">
        <v>347</v>
      </c>
      <c r="C109" s="22" t="s">
        <v>116</v>
      </c>
      <c r="D109" s="22" t="s">
        <v>465</v>
      </c>
      <c r="E109" s="22" t="s">
        <v>52</v>
      </c>
      <c r="F109" s="22" t="s">
        <v>120</v>
      </c>
      <c r="G109" s="22" t="s">
        <v>94</v>
      </c>
      <c r="H109" s="22" t="s">
        <v>95</v>
      </c>
      <c r="I109" s="22" t="s">
        <v>803</v>
      </c>
      <c r="J109" s="22" t="s">
        <v>815</v>
      </c>
      <c r="K109" s="22" t="s">
        <v>572</v>
      </c>
      <c r="L109" s="22" t="s">
        <v>55</v>
      </c>
      <c r="M109" s="22" t="s">
        <v>816</v>
      </c>
      <c r="N109" s="22" t="s">
        <v>55</v>
      </c>
      <c r="O109" s="22" t="s">
        <v>1018</v>
      </c>
      <c r="P109" s="22" t="s">
        <v>1019</v>
      </c>
      <c r="Q109" s="22" t="s">
        <v>1020</v>
      </c>
      <c r="R109" s="22" t="s">
        <v>55</v>
      </c>
      <c r="S109" s="22" t="s">
        <v>55</v>
      </c>
      <c r="T109" s="22" t="s">
        <v>1021</v>
      </c>
      <c r="U109" s="22" t="s">
        <v>63</v>
      </c>
      <c r="V109" s="23">
        <v>46112</v>
      </c>
      <c r="W109" s="22" t="s">
        <v>55</v>
      </c>
      <c r="X109" s="22" t="s">
        <v>1022</v>
      </c>
      <c r="Y109" s="22" t="s">
        <v>65</v>
      </c>
      <c r="Z109" s="22" t="s">
        <v>55</v>
      </c>
      <c r="AA109" s="22" t="s">
        <v>155</v>
      </c>
      <c r="AB109" s="22" t="s">
        <v>55</v>
      </c>
      <c r="AC109" s="22" t="s">
        <v>55</v>
      </c>
      <c r="AD109" s="22" t="s">
        <v>118</v>
      </c>
      <c r="AE109" s="22" t="s">
        <v>97</v>
      </c>
      <c r="AF109" s="22" t="s">
        <v>69</v>
      </c>
      <c r="AG109" s="22" t="s">
        <v>55</v>
      </c>
      <c r="AH109" s="22" t="s">
        <v>55</v>
      </c>
      <c r="AI109" s="22" t="s">
        <v>55</v>
      </c>
      <c r="AJ109" s="22" t="s">
        <v>55</v>
      </c>
      <c r="AK109" s="22" t="s">
        <v>55</v>
      </c>
      <c r="AL109" s="22" t="s">
        <v>55</v>
      </c>
      <c r="AM109" s="22" t="s">
        <v>55</v>
      </c>
      <c r="AN109" s="22" t="s">
        <v>55</v>
      </c>
      <c r="AO109" s="22" t="s">
        <v>55</v>
      </c>
      <c r="AP109" s="22" t="s">
        <v>55</v>
      </c>
      <c r="AQ109" s="22" t="s">
        <v>55</v>
      </c>
      <c r="AR109" s="22" t="s">
        <v>55</v>
      </c>
      <c r="AS109" s="22" t="s">
        <v>55</v>
      </c>
      <c r="AT109" s="22" t="s">
        <v>55</v>
      </c>
      <c r="AU109" s="22" t="s">
        <v>55</v>
      </c>
      <c r="AV109" s="22" t="s">
        <v>55</v>
      </c>
      <c r="AW109" s="22" t="s">
        <v>55</v>
      </c>
      <c r="AX109" s="22" t="s">
        <v>55</v>
      </c>
      <c r="AY109" s="22" t="s">
        <v>877</v>
      </c>
    </row>
    <row r="110" spans="1:51" ht="43.5" x14ac:dyDescent="0.35">
      <c r="A110" s="22" t="s">
        <v>1027</v>
      </c>
      <c r="B110" s="22" t="s">
        <v>347</v>
      </c>
      <c r="C110" s="22" t="s">
        <v>116</v>
      </c>
      <c r="D110" s="22" t="s">
        <v>465</v>
      </c>
      <c r="E110" s="22" t="s">
        <v>52</v>
      </c>
      <c r="F110" s="22" t="s">
        <v>1028</v>
      </c>
      <c r="G110" s="22" t="s">
        <v>371</v>
      </c>
      <c r="H110" s="22" t="s">
        <v>372</v>
      </c>
      <c r="I110" s="22" t="s">
        <v>160</v>
      </c>
      <c r="J110" s="22" t="s">
        <v>857</v>
      </c>
      <c r="K110" s="22" t="s">
        <v>572</v>
      </c>
      <c r="L110" s="22" t="s">
        <v>55</v>
      </c>
      <c r="M110" s="22" t="s">
        <v>161</v>
      </c>
      <c r="N110" s="22" t="s">
        <v>55</v>
      </c>
      <c r="O110" s="22" t="s">
        <v>1029</v>
      </c>
      <c r="P110" s="22" t="s">
        <v>988</v>
      </c>
      <c r="Q110" s="22" t="s">
        <v>1030</v>
      </c>
      <c r="R110" s="22" t="s">
        <v>55</v>
      </c>
      <c r="S110" s="22" t="s">
        <v>55</v>
      </c>
      <c r="T110" s="22" t="s">
        <v>1031</v>
      </c>
      <c r="U110" s="22" t="s">
        <v>63</v>
      </c>
      <c r="V110" s="23">
        <v>45991</v>
      </c>
      <c r="W110" s="22" t="s">
        <v>55</v>
      </c>
      <c r="X110" s="22" t="s">
        <v>1032</v>
      </c>
      <c r="Y110" s="22" t="s">
        <v>65</v>
      </c>
      <c r="Z110" s="22" t="s">
        <v>55</v>
      </c>
      <c r="AA110" s="22" t="s">
        <v>152</v>
      </c>
      <c r="AB110" s="22" t="s">
        <v>55</v>
      </c>
      <c r="AC110" s="22" t="s">
        <v>55</v>
      </c>
      <c r="AD110" s="22" t="s">
        <v>118</v>
      </c>
      <c r="AE110" s="22" t="s">
        <v>97</v>
      </c>
      <c r="AF110" s="22" t="s">
        <v>69</v>
      </c>
      <c r="AG110" s="22" t="s">
        <v>55</v>
      </c>
      <c r="AH110" s="22" t="s">
        <v>55</v>
      </c>
      <c r="AI110" s="22" t="s">
        <v>55</v>
      </c>
      <c r="AJ110" s="22" t="s">
        <v>55</v>
      </c>
      <c r="AK110" s="22" t="s">
        <v>55</v>
      </c>
      <c r="AL110" s="22" t="s">
        <v>55</v>
      </c>
      <c r="AM110" s="22" t="s">
        <v>55</v>
      </c>
      <c r="AN110" s="22" t="s">
        <v>55</v>
      </c>
      <c r="AO110" s="22" t="s">
        <v>55</v>
      </c>
      <c r="AP110" s="22" t="s">
        <v>55</v>
      </c>
      <c r="AQ110" s="22" t="s">
        <v>55</v>
      </c>
      <c r="AR110" s="22" t="s">
        <v>55</v>
      </c>
      <c r="AS110" s="22" t="s">
        <v>55</v>
      </c>
      <c r="AT110" s="22" t="s">
        <v>55</v>
      </c>
      <c r="AU110" s="22" t="s">
        <v>55</v>
      </c>
      <c r="AV110" s="22" t="s">
        <v>55</v>
      </c>
      <c r="AW110" s="22" t="s">
        <v>55</v>
      </c>
      <c r="AX110" s="22" t="s">
        <v>55</v>
      </c>
      <c r="AY110" s="22" t="s">
        <v>877</v>
      </c>
    </row>
    <row r="111" spans="1:51" ht="43.5" x14ac:dyDescent="0.35">
      <c r="A111" s="22" t="s">
        <v>1033</v>
      </c>
      <c r="B111" s="22" t="s">
        <v>347</v>
      </c>
      <c r="C111" s="22" t="s">
        <v>116</v>
      </c>
      <c r="D111" s="22" t="s">
        <v>465</v>
      </c>
      <c r="E111" s="22" t="s">
        <v>52</v>
      </c>
      <c r="F111" s="22" t="s">
        <v>1028</v>
      </c>
      <c r="G111" s="22" t="s">
        <v>371</v>
      </c>
      <c r="H111" s="22" t="s">
        <v>372</v>
      </c>
      <c r="I111" s="22" t="s">
        <v>526</v>
      </c>
      <c r="J111" s="22" t="s">
        <v>993</v>
      </c>
      <c r="K111" s="22" t="s">
        <v>572</v>
      </c>
      <c r="L111" s="22" t="s">
        <v>55</v>
      </c>
      <c r="M111" s="22" t="s">
        <v>1016</v>
      </c>
      <c r="N111" s="22" t="s">
        <v>55</v>
      </c>
      <c r="O111" s="22" t="s">
        <v>1029</v>
      </c>
      <c r="P111" s="22" t="s">
        <v>988</v>
      </c>
      <c r="Q111" s="22" t="s">
        <v>1034</v>
      </c>
      <c r="R111" s="22" t="s">
        <v>55</v>
      </c>
      <c r="S111" s="22" t="s">
        <v>55</v>
      </c>
      <c r="T111" s="22" t="s">
        <v>1035</v>
      </c>
      <c r="U111" s="22" t="s">
        <v>63</v>
      </c>
      <c r="V111" s="23">
        <v>45991</v>
      </c>
      <c r="W111" s="22" t="s">
        <v>55</v>
      </c>
      <c r="X111" s="22" t="s">
        <v>1036</v>
      </c>
      <c r="Y111" s="22" t="s">
        <v>65</v>
      </c>
      <c r="Z111" s="22" t="s">
        <v>55</v>
      </c>
      <c r="AA111" s="22" t="s">
        <v>152</v>
      </c>
      <c r="AB111" s="22" t="s">
        <v>55</v>
      </c>
      <c r="AC111" s="22" t="s">
        <v>55</v>
      </c>
      <c r="AD111" s="22" t="s">
        <v>118</v>
      </c>
      <c r="AE111" s="22" t="s">
        <v>97</v>
      </c>
      <c r="AF111" s="22" t="s">
        <v>477</v>
      </c>
      <c r="AG111" s="22" t="s">
        <v>55</v>
      </c>
      <c r="AH111" s="22" t="s">
        <v>55</v>
      </c>
      <c r="AI111" s="22" t="s">
        <v>55</v>
      </c>
      <c r="AJ111" s="22" t="s">
        <v>55</v>
      </c>
      <c r="AK111" s="22" t="s">
        <v>55</v>
      </c>
      <c r="AL111" s="22" t="s">
        <v>55</v>
      </c>
      <c r="AM111" s="22" t="s">
        <v>55</v>
      </c>
      <c r="AN111" s="22" t="s">
        <v>55</v>
      </c>
      <c r="AO111" s="22" t="s">
        <v>55</v>
      </c>
      <c r="AP111" s="22" t="s">
        <v>55</v>
      </c>
      <c r="AQ111" s="22" t="s">
        <v>55</v>
      </c>
      <c r="AR111" s="22" t="s">
        <v>55</v>
      </c>
      <c r="AS111" s="22" t="s">
        <v>55</v>
      </c>
      <c r="AT111" s="22" t="s">
        <v>55</v>
      </c>
      <c r="AU111" s="22" t="s">
        <v>55</v>
      </c>
      <c r="AV111" s="22" t="s">
        <v>55</v>
      </c>
      <c r="AW111" s="22" t="s">
        <v>55</v>
      </c>
      <c r="AX111" s="22" t="s">
        <v>55</v>
      </c>
      <c r="AY111" s="22" t="s">
        <v>877</v>
      </c>
    </row>
    <row r="112" spans="1:51" ht="43.5" x14ac:dyDescent="0.35">
      <c r="A112" s="22" t="s">
        <v>1037</v>
      </c>
      <c r="B112" s="22" t="s">
        <v>347</v>
      </c>
      <c r="C112" s="22" t="s">
        <v>116</v>
      </c>
      <c r="D112" s="22" t="s">
        <v>465</v>
      </c>
      <c r="E112" s="22" t="s">
        <v>52</v>
      </c>
      <c r="F112" s="22" t="s">
        <v>1028</v>
      </c>
      <c r="G112" s="22" t="s">
        <v>371</v>
      </c>
      <c r="H112" s="22" t="s">
        <v>372</v>
      </c>
      <c r="I112" s="22" t="s">
        <v>526</v>
      </c>
      <c r="J112" s="22" t="s">
        <v>822</v>
      </c>
      <c r="K112" s="22" t="s">
        <v>572</v>
      </c>
      <c r="L112" s="22" t="s">
        <v>55</v>
      </c>
      <c r="M112" s="22" t="s">
        <v>252</v>
      </c>
      <c r="N112" s="22" t="s">
        <v>55</v>
      </c>
      <c r="O112" s="22" t="s">
        <v>1029</v>
      </c>
      <c r="P112" s="22" t="s">
        <v>988</v>
      </c>
      <c r="Q112" s="22" t="s">
        <v>1038</v>
      </c>
      <c r="R112" s="22" t="s">
        <v>55</v>
      </c>
      <c r="S112" s="22" t="s">
        <v>55</v>
      </c>
      <c r="T112" s="22" t="s">
        <v>1039</v>
      </c>
      <c r="U112" s="22" t="s">
        <v>63</v>
      </c>
      <c r="V112" s="23">
        <v>45991</v>
      </c>
      <c r="W112" s="22" t="s">
        <v>55</v>
      </c>
      <c r="X112" s="22" t="s">
        <v>1040</v>
      </c>
      <c r="Y112" s="22" t="s">
        <v>65</v>
      </c>
      <c r="Z112" s="22" t="s">
        <v>55</v>
      </c>
      <c r="AA112" s="22" t="s">
        <v>152</v>
      </c>
      <c r="AB112" s="22" t="s">
        <v>55</v>
      </c>
      <c r="AC112" s="22" t="s">
        <v>55</v>
      </c>
      <c r="AD112" s="22" t="s">
        <v>118</v>
      </c>
      <c r="AE112" s="22" t="s">
        <v>97</v>
      </c>
      <c r="AF112" s="22" t="s">
        <v>98</v>
      </c>
      <c r="AG112" s="22" t="s">
        <v>55</v>
      </c>
      <c r="AH112" s="22" t="s">
        <v>55</v>
      </c>
      <c r="AI112" s="22" t="s">
        <v>55</v>
      </c>
      <c r="AJ112" s="22" t="s">
        <v>55</v>
      </c>
      <c r="AK112" s="22" t="s">
        <v>55</v>
      </c>
      <c r="AL112" s="22" t="s">
        <v>55</v>
      </c>
      <c r="AM112" s="22" t="s">
        <v>55</v>
      </c>
      <c r="AN112" s="22" t="s">
        <v>55</v>
      </c>
      <c r="AO112" s="22" t="s">
        <v>55</v>
      </c>
      <c r="AP112" s="22" t="s">
        <v>55</v>
      </c>
      <c r="AQ112" s="22" t="s">
        <v>55</v>
      </c>
      <c r="AR112" s="22" t="s">
        <v>55</v>
      </c>
      <c r="AS112" s="22" t="s">
        <v>55</v>
      </c>
      <c r="AT112" s="22" t="s">
        <v>55</v>
      </c>
      <c r="AU112" s="22" t="s">
        <v>55</v>
      </c>
      <c r="AV112" s="22" t="s">
        <v>55</v>
      </c>
      <c r="AW112" s="22" t="s">
        <v>55</v>
      </c>
      <c r="AX112" s="22" t="s">
        <v>55</v>
      </c>
      <c r="AY112" s="22" t="s">
        <v>877</v>
      </c>
    </row>
    <row r="113" spans="1:51" ht="43.5" x14ac:dyDescent="0.35">
      <c r="A113" s="22" t="s">
        <v>1041</v>
      </c>
      <c r="B113" s="22" t="s">
        <v>347</v>
      </c>
      <c r="C113" s="22" t="s">
        <v>116</v>
      </c>
      <c r="D113" s="22" t="s">
        <v>465</v>
      </c>
      <c r="E113" s="22" t="s">
        <v>52</v>
      </c>
      <c r="F113" s="22" t="s">
        <v>1028</v>
      </c>
      <c r="G113" s="22" t="s">
        <v>371</v>
      </c>
      <c r="H113" s="22" t="s">
        <v>372</v>
      </c>
      <c r="I113" s="22" t="s">
        <v>526</v>
      </c>
      <c r="J113" s="22" t="s">
        <v>993</v>
      </c>
      <c r="K113" s="22" t="s">
        <v>572</v>
      </c>
      <c r="L113" s="22" t="s">
        <v>55</v>
      </c>
      <c r="M113" s="22" t="s">
        <v>58</v>
      </c>
      <c r="N113" s="22" t="s">
        <v>55</v>
      </c>
      <c r="O113" s="22" t="s">
        <v>1029</v>
      </c>
      <c r="P113" s="22" t="s">
        <v>988</v>
      </c>
      <c r="Q113" s="22" t="s">
        <v>1038</v>
      </c>
      <c r="R113" s="22" t="s">
        <v>55</v>
      </c>
      <c r="S113" s="22" t="s">
        <v>55</v>
      </c>
      <c r="T113" s="22" t="s">
        <v>1039</v>
      </c>
      <c r="U113" s="22" t="s">
        <v>63</v>
      </c>
      <c r="V113" s="23">
        <v>45991</v>
      </c>
      <c r="W113" s="22" t="s">
        <v>55</v>
      </c>
      <c r="X113" s="22" t="s">
        <v>1040</v>
      </c>
      <c r="Y113" s="22" t="s">
        <v>65</v>
      </c>
      <c r="Z113" s="22" t="s">
        <v>55</v>
      </c>
      <c r="AA113" s="22" t="s">
        <v>152</v>
      </c>
      <c r="AB113" s="22" t="s">
        <v>55</v>
      </c>
      <c r="AC113" s="22" t="s">
        <v>55</v>
      </c>
      <c r="AD113" s="22" t="s">
        <v>118</v>
      </c>
      <c r="AE113" s="22" t="s">
        <v>97</v>
      </c>
      <c r="AF113" s="22" t="s">
        <v>69</v>
      </c>
      <c r="AG113" s="22" t="s">
        <v>55</v>
      </c>
      <c r="AH113" s="22" t="s">
        <v>55</v>
      </c>
      <c r="AI113" s="22" t="s">
        <v>55</v>
      </c>
      <c r="AJ113" s="22" t="s">
        <v>55</v>
      </c>
      <c r="AK113" s="22" t="s">
        <v>55</v>
      </c>
      <c r="AL113" s="22" t="s">
        <v>55</v>
      </c>
      <c r="AM113" s="22" t="s">
        <v>55</v>
      </c>
      <c r="AN113" s="22" t="s">
        <v>55</v>
      </c>
      <c r="AO113" s="22" t="s">
        <v>55</v>
      </c>
      <c r="AP113" s="22" t="s">
        <v>55</v>
      </c>
      <c r="AQ113" s="22" t="s">
        <v>55</v>
      </c>
      <c r="AR113" s="22" t="s">
        <v>55</v>
      </c>
      <c r="AS113" s="22" t="s">
        <v>55</v>
      </c>
      <c r="AT113" s="22" t="s">
        <v>55</v>
      </c>
      <c r="AU113" s="22" t="s">
        <v>55</v>
      </c>
      <c r="AV113" s="22" t="s">
        <v>55</v>
      </c>
      <c r="AW113" s="22" t="s">
        <v>55</v>
      </c>
      <c r="AX113" s="22" t="s">
        <v>55</v>
      </c>
      <c r="AY113" s="22" t="s">
        <v>877</v>
      </c>
    </row>
    <row r="114" spans="1:51" ht="43.5" x14ac:dyDescent="0.35">
      <c r="A114" s="22" t="s">
        <v>1042</v>
      </c>
      <c r="B114" s="22" t="s">
        <v>347</v>
      </c>
      <c r="C114" s="22" t="s">
        <v>116</v>
      </c>
      <c r="D114" s="22" t="s">
        <v>465</v>
      </c>
      <c r="E114" s="22" t="s">
        <v>52</v>
      </c>
      <c r="F114" s="22" t="s">
        <v>1028</v>
      </c>
      <c r="G114" s="22" t="s">
        <v>371</v>
      </c>
      <c r="H114" s="22" t="s">
        <v>372</v>
      </c>
      <c r="I114" s="22" t="s">
        <v>361</v>
      </c>
      <c r="J114" s="22" t="s">
        <v>253</v>
      </c>
      <c r="K114" s="22" t="s">
        <v>572</v>
      </c>
      <c r="L114" s="22" t="s">
        <v>55</v>
      </c>
      <c r="M114" s="22" t="s">
        <v>158</v>
      </c>
      <c r="N114" s="22" t="s">
        <v>55</v>
      </c>
      <c r="O114" s="22" t="s">
        <v>1029</v>
      </c>
      <c r="P114" s="22" t="s">
        <v>988</v>
      </c>
      <c r="Q114" s="22" t="s">
        <v>1038</v>
      </c>
      <c r="R114" s="22" t="s">
        <v>55</v>
      </c>
      <c r="S114" s="22" t="s">
        <v>55</v>
      </c>
      <c r="T114" s="22" t="s">
        <v>1039</v>
      </c>
      <c r="U114" s="22" t="s">
        <v>63</v>
      </c>
      <c r="V114" s="23">
        <v>45991</v>
      </c>
      <c r="W114" s="22" t="s">
        <v>55</v>
      </c>
      <c r="X114" s="22" t="s">
        <v>1040</v>
      </c>
      <c r="Y114" s="22" t="s">
        <v>65</v>
      </c>
      <c r="Z114" s="22" t="s">
        <v>55</v>
      </c>
      <c r="AA114" s="22" t="s">
        <v>152</v>
      </c>
      <c r="AB114" s="22" t="s">
        <v>55</v>
      </c>
      <c r="AC114" s="22" t="s">
        <v>55</v>
      </c>
      <c r="AD114" s="22" t="s">
        <v>118</v>
      </c>
      <c r="AE114" s="22" t="s">
        <v>97</v>
      </c>
      <c r="AF114" s="22" t="s">
        <v>69</v>
      </c>
      <c r="AG114" s="22" t="s">
        <v>55</v>
      </c>
      <c r="AH114" s="22" t="s">
        <v>55</v>
      </c>
      <c r="AI114" s="22" t="s">
        <v>55</v>
      </c>
      <c r="AJ114" s="22" t="s">
        <v>55</v>
      </c>
      <c r="AK114" s="22" t="s">
        <v>55</v>
      </c>
      <c r="AL114" s="22" t="s">
        <v>55</v>
      </c>
      <c r="AM114" s="22" t="s">
        <v>55</v>
      </c>
      <c r="AN114" s="22" t="s">
        <v>55</v>
      </c>
      <c r="AO114" s="22" t="s">
        <v>55</v>
      </c>
      <c r="AP114" s="22" t="s">
        <v>55</v>
      </c>
      <c r="AQ114" s="22" t="s">
        <v>55</v>
      </c>
      <c r="AR114" s="22" t="s">
        <v>55</v>
      </c>
      <c r="AS114" s="22" t="s">
        <v>55</v>
      </c>
      <c r="AT114" s="22" t="s">
        <v>55</v>
      </c>
      <c r="AU114" s="22" t="s">
        <v>55</v>
      </c>
      <c r="AV114" s="22" t="s">
        <v>55</v>
      </c>
      <c r="AW114" s="22" t="s">
        <v>55</v>
      </c>
      <c r="AX114" s="22" t="s">
        <v>55</v>
      </c>
      <c r="AY114" s="22" t="s">
        <v>877</v>
      </c>
    </row>
    <row r="115" spans="1:51" ht="43.5" x14ac:dyDescent="0.35">
      <c r="A115" s="22" t="s">
        <v>1043</v>
      </c>
      <c r="B115" s="22" t="s">
        <v>347</v>
      </c>
      <c r="C115" s="22" t="s">
        <v>116</v>
      </c>
      <c r="D115" s="22" t="s">
        <v>465</v>
      </c>
      <c r="E115" s="22" t="s">
        <v>52</v>
      </c>
      <c r="F115" s="22" t="s">
        <v>1044</v>
      </c>
      <c r="G115" s="22" t="s">
        <v>94</v>
      </c>
      <c r="H115" s="22" t="s">
        <v>449</v>
      </c>
      <c r="I115" s="22" t="s">
        <v>361</v>
      </c>
      <c r="J115" s="22" t="s">
        <v>1045</v>
      </c>
      <c r="K115" s="22" t="s">
        <v>584</v>
      </c>
      <c r="L115" s="22" t="s">
        <v>55</v>
      </c>
      <c r="M115" s="22" t="s">
        <v>1046</v>
      </c>
      <c r="N115" s="22" t="s">
        <v>55</v>
      </c>
      <c r="O115" s="22" t="s">
        <v>1047</v>
      </c>
      <c r="P115" s="22" t="s">
        <v>1048</v>
      </c>
      <c r="Q115" s="22" t="s">
        <v>1049</v>
      </c>
      <c r="R115" s="22" t="s">
        <v>55</v>
      </c>
      <c r="S115" s="22" t="s">
        <v>55</v>
      </c>
      <c r="T115" s="22" t="s">
        <v>1050</v>
      </c>
      <c r="U115" s="22" t="s">
        <v>132</v>
      </c>
      <c r="V115" s="23">
        <v>45991</v>
      </c>
      <c r="W115" s="22" t="s">
        <v>55</v>
      </c>
      <c r="X115" s="22" t="s">
        <v>1051</v>
      </c>
      <c r="Y115" s="22" t="s">
        <v>65</v>
      </c>
      <c r="Z115" s="22" t="s">
        <v>55</v>
      </c>
      <c r="AA115" s="22" t="s">
        <v>152</v>
      </c>
      <c r="AB115" s="22" t="s">
        <v>55</v>
      </c>
      <c r="AC115" s="22" t="s">
        <v>55</v>
      </c>
      <c r="AD115" s="22" t="s">
        <v>118</v>
      </c>
      <c r="AE115" s="22" t="s">
        <v>97</v>
      </c>
      <c r="AF115" s="22" t="s">
        <v>1052</v>
      </c>
      <c r="AG115" s="22" t="s">
        <v>55</v>
      </c>
      <c r="AH115" s="22" t="s">
        <v>55</v>
      </c>
      <c r="AI115" s="22" t="s">
        <v>55</v>
      </c>
      <c r="AJ115" s="22" t="s">
        <v>55</v>
      </c>
      <c r="AK115" s="22" t="s">
        <v>55</v>
      </c>
      <c r="AL115" s="22" t="s">
        <v>55</v>
      </c>
      <c r="AM115" s="22" t="s">
        <v>55</v>
      </c>
      <c r="AN115" s="22" t="s">
        <v>55</v>
      </c>
      <c r="AO115" s="22" t="s">
        <v>55</v>
      </c>
      <c r="AP115" s="22" t="s">
        <v>55</v>
      </c>
      <c r="AQ115" s="22" t="s">
        <v>55</v>
      </c>
      <c r="AR115" s="22" t="s">
        <v>55</v>
      </c>
      <c r="AS115" s="22" t="s">
        <v>55</v>
      </c>
      <c r="AT115" s="22" t="s">
        <v>55</v>
      </c>
      <c r="AU115" s="22" t="s">
        <v>55</v>
      </c>
      <c r="AV115" s="22" t="s">
        <v>55</v>
      </c>
      <c r="AW115" s="22" t="s">
        <v>55</v>
      </c>
      <c r="AX115" s="22" t="s">
        <v>55</v>
      </c>
      <c r="AY115" s="22" t="s">
        <v>877</v>
      </c>
    </row>
    <row r="116" spans="1:51" ht="29" x14ac:dyDescent="0.35">
      <c r="A116" s="22" t="s">
        <v>1053</v>
      </c>
      <c r="B116" s="22" t="s">
        <v>347</v>
      </c>
      <c r="C116" s="22" t="s">
        <v>116</v>
      </c>
      <c r="D116" s="22" t="s">
        <v>465</v>
      </c>
      <c r="E116" s="22" t="s">
        <v>52</v>
      </c>
      <c r="F116" s="22" t="s">
        <v>1044</v>
      </c>
      <c r="G116" s="22" t="s">
        <v>94</v>
      </c>
      <c r="H116" s="22" t="s">
        <v>449</v>
      </c>
      <c r="I116" s="22" t="s">
        <v>361</v>
      </c>
      <c r="J116" s="22" t="s">
        <v>253</v>
      </c>
      <c r="K116" s="22" t="s">
        <v>868</v>
      </c>
      <c r="L116" s="22" t="s">
        <v>55</v>
      </c>
      <c r="M116" s="22" t="s">
        <v>136</v>
      </c>
      <c r="N116" s="22" t="s">
        <v>55</v>
      </c>
      <c r="O116" s="22" t="s">
        <v>1047</v>
      </c>
      <c r="P116" s="22" t="s">
        <v>1054</v>
      </c>
      <c r="Q116" s="22" t="s">
        <v>1055</v>
      </c>
      <c r="R116" s="22" t="s">
        <v>55</v>
      </c>
      <c r="S116" s="22" t="s">
        <v>55</v>
      </c>
      <c r="T116" s="22" t="s">
        <v>1056</v>
      </c>
      <c r="U116" s="22" t="s">
        <v>132</v>
      </c>
      <c r="V116" s="23">
        <v>45991</v>
      </c>
      <c r="W116" s="22" t="s">
        <v>55</v>
      </c>
      <c r="X116" s="22" t="s">
        <v>1057</v>
      </c>
      <c r="Y116" s="22" t="s">
        <v>65</v>
      </c>
      <c r="Z116" s="22" t="s">
        <v>55</v>
      </c>
      <c r="AA116" s="22" t="s">
        <v>152</v>
      </c>
      <c r="AB116" s="22" t="s">
        <v>55</v>
      </c>
      <c r="AC116" s="22" t="s">
        <v>55</v>
      </c>
      <c r="AD116" s="22" t="s">
        <v>118</v>
      </c>
      <c r="AE116" s="22" t="s">
        <v>97</v>
      </c>
      <c r="AF116" s="22" t="s">
        <v>98</v>
      </c>
      <c r="AG116" s="22" t="s">
        <v>55</v>
      </c>
      <c r="AH116" s="22" t="s">
        <v>55</v>
      </c>
      <c r="AI116" s="22" t="s">
        <v>55</v>
      </c>
      <c r="AJ116" s="22" t="s">
        <v>55</v>
      </c>
      <c r="AK116" s="22" t="s">
        <v>55</v>
      </c>
      <c r="AL116" s="22" t="s">
        <v>55</v>
      </c>
      <c r="AM116" s="22" t="s">
        <v>55</v>
      </c>
      <c r="AN116" s="22" t="s">
        <v>55</v>
      </c>
      <c r="AO116" s="22" t="s">
        <v>55</v>
      </c>
      <c r="AP116" s="22" t="s">
        <v>55</v>
      </c>
      <c r="AQ116" s="22" t="s">
        <v>55</v>
      </c>
      <c r="AR116" s="22" t="s">
        <v>55</v>
      </c>
      <c r="AS116" s="22" t="s">
        <v>55</v>
      </c>
      <c r="AT116" s="22" t="s">
        <v>55</v>
      </c>
      <c r="AU116" s="22" t="s">
        <v>55</v>
      </c>
      <c r="AV116" s="22" t="s">
        <v>55</v>
      </c>
      <c r="AW116" s="22" t="s">
        <v>55</v>
      </c>
      <c r="AX116" s="22" t="s">
        <v>55</v>
      </c>
      <c r="AY116" s="22" t="s">
        <v>877</v>
      </c>
    </row>
    <row r="117" spans="1:51" ht="29" x14ac:dyDescent="0.35">
      <c r="A117" s="22" t="s">
        <v>1058</v>
      </c>
      <c r="B117" s="22" t="s">
        <v>347</v>
      </c>
      <c r="C117" s="22" t="s">
        <v>116</v>
      </c>
      <c r="D117" s="22" t="s">
        <v>465</v>
      </c>
      <c r="E117" s="22" t="s">
        <v>52</v>
      </c>
      <c r="F117" s="22" t="s">
        <v>1044</v>
      </c>
      <c r="G117" s="22" t="s">
        <v>94</v>
      </c>
      <c r="H117" s="22" t="s">
        <v>449</v>
      </c>
      <c r="I117" s="22" t="s">
        <v>361</v>
      </c>
      <c r="J117" s="22" t="s">
        <v>253</v>
      </c>
      <c r="K117" s="22" t="s">
        <v>868</v>
      </c>
      <c r="L117" s="22" t="s">
        <v>55</v>
      </c>
      <c r="M117" s="22" t="s">
        <v>1059</v>
      </c>
      <c r="N117" s="22" t="s">
        <v>55</v>
      </c>
      <c r="O117" s="22" t="s">
        <v>1047</v>
      </c>
      <c r="P117" s="22" t="s">
        <v>1060</v>
      </c>
      <c r="Q117" s="22" t="s">
        <v>1061</v>
      </c>
      <c r="R117" s="22" t="s">
        <v>55</v>
      </c>
      <c r="S117" s="22" t="s">
        <v>55</v>
      </c>
      <c r="T117" s="22" t="s">
        <v>1062</v>
      </c>
      <c r="U117" s="22" t="s">
        <v>132</v>
      </c>
      <c r="V117" s="23">
        <v>45991</v>
      </c>
      <c r="W117" s="22" t="s">
        <v>55</v>
      </c>
      <c r="X117" s="22" t="s">
        <v>1051</v>
      </c>
      <c r="Y117" s="22" t="s">
        <v>65</v>
      </c>
      <c r="Z117" s="22" t="s">
        <v>55</v>
      </c>
      <c r="AA117" s="22" t="s">
        <v>152</v>
      </c>
      <c r="AB117" s="22" t="s">
        <v>55</v>
      </c>
      <c r="AC117" s="22" t="s">
        <v>55</v>
      </c>
      <c r="AD117" s="22" t="s">
        <v>118</v>
      </c>
      <c r="AE117" s="22" t="s">
        <v>97</v>
      </c>
      <c r="AF117" s="22" t="s">
        <v>98</v>
      </c>
      <c r="AG117" s="22" t="s">
        <v>55</v>
      </c>
      <c r="AH117" s="22" t="s">
        <v>55</v>
      </c>
      <c r="AI117" s="22" t="s">
        <v>55</v>
      </c>
      <c r="AJ117" s="22" t="s">
        <v>55</v>
      </c>
      <c r="AK117" s="22" t="s">
        <v>55</v>
      </c>
      <c r="AL117" s="22" t="s">
        <v>55</v>
      </c>
      <c r="AM117" s="22" t="s">
        <v>55</v>
      </c>
      <c r="AN117" s="22" t="s">
        <v>55</v>
      </c>
      <c r="AO117" s="22" t="s">
        <v>55</v>
      </c>
      <c r="AP117" s="22" t="s">
        <v>55</v>
      </c>
      <c r="AQ117" s="22" t="s">
        <v>55</v>
      </c>
      <c r="AR117" s="22" t="s">
        <v>55</v>
      </c>
      <c r="AS117" s="22" t="s">
        <v>55</v>
      </c>
      <c r="AT117" s="22" t="s">
        <v>55</v>
      </c>
      <c r="AU117" s="22" t="s">
        <v>55</v>
      </c>
      <c r="AV117" s="22" t="s">
        <v>55</v>
      </c>
      <c r="AW117" s="22" t="s">
        <v>55</v>
      </c>
      <c r="AX117" s="22" t="s">
        <v>55</v>
      </c>
      <c r="AY117" s="22" t="s">
        <v>877</v>
      </c>
    </row>
    <row r="118" spans="1:51" ht="72.5" x14ac:dyDescent="0.35">
      <c r="A118" s="22" t="s">
        <v>1064</v>
      </c>
      <c r="B118" s="22" t="s">
        <v>347</v>
      </c>
      <c r="C118" s="22" t="s">
        <v>116</v>
      </c>
      <c r="D118" s="22" t="s">
        <v>465</v>
      </c>
      <c r="E118" s="22" t="s">
        <v>52</v>
      </c>
      <c r="F118" s="22" t="s">
        <v>1065</v>
      </c>
      <c r="G118" s="22" t="s">
        <v>94</v>
      </c>
      <c r="H118" s="22" t="s">
        <v>95</v>
      </c>
      <c r="I118" s="22" t="s">
        <v>160</v>
      </c>
      <c r="J118" s="22" t="s">
        <v>857</v>
      </c>
      <c r="K118" s="22" t="s">
        <v>572</v>
      </c>
      <c r="L118" s="22" t="s">
        <v>55</v>
      </c>
      <c r="M118" s="22" t="s">
        <v>161</v>
      </c>
      <c r="N118" s="22" t="s">
        <v>55</v>
      </c>
      <c r="O118" s="22" t="s">
        <v>1066</v>
      </c>
      <c r="P118" s="22" t="s">
        <v>1067</v>
      </c>
      <c r="Q118" s="22" t="s">
        <v>1068</v>
      </c>
      <c r="R118" s="22" t="s">
        <v>55</v>
      </c>
      <c r="S118" s="22" t="s">
        <v>55</v>
      </c>
      <c r="T118" s="22" t="s">
        <v>1069</v>
      </c>
      <c r="U118" s="22" t="s">
        <v>63</v>
      </c>
      <c r="V118" s="23">
        <v>45961</v>
      </c>
      <c r="W118" s="22" t="s">
        <v>55</v>
      </c>
      <c r="X118" s="22" t="s">
        <v>991</v>
      </c>
      <c r="Y118" s="22" t="s">
        <v>65</v>
      </c>
      <c r="Z118" s="22" t="s">
        <v>55</v>
      </c>
      <c r="AA118" s="22" t="s">
        <v>66</v>
      </c>
      <c r="AB118" s="22" t="s">
        <v>55</v>
      </c>
      <c r="AC118" s="22" t="s">
        <v>55</v>
      </c>
      <c r="AD118" s="22" t="s">
        <v>118</v>
      </c>
      <c r="AE118" s="22" t="s">
        <v>97</v>
      </c>
      <c r="AF118" s="22" t="s">
        <v>69</v>
      </c>
      <c r="AG118" s="22" t="s">
        <v>55</v>
      </c>
      <c r="AH118" s="22" t="s">
        <v>55</v>
      </c>
      <c r="AI118" s="22" t="s">
        <v>55</v>
      </c>
      <c r="AJ118" s="22" t="s">
        <v>55</v>
      </c>
      <c r="AK118" s="22" t="s">
        <v>55</v>
      </c>
      <c r="AL118" s="22" t="s">
        <v>55</v>
      </c>
      <c r="AM118" s="22" t="s">
        <v>55</v>
      </c>
      <c r="AN118" s="22" t="s">
        <v>55</v>
      </c>
      <c r="AO118" s="22" t="s">
        <v>55</v>
      </c>
      <c r="AP118" s="22" t="s">
        <v>55</v>
      </c>
      <c r="AQ118" s="22" t="s">
        <v>55</v>
      </c>
      <c r="AR118" s="22" t="s">
        <v>55</v>
      </c>
      <c r="AS118" s="22" t="s">
        <v>55</v>
      </c>
      <c r="AT118" s="22" t="s">
        <v>55</v>
      </c>
      <c r="AU118" s="22" t="s">
        <v>55</v>
      </c>
      <c r="AV118" s="22" t="s">
        <v>55</v>
      </c>
      <c r="AW118" s="22" t="s">
        <v>55</v>
      </c>
      <c r="AX118" s="22" t="s">
        <v>55</v>
      </c>
      <c r="AY118" s="22" t="s">
        <v>1063</v>
      </c>
    </row>
    <row r="119" spans="1:51" ht="145" x14ac:dyDescent="0.35">
      <c r="A119" s="22" t="s">
        <v>1070</v>
      </c>
      <c r="B119" s="22" t="s">
        <v>347</v>
      </c>
      <c r="C119" s="22" t="s">
        <v>116</v>
      </c>
      <c r="D119" s="22" t="s">
        <v>465</v>
      </c>
      <c r="E119" s="22" t="s">
        <v>52</v>
      </c>
      <c r="F119" s="22" t="s">
        <v>1065</v>
      </c>
      <c r="G119" s="22" t="s">
        <v>94</v>
      </c>
      <c r="H119" s="22" t="s">
        <v>95</v>
      </c>
      <c r="I119" s="22" t="s">
        <v>526</v>
      </c>
      <c r="J119" s="22" t="s">
        <v>822</v>
      </c>
      <c r="K119" s="22" t="s">
        <v>572</v>
      </c>
      <c r="L119" s="22" t="s">
        <v>55</v>
      </c>
      <c r="M119" s="22" t="s">
        <v>252</v>
      </c>
      <c r="N119" s="22" t="s">
        <v>55</v>
      </c>
      <c r="O119" s="22" t="s">
        <v>1066</v>
      </c>
      <c r="P119" s="22" t="s">
        <v>1067</v>
      </c>
      <c r="Q119" s="22" t="s">
        <v>1071</v>
      </c>
      <c r="R119" s="22" t="s">
        <v>55</v>
      </c>
      <c r="S119" s="22" t="s">
        <v>55</v>
      </c>
      <c r="T119" s="22" t="s">
        <v>1069</v>
      </c>
      <c r="U119" s="22" t="s">
        <v>63</v>
      </c>
      <c r="V119" s="23">
        <v>45961</v>
      </c>
      <c r="W119" s="22" t="s">
        <v>55</v>
      </c>
      <c r="X119" s="22" t="s">
        <v>991</v>
      </c>
      <c r="Y119" s="22" t="s">
        <v>65</v>
      </c>
      <c r="Z119" s="22" t="s">
        <v>55</v>
      </c>
      <c r="AA119" s="22" t="s">
        <v>66</v>
      </c>
      <c r="AB119" s="22" t="s">
        <v>55</v>
      </c>
      <c r="AC119" s="22" t="s">
        <v>55</v>
      </c>
      <c r="AD119" s="22" t="s">
        <v>118</v>
      </c>
      <c r="AE119" s="22" t="s">
        <v>97</v>
      </c>
      <c r="AF119" s="22" t="s">
        <v>98</v>
      </c>
      <c r="AG119" s="22" t="s">
        <v>55</v>
      </c>
      <c r="AH119" s="22" t="s">
        <v>55</v>
      </c>
      <c r="AI119" s="22" t="s">
        <v>55</v>
      </c>
      <c r="AJ119" s="22" t="s">
        <v>55</v>
      </c>
      <c r="AK119" s="22" t="s">
        <v>55</v>
      </c>
      <c r="AL119" s="22" t="s">
        <v>55</v>
      </c>
      <c r="AM119" s="22" t="s">
        <v>55</v>
      </c>
      <c r="AN119" s="22" t="s">
        <v>55</v>
      </c>
      <c r="AO119" s="22" t="s">
        <v>55</v>
      </c>
      <c r="AP119" s="22" t="s">
        <v>55</v>
      </c>
      <c r="AQ119" s="22" t="s">
        <v>55</v>
      </c>
      <c r="AR119" s="22" t="s">
        <v>55</v>
      </c>
      <c r="AS119" s="22" t="s">
        <v>55</v>
      </c>
      <c r="AT119" s="22" t="s">
        <v>55</v>
      </c>
      <c r="AU119" s="22" t="s">
        <v>55</v>
      </c>
      <c r="AV119" s="22" t="s">
        <v>55</v>
      </c>
      <c r="AW119" s="22" t="s">
        <v>55</v>
      </c>
      <c r="AX119" s="22" t="s">
        <v>55</v>
      </c>
      <c r="AY119" s="22" t="s">
        <v>1063</v>
      </c>
    </row>
    <row r="120" spans="1:51" ht="58" x14ac:dyDescent="0.35">
      <c r="A120" s="22" t="s">
        <v>1072</v>
      </c>
      <c r="B120" s="22" t="s">
        <v>347</v>
      </c>
      <c r="C120" s="22" t="s">
        <v>116</v>
      </c>
      <c r="D120" s="22" t="s">
        <v>465</v>
      </c>
      <c r="E120" s="22" t="s">
        <v>52</v>
      </c>
      <c r="F120" s="22" t="s">
        <v>1065</v>
      </c>
      <c r="G120" s="22" t="s">
        <v>94</v>
      </c>
      <c r="H120" s="22" t="s">
        <v>95</v>
      </c>
      <c r="I120" s="22" t="s">
        <v>526</v>
      </c>
      <c r="J120" s="22" t="s">
        <v>993</v>
      </c>
      <c r="K120" s="22" t="s">
        <v>572</v>
      </c>
      <c r="L120" s="22" t="s">
        <v>55</v>
      </c>
      <c r="M120" s="22" t="s">
        <v>1073</v>
      </c>
      <c r="N120" s="22" t="s">
        <v>55</v>
      </c>
      <c r="O120" s="22" t="s">
        <v>1066</v>
      </c>
      <c r="P120" s="22" t="s">
        <v>1067</v>
      </c>
      <c r="Q120" s="22" t="s">
        <v>1074</v>
      </c>
      <c r="R120" s="22" t="s">
        <v>55</v>
      </c>
      <c r="S120" s="22" t="s">
        <v>55</v>
      </c>
      <c r="T120" s="22" t="s">
        <v>1069</v>
      </c>
      <c r="U120" s="22" t="s">
        <v>63</v>
      </c>
      <c r="V120" s="23">
        <v>45961</v>
      </c>
      <c r="W120" s="22" t="s">
        <v>55</v>
      </c>
      <c r="X120" s="22" t="s">
        <v>991</v>
      </c>
      <c r="Y120" s="22" t="s">
        <v>65</v>
      </c>
      <c r="Z120" s="22" t="s">
        <v>55</v>
      </c>
      <c r="AA120" s="22" t="s">
        <v>66</v>
      </c>
      <c r="AB120" s="22" t="s">
        <v>55</v>
      </c>
      <c r="AC120" s="22" t="s">
        <v>55</v>
      </c>
      <c r="AD120" s="22" t="s">
        <v>118</v>
      </c>
      <c r="AE120" s="22" t="s">
        <v>97</v>
      </c>
      <c r="AF120" s="22" t="s">
        <v>69</v>
      </c>
      <c r="AG120" s="22" t="s">
        <v>55</v>
      </c>
      <c r="AH120" s="22" t="s">
        <v>55</v>
      </c>
      <c r="AI120" s="22" t="s">
        <v>55</v>
      </c>
      <c r="AJ120" s="22" t="s">
        <v>55</v>
      </c>
      <c r="AK120" s="22" t="s">
        <v>55</v>
      </c>
      <c r="AL120" s="22" t="s">
        <v>55</v>
      </c>
      <c r="AM120" s="22" t="s">
        <v>55</v>
      </c>
      <c r="AN120" s="22" t="s">
        <v>55</v>
      </c>
      <c r="AO120" s="22" t="s">
        <v>55</v>
      </c>
      <c r="AP120" s="22" t="s">
        <v>55</v>
      </c>
      <c r="AQ120" s="22" t="s">
        <v>55</v>
      </c>
      <c r="AR120" s="22" t="s">
        <v>55</v>
      </c>
      <c r="AS120" s="22" t="s">
        <v>55</v>
      </c>
      <c r="AT120" s="22" t="s">
        <v>55</v>
      </c>
      <c r="AU120" s="22" t="s">
        <v>55</v>
      </c>
      <c r="AV120" s="22" t="s">
        <v>55</v>
      </c>
      <c r="AW120" s="22" t="s">
        <v>55</v>
      </c>
      <c r="AX120" s="22" t="s">
        <v>55</v>
      </c>
      <c r="AY120" s="22" t="s">
        <v>1063</v>
      </c>
    </row>
    <row r="121" spans="1:51" ht="58" x14ac:dyDescent="0.35">
      <c r="A121" s="22" t="s">
        <v>1075</v>
      </c>
      <c r="B121" s="22" t="s">
        <v>347</v>
      </c>
      <c r="C121" s="22" t="s">
        <v>116</v>
      </c>
      <c r="D121" s="22" t="s">
        <v>465</v>
      </c>
      <c r="E121" s="22" t="s">
        <v>52</v>
      </c>
      <c r="F121" s="22" t="s">
        <v>1065</v>
      </c>
      <c r="G121" s="22" t="s">
        <v>94</v>
      </c>
      <c r="H121" s="22" t="s">
        <v>95</v>
      </c>
      <c r="I121" s="22" t="s">
        <v>526</v>
      </c>
      <c r="J121" s="22" t="s">
        <v>993</v>
      </c>
      <c r="K121" s="22" t="s">
        <v>572</v>
      </c>
      <c r="L121" s="22" t="s">
        <v>55</v>
      </c>
      <c r="M121" s="22" t="s">
        <v>58</v>
      </c>
      <c r="N121" s="22" t="s">
        <v>55</v>
      </c>
      <c r="O121" s="22" t="s">
        <v>1066</v>
      </c>
      <c r="P121" s="22" t="s">
        <v>1067</v>
      </c>
      <c r="Q121" s="22" t="s">
        <v>1076</v>
      </c>
      <c r="R121" s="22" t="s">
        <v>55</v>
      </c>
      <c r="S121" s="22" t="s">
        <v>55</v>
      </c>
      <c r="T121" s="22" t="s">
        <v>1069</v>
      </c>
      <c r="U121" s="22" t="s">
        <v>63</v>
      </c>
      <c r="V121" s="23">
        <v>45961</v>
      </c>
      <c r="W121" s="22" t="s">
        <v>55</v>
      </c>
      <c r="X121" s="22" t="s">
        <v>991</v>
      </c>
      <c r="Y121" s="22" t="s">
        <v>65</v>
      </c>
      <c r="Z121" s="22" t="s">
        <v>55</v>
      </c>
      <c r="AA121" s="22" t="s">
        <v>66</v>
      </c>
      <c r="AB121" s="22" t="s">
        <v>55</v>
      </c>
      <c r="AC121" s="22" t="s">
        <v>55</v>
      </c>
      <c r="AD121" s="22" t="s">
        <v>118</v>
      </c>
      <c r="AE121" s="22" t="s">
        <v>97</v>
      </c>
      <c r="AF121" s="22" t="s">
        <v>69</v>
      </c>
      <c r="AG121" s="22" t="s">
        <v>55</v>
      </c>
      <c r="AH121" s="22" t="s">
        <v>55</v>
      </c>
      <c r="AI121" s="22" t="s">
        <v>55</v>
      </c>
      <c r="AJ121" s="22" t="s">
        <v>55</v>
      </c>
      <c r="AK121" s="22" t="s">
        <v>55</v>
      </c>
      <c r="AL121" s="22" t="s">
        <v>55</v>
      </c>
      <c r="AM121" s="22" t="s">
        <v>55</v>
      </c>
      <c r="AN121" s="22" t="s">
        <v>55</v>
      </c>
      <c r="AO121" s="22" t="s">
        <v>55</v>
      </c>
      <c r="AP121" s="22" t="s">
        <v>55</v>
      </c>
      <c r="AQ121" s="22" t="s">
        <v>55</v>
      </c>
      <c r="AR121" s="22" t="s">
        <v>55</v>
      </c>
      <c r="AS121" s="22" t="s">
        <v>55</v>
      </c>
      <c r="AT121" s="22" t="s">
        <v>55</v>
      </c>
      <c r="AU121" s="22" t="s">
        <v>55</v>
      </c>
      <c r="AV121" s="22" t="s">
        <v>55</v>
      </c>
      <c r="AW121" s="22" t="s">
        <v>55</v>
      </c>
      <c r="AX121" s="22" t="s">
        <v>55</v>
      </c>
      <c r="AY121" s="22" t="s">
        <v>1063</v>
      </c>
    </row>
    <row r="122" spans="1:51" ht="58" x14ac:dyDescent="0.35">
      <c r="A122" s="22" t="s">
        <v>1077</v>
      </c>
      <c r="B122" s="22" t="s">
        <v>347</v>
      </c>
      <c r="C122" s="22" t="s">
        <v>116</v>
      </c>
      <c r="D122" s="22" t="s">
        <v>465</v>
      </c>
      <c r="E122" s="22" t="s">
        <v>52</v>
      </c>
      <c r="F122" s="22" t="s">
        <v>1065</v>
      </c>
      <c r="G122" s="22" t="s">
        <v>94</v>
      </c>
      <c r="H122" s="22" t="s">
        <v>95</v>
      </c>
      <c r="I122" s="22" t="s">
        <v>119</v>
      </c>
      <c r="J122" s="22" t="s">
        <v>242</v>
      </c>
      <c r="K122" s="22" t="s">
        <v>572</v>
      </c>
      <c r="L122" s="22" t="s">
        <v>55</v>
      </c>
      <c r="M122" s="22" t="s">
        <v>545</v>
      </c>
      <c r="N122" s="22" t="s">
        <v>55</v>
      </c>
      <c r="O122" s="22" t="s">
        <v>1066</v>
      </c>
      <c r="P122" s="22" t="s">
        <v>1067</v>
      </c>
      <c r="Q122" s="22" t="s">
        <v>1078</v>
      </c>
      <c r="R122" s="22" t="s">
        <v>55</v>
      </c>
      <c r="S122" s="22" t="s">
        <v>55</v>
      </c>
      <c r="T122" s="22" t="s">
        <v>1069</v>
      </c>
      <c r="U122" s="22" t="s">
        <v>63</v>
      </c>
      <c r="V122" s="23">
        <v>45961</v>
      </c>
      <c r="W122" s="22" t="s">
        <v>55</v>
      </c>
      <c r="X122" s="22" t="s">
        <v>991</v>
      </c>
      <c r="Y122" s="22" t="s">
        <v>65</v>
      </c>
      <c r="Z122" s="22" t="s">
        <v>55</v>
      </c>
      <c r="AA122" s="22" t="s">
        <v>66</v>
      </c>
      <c r="AB122" s="22" t="s">
        <v>55</v>
      </c>
      <c r="AC122" s="22" t="s">
        <v>55</v>
      </c>
      <c r="AD122" s="22" t="s">
        <v>118</v>
      </c>
      <c r="AE122" s="22" t="s">
        <v>97</v>
      </c>
      <c r="AF122" s="22" t="s">
        <v>69</v>
      </c>
      <c r="AG122" s="22" t="s">
        <v>55</v>
      </c>
      <c r="AH122" s="22" t="s">
        <v>55</v>
      </c>
      <c r="AI122" s="22" t="s">
        <v>55</v>
      </c>
      <c r="AJ122" s="22" t="s">
        <v>55</v>
      </c>
      <c r="AK122" s="22" t="s">
        <v>55</v>
      </c>
      <c r="AL122" s="22" t="s">
        <v>55</v>
      </c>
      <c r="AM122" s="22" t="s">
        <v>55</v>
      </c>
      <c r="AN122" s="22" t="s">
        <v>55</v>
      </c>
      <c r="AO122" s="22" t="s">
        <v>55</v>
      </c>
      <c r="AP122" s="22" t="s">
        <v>55</v>
      </c>
      <c r="AQ122" s="22" t="s">
        <v>55</v>
      </c>
      <c r="AR122" s="22" t="s">
        <v>55</v>
      </c>
      <c r="AS122" s="22" t="s">
        <v>55</v>
      </c>
      <c r="AT122" s="22" t="s">
        <v>55</v>
      </c>
      <c r="AU122" s="22" t="s">
        <v>55</v>
      </c>
      <c r="AV122" s="22" t="s">
        <v>55</v>
      </c>
      <c r="AW122" s="22" t="s">
        <v>55</v>
      </c>
      <c r="AX122" s="22" t="s">
        <v>55</v>
      </c>
      <c r="AY122" s="22" t="s">
        <v>1063</v>
      </c>
    </row>
    <row r="123" spans="1:51" ht="58" x14ac:dyDescent="0.35">
      <c r="A123" s="22" t="s">
        <v>1079</v>
      </c>
      <c r="B123" s="22" t="s">
        <v>347</v>
      </c>
      <c r="C123" s="22" t="s">
        <v>116</v>
      </c>
      <c r="D123" s="22" t="s">
        <v>465</v>
      </c>
      <c r="E123" s="22" t="s">
        <v>52</v>
      </c>
      <c r="F123" s="22" t="s">
        <v>1065</v>
      </c>
      <c r="G123" s="22" t="s">
        <v>94</v>
      </c>
      <c r="H123" s="22" t="s">
        <v>95</v>
      </c>
      <c r="I123" s="22" t="s">
        <v>361</v>
      </c>
      <c r="J123" s="22" t="s">
        <v>253</v>
      </c>
      <c r="K123" s="22" t="s">
        <v>572</v>
      </c>
      <c r="L123" s="22" t="s">
        <v>55</v>
      </c>
      <c r="M123" s="22" t="s">
        <v>158</v>
      </c>
      <c r="N123" s="22" t="s">
        <v>55</v>
      </c>
      <c r="O123" s="22" t="s">
        <v>1066</v>
      </c>
      <c r="P123" s="22" t="s">
        <v>1067</v>
      </c>
      <c r="Q123" s="22" t="s">
        <v>1076</v>
      </c>
      <c r="R123" s="22" t="s">
        <v>55</v>
      </c>
      <c r="S123" s="22" t="s">
        <v>55</v>
      </c>
      <c r="T123" s="22" t="s">
        <v>1069</v>
      </c>
      <c r="U123" s="22" t="s">
        <v>63</v>
      </c>
      <c r="V123" s="23">
        <v>45961</v>
      </c>
      <c r="W123" s="22" t="s">
        <v>55</v>
      </c>
      <c r="X123" s="22" t="s">
        <v>991</v>
      </c>
      <c r="Y123" s="22" t="s">
        <v>65</v>
      </c>
      <c r="Z123" s="22" t="s">
        <v>55</v>
      </c>
      <c r="AA123" s="22" t="s">
        <v>66</v>
      </c>
      <c r="AB123" s="22" t="s">
        <v>55</v>
      </c>
      <c r="AC123" s="22" t="s">
        <v>55</v>
      </c>
      <c r="AD123" s="22" t="s">
        <v>118</v>
      </c>
      <c r="AE123" s="22" t="s">
        <v>97</v>
      </c>
      <c r="AF123" s="22" t="s">
        <v>69</v>
      </c>
      <c r="AG123" s="22" t="s">
        <v>55</v>
      </c>
      <c r="AH123" s="22" t="s">
        <v>55</v>
      </c>
      <c r="AI123" s="22" t="s">
        <v>55</v>
      </c>
      <c r="AJ123" s="22" t="s">
        <v>55</v>
      </c>
      <c r="AK123" s="22" t="s">
        <v>55</v>
      </c>
      <c r="AL123" s="22" t="s">
        <v>55</v>
      </c>
      <c r="AM123" s="22" t="s">
        <v>55</v>
      </c>
      <c r="AN123" s="22" t="s">
        <v>55</v>
      </c>
      <c r="AO123" s="22" t="s">
        <v>55</v>
      </c>
      <c r="AP123" s="22" t="s">
        <v>55</v>
      </c>
      <c r="AQ123" s="22" t="s">
        <v>55</v>
      </c>
      <c r="AR123" s="22" t="s">
        <v>55</v>
      </c>
      <c r="AS123" s="22" t="s">
        <v>55</v>
      </c>
      <c r="AT123" s="22" t="s">
        <v>55</v>
      </c>
      <c r="AU123" s="22" t="s">
        <v>55</v>
      </c>
      <c r="AV123" s="22" t="s">
        <v>55</v>
      </c>
      <c r="AW123" s="22" t="s">
        <v>55</v>
      </c>
      <c r="AX123" s="22" t="s">
        <v>55</v>
      </c>
      <c r="AY123" s="22" t="s">
        <v>1063</v>
      </c>
    </row>
    <row r="124" spans="1:51" ht="43.5" x14ac:dyDescent="0.35">
      <c r="A124" s="22" t="s">
        <v>1080</v>
      </c>
      <c r="B124" s="22" t="s">
        <v>347</v>
      </c>
      <c r="C124" s="22" t="s">
        <v>116</v>
      </c>
      <c r="D124" s="22" t="s">
        <v>465</v>
      </c>
      <c r="E124" s="22" t="s">
        <v>52</v>
      </c>
      <c r="F124" s="22" t="s">
        <v>1081</v>
      </c>
      <c r="G124" s="22" t="s">
        <v>84</v>
      </c>
      <c r="H124" s="22" t="s">
        <v>84</v>
      </c>
      <c r="I124" s="22" t="s">
        <v>526</v>
      </c>
      <c r="J124" s="22" t="s">
        <v>993</v>
      </c>
      <c r="K124" s="22" t="s">
        <v>572</v>
      </c>
      <c r="L124" s="22" t="s">
        <v>55</v>
      </c>
      <c r="M124" s="22" t="s">
        <v>1082</v>
      </c>
      <c r="N124" s="22" t="s">
        <v>55</v>
      </c>
      <c r="O124" s="22" t="s">
        <v>1083</v>
      </c>
      <c r="P124" s="22" t="s">
        <v>1084</v>
      </c>
      <c r="Q124" s="22" t="s">
        <v>1085</v>
      </c>
      <c r="R124" s="22" t="s">
        <v>55</v>
      </c>
      <c r="S124" s="22" t="s">
        <v>55</v>
      </c>
      <c r="T124" s="22" t="s">
        <v>1086</v>
      </c>
      <c r="U124" s="22" t="s">
        <v>63</v>
      </c>
      <c r="V124" s="23">
        <v>46021</v>
      </c>
      <c r="W124" s="22" t="s">
        <v>55</v>
      </c>
      <c r="X124" s="22" t="s">
        <v>1087</v>
      </c>
      <c r="Y124" s="22" t="s">
        <v>65</v>
      </c>
      <c r="Z124" s="22" t="s">
        <v>55</v>
      </c>
      <c r="AA124" s="22" t="s">
        <v>221</v>
      </c>
      <c r="AB124" s="22" t="s">
        <v>55</v>
      </c>
      <c r="AC124" s="22" t="s">
        <v>55</v>
      </c>
      <c r="AD124" s="22" t="s">
        <v>118</v>
      </c>
      <c r="AE124" s="22" t="s">
        <v>97</v>
      </c>
      <c r="AF124" s="22" t="s">
        <v>123</v>
      </c>
      <c r="AG124" s="22" t="s">
        <v>55</v>
      </c>
      <c r="AH124" s="22" t="s">
        <v>55</v>
      </c>
      <c r="AI124" s="22" t="s">
        <v>55</v>
      </c>
      <c r="AJ124" s="22" t="s">
        <v>55</v>
      </c>
      <c r="AK124" s="22" t="s">
        <v>55</v>
      </c>
      <c r="AL124" s="22" t="s">
        <v>55</v>
      </c>
      <c r="AM124" s="22" t="s">
        <v>55</v>
      </c>
      <c r="AN124" s="22" t="s">
        <v>55</v>
      </c>
      <c r="AO124" s="22" t="s">
        <v>55</v>
      </c>
      <c r="AP124" s="22" t="s">
        <v>55</v>
      </c>
      <c r="AQ124" s="22" t="s">
        <v>55</v>
      </c>
      <c r="AR124" s="22" t="s">
        <v>55</v>
      </c>
      <c r="AS124" s="22" t="s">
        <v>55</v>
      </c>
      <c r="AT124" s="22" t="s">
        <v>55</v>
      </c>
      <c r="AU124" s="22" t="s">
        <v>55</v>
      </c>
      <c r="AV124" s="22" t="s">
        <v>55</v>
      </c>
      <c r="AW124" s="22" t="s">
        <v>55</v>
      </c>
      <c r="AX124" s="22" t="s">
        <v>55</v>
      </c>
      <c r="AY124" s="22" t="s">
        <v>1063</v>
      </c>
    </row>
    <row r="125" spans="1:51" ht="43.5" x14ac:dyDescent="0.35">
      <c r="A125" s="22" t="s">
        <v>1088</v>
      </c>
      <c r="B125" s="22" t="s">
        <v>347</v>
      </c>
      <c r="C125" s="22" t="s">
        <v>116</v>
      </c>
      <c r="D125" s="22" t="s">
        <v>465</v>
      </c>
      <c r="E125" s="22" t="s">
        <v>52</v>
      </c>
      <c r="F125" s="22" t="s">
        <v>1081</v>
      </c>
      <c r="G125" s="22" t="s">
        <v>84</v>
      </c>
      <c r="H125" s="22" t="s">
        <v>84</v>
      </c>
      <c r="I125" s="22" t="s">
        <v>119</v>
      </c>
      <c r="J125" s="22" t="s">
        <v>242</v>
      </c>
      <c r="K125" s="22" t="s">
        <v>868</v>
      </c>
      <c r="L125" s="22" t="s">
        <v>55</v>
      </c>
      <c r="M125" s="22" t="s">
        <v>545</v>
      </c>
      <c r="N125" s="22" t="s">
        <v>55</v>
      </c>
      <c r="O125" s="22" t="s">
        <v>1083</v>
      </c>
      <c r="P125" s="22" t="s">
        <v>1089</v>
      </c>
      <c r="Q125" s="22" t="s">
        <v>1090</v>
      </c>
      <c r="R125" s="22" t="s">
        <v>55</v>
      </c>
      <c r="S125" s="22" t="s">
        <v>55</v>
      </c>
      <c r="T125" s="22" t="s">
        <v>1091</v>
      </c>
      <c r="U125" s="22" t="s">
        <v>63</v>
      </c>
      <c r="V125" s="23">
        <v>45961</v>
      </c>
      <c r="W125" s="22" t="s">
        <v>55</v>
      </c>
      <c r="X125" s="22" t="s">
        <v>1092</v>
      </c>
      <c r="Y125" s="22" t="s">
        <v>65</v>
      </c>
      <c r="Z125" s="22" t="s">
        <v>55</v>
      </c>
      <c r="AA125" s="22" t="s">
        <v>66</v>
      </c>
      <c r="AB125" s="22" t="s">
        <v>55</v>
      </c>
      <c r="AC125" s="22" t="s">
        <v>55</v>
      </c>
      <c r="AD125" s="22" t="s">
        <v>118</v>
      </c>
      <c r="AE125" s="22" t="s">
        <v>97</v>
      </c>
      <c r="AF125" s="22" t="s">
        <v>69</v>
      </c>
      <c r="AG125" s="22" t="s">
        <v>55</v>
      </c>
      <c r="AH125" s="22" t="s">
        <v>55</v>
      </c>
      <c r="AI125" s="22" t="s">
        <v>55</v>
      </c>
      <c r="AJ125" s="22" t="s">
        <v>55</v>
      </c>
      <c r="AK125" s="22" t="s">
        <v>55</v>
      </c>
      <c r="AL125" s="22" t="s">
        <v>55</v>
      </c>
      <c r="AM125" s="22" t="s">
        <v>55</v>
      </c>
      <c r="AN125" s="22" t="s">
        <v>55</v>
      </c>
      <c r="AO125" s="22" t="s">
        <v>55</v>
      </c>
      <c r="AP125" s="22" t="s">
        <v>55</v>
      </c>
      <c r="AQ125" s="22" t="s">
        <v>55</v>
      </c>
      <c r="AR125" s="22" t="s">
        <v>55</v>
      </c>
      <c r="AS125" s="22" t="s">
        <v>55</v>
      </c>
      <c r="AT125" s="22" t="s">
        <v>55</v>
      </c>
      <c r="AU125" s="22" t="s">
        <v>55</v>
      </c>
      <c r="AV125" s="22" t="s">
        <v>55</v>
      </c>
      <c r="AW125" s="22" t="s">
        <v>55</v>
      </c>
      <c r="AX125" s="22" t="s">
        <v>55</v>
      </c>
      <c r="AY125" s="22" t="s">
        <v>1063</v>
      </c>
    </row>
    <row r="126" spans="1:51" ht="29" x14ac:dyDescent="0.35">
      <c r="A126" s="22" t="s">
        <v>1093</v>
      </c>
      <c r="B126" s="22" t="s">
        <v>347</v>
      </c>
      <c r="C126" s="22" t="s">
        <v>116</v>
      </c>
      <c r="D126" s="22" t="s">
        <v>465</v>
      </c>
      <c r="E126" s="22" t="s">
        <v>52</v>
      </c>
      <c r="F126" s="22" t="s">
        <v>1094</v>
      </c>
      <c r="G126" s="22" t="s">
        <v>94</v>
      </c>
      <c r="H126" s="22" t="s">
        <v>95</v>
      </c>
      <c r="I126" s="22" t="s">
        <v>803</v>
      </c>
      <c r="J126" s="22" t="s">
        <v>815</v>
      </c>
      <c r="K126" s="22" t="s">
        <v>600</v>
      </c>
      <c r="L126" s="22" t="s">
        <v>55</v>
      </c>
      <c r="M126" s="22" t="s">
        <v>816</v>
      </c>
      <c r="N126" s="22" t="s">
        <v>55</v>
      </c>
      <c r="O126" s="22" t="s">
        <v>1095</v>
      </c>
      <c r="P126" s="22" t="s">
        <v>1020</v>
      </c>
      <c r="Q126" s="22" t="s">
        <v>1020</v>
      </c>
      <c r="R126" s="22" t="s">
        <v>55</v>
      </c>
      <c r="S126" s="22" t="s">
        <v>55</v>
      </c>
      <c r="T126" s="22" t="s">
        <v>1021</v>
      </c>
      <c r="U126" s="22" t="s">
        <v>63</v>
      </c>
      <c r="V126" s="23">
        <v>46112</v>
      </c>
      <c r="W126" s="22" t="s">
        <v>55</v>
      </c>
      <c r="X126" s="22" t="s">
        <v>1096</v>
      </c>
      <c r="Y126" s="22" t="s">
        <v>65</v>
      </c>
      <c r="Z126" s="22" t="s">
        <v>55</v>
      </c>
      <c r="AA126" s="22" t="s">
        <v>155</v>
      </c>
      <c r="AB126" s="22" t="s">
        <v>55</v>
      </c>
      <c r="AC126" s="22" t="s">
        <v>55</v>
      </c>
      <c r="AD126" s="22" t="s">
        <v>118</v>
      </c>
      <c r="AE126" s="22" t="s">
        <v>97</v>
      </c>
      <c r="AF126" s="22" t="s">
        <v>69</v>
      </c>
      <c r="AG126" s="22" t="s">
        <v>55</v>
      </c>
      <c r="AH126" s="22" t="s">
        <v>55</v>
      </c>
      <c r="AI126" s="22" t="s">
        <v>55</v>
      </c>
      <c r="AJ126" s="22" t="s">
        <v>55</v>
      </c>
      <c r="AK126" s="22" t="s">
        <v>55</v>
      </c>
      <c r="AL126" s="22" t="s">
        <v>55</v>
      </c>
      <c r="AM126" s="22" t="s">
        <v>55</v>
      </c>
      <c r="AN126" s="22" t="s">
        <v>55</v>
      </c>
      <c r="AO126" s="22" t="s">
        <v>55</v>
      </c>
      <c r="AP126" s="22" t="s">
        <v>55</v>
      </c>
      <c r="AQ126" s="22" t="s">
        <v>55</v>
      </c>
      <c r="AR126" s="22" t="s">
        <v>55</v>
      </c>
      <c r="AS126" s="22" t="s">
        <v>55</v>
      </c>
      <c r="AT126" s="22" t="s">
        <v>55</v>
      </c>
      <c r="AU126" s="22" t="s">
        <v>55</v>
      </c>
      <c r="AV126" s="22" t="s">
        <v>55</v>
      </c>
      <c r="AW126" s="22" t="s">
        <v>55</v>
      </c>
      <c r="AX126" s="22" t="s">
        <v>55</v>
      </c>
      <c r="AY126" s="22" t="s">
        <v>1063</v>
      </c>
    </row>
    <row r="127" spans="1:51" ht="29" x14ac:dyDescent="0.35">
      <c r="A127" s="22" t="s">
        <v>1097</v>
      </c>
      <c r="B127" s="22" t="s">
        <v>347</v>
      </c>
      <c r="C127" s="22" t="s">
        <v>116</v>
      </c>
      <c r="D127" s="22" t="s">
        <v>465</v>
      </c>
      <c r="E127" s="22" t="s">
        <v>52</v>
      </c>
      <c r="F127" s="22" t="s">
        <v>1098</v>
      </c>
      <c r="G127" s="22" t="s">
        <v>126</v>
      </c>
      <c r="H127" s="22" t="s">
        <v>157</v>
      </c>
      <c r="I127" s="22" t="s">
        <v>121</v>
      </c>
      <c r="J127" s="22" t="s">
        <v>223</v>
      </c>
      <c r="K127" s="22" t="s">
        <v>589</v>
      </c>
      <c r="L127" s="22" t="s">
        <v>55</v>
      </c>
      <c r="M127" s="22" t="s">
        <v>224</v>
      </c>
      <c r="N127" s="22" t="s">
        <v>55</v>
      </c>
      <c r="O127" s="22" t="s">
        <v>1099</v>
      </c>
      <c r="P127" s="22" t="s">
        <v>1100</v>
      </c>
      <c r="Q127" s="22" t="s">
        <v>1101</v>
      </c>
      <c r="R127" s="22" t="s">
        <v>55</v>
      </c>
      <c r="S127" s="22" t="s">
        <v>55</v>
      </c>
      <c r="T127" s="22" t="s">
        <v>1102</v>
      </c>
      <c r="U127" s="22" t="s">
        <v>63</v>
      </c>
      <c r="V127" s="23">
        <v>46022</v>
      </c>
      <c r="W127" s="22" t="s">
        <v>55</v>
      </c>
      <c r="X127" s="22" t="s">
        <v>1103</v>
      </c>
      <c r="Y127" s="22" t="s">
        <v>65</v>
      </c>
      <c r="Z127" s="22" t="s">
        <v>55</v>
      </c>
      <c r="AA127" s="22" t="s">
        <v>221</v>
      </c>
      <c r="AB127" s="22" t="s">
        <v>55</v>
      </c>
      <c r="AC127" s="22" t="s">
        <v>55</v>
      </c>
      <c r="AD127" s="22" t="s">
        <v>118</v>
      </c>
      <c r="AE127" s="22" t="s">
        <v>97</v>
      </c>
      <c r="AF127" s="22" t="s">
        <v>226</v>
      </c>
      <c r="AG127" s="22" t="s">
        <v>55</v>
      </c>
      <c r="AH127" s="22" t="s">
        <v>55</v>
      </c>
      <c r="AI127" s="22" t="s">
        <v>55</v>
      </c>
      <c r="AJ127" s="22" t="s">
        <v>55</v>
      </c>
      <c r="AK127" s="22" t="s">
        <v>55</v>
      </c>
      <c r="AL127" s="22" t="s">
        <v>55</v>
      </c>
      <c r="AM127" s="22" t="s">
        <v>55</v>
      </c>
      <c r="AN127" s="22" t="s">
        <v>55</v>
      </c>
      <c r="AO127" s="22" t="s">
        <v>55</v>
      </c>
      <c r="AP127" s="22" t="s">
        <v>55</v>
      </c>
      <c r="AQ127" s="22" t="s">
        <v>55</v>
      </c>
      <c r="AR127" s="22" t="s">
        <v>55</v>
      </c>
      <c r="AS127" s="22" t="s">
        <v>55</v>
      </c>
      <c r="AT127" s="22" t="s">
        <v>55</v>
      </c>
      <c r="AU127" s="22" t="s">
        <v>55</v>
      </c>
      <c r="AV127" s="22" t="s">
        <v>55</v>
      </c>
      <c r="AW127" s="22" t="s">
        <v>55</v>
      </c>
      <c r="AX127" s="22" t="s">
        <v>55</v>
      </c>
      <c r="AY127" s="22" t="s">
        <v>1063</v>
      </c>
    </row>
    <row r="128" spans="1:51" ht="43.5" x14ac:dyDescent="0.35">
      <c r="A128" s="22" t="s">
        <v>1104</v>
      </c>
      <c r="B128" s="22" t="s">
        <v>347</v>
      </c>
      <c r="C128" s="22" t="s">
        <v>116</v>
      </c>
      <c r="D128" s="22" t="s">
        <v>465</v>
      </c>
      <c r="E128" s="22" t="s">
        <v>52</v>
      </c>
      <c r="F128" s="22" t="s">
        <v>1105</v>
      </c>
      <c r="G128" s="22" t="s">
        <v>126</v>
      </c>
      <c r="H128" s="22" t="s">
        <v>127</v>
      </c>
      <c r="I128" s="22" t="s">
        <v>117</v>
      </c>
      <c r="J128" s="22" t="s">
        <v>842</v>
      </c>
      <c r="K128" s="22" t="s">
        <v>572</v>
      </c>
      <c r="L128" s="22" t="s">
        <v>55</v>
      </c>
      <c r="M128" s="22" t="s">
        <v>1106</v>
      </c>
      <c r="N128" s="22" t="s">
        <v>55</v>
      </c>
      <c r="O128" s="22" t="s">
        <v>1107</v>
      </c>
      <c r="P128" s="22" t="s">
        <v>988</v>
      </c>
      <c r="Q128" s="22" t="s">
        <v>1108</v>
      </c>
      <c r="R128" s="22" t="s">
        <v>55</v>
      </c>
      <c r="S128" s="22" t="s">
        <v>55</v>
      </c>
      <c r="T128" s="22" t="s">
        <v>1109</v>
      </c>
      <c r="U128" s="22" t="s">
        <v>63</v>
      </c>
      <c r="V128" s="23">
        <v>46022</v>
      </c>
      <c r="W128" s="22" t="s">
        <v>55</v>
      </c>
      <c r="X128" s="22" t="s">
        <v>1110</v>
      </c>
      <c r="Y128" s="22" t="s">
        <v>65</v>
      </c>
      <c r="Z128" s="22" t="s">
        <v>55</v>
      </c>
      <c r="AA128" s="22" t="s">
        <v>221</v>
      </c>
      <c r="AB128" s="22" t="s">
        <v>55</v>
      </c>
      <c r="AC128" s="22" t="s">
        <v>55</v>
      </c>
      <c r="AD128" s="22" t="s">
        <v>118</v>
      </c>
      <c r="AE128" s="22" t="s">
        <v>97</v>
      </c>
      <c r="AF128" s="22" t="s">
        <v>1111</v>
      </c>
      <c r="AG128" s="22" t="s">
        <v>55</v>
      </c>
      <c r="AH128" s="22" t="s">
        <v>55</v>
      </c>
      <c r="AI128" s="22" t="s">
        <v>55</v>
      </c>
      <c r="AJ128" s="22" t="s">
        <v>55</v>
      </c>
      <c r="AK128" s="22" t="s">
        <v>55</v>
      </c>
      <c r="AL128" s="22" t="s">
        <v>55</v>
      </c>
      <c r="AM128" s="22" t="s">
        <v>55</v>
      </c>
      <c r="AN128" s="22" t="s">
        <v>55</v>
      </c>
      <c r="AO128" s="22" t="s">
        <v>55</v>
      </c>
      <c r="AP128" s="22" t="s">
        <v>55</v>
      </c>
      <c r="AQ128" s="22" t="s">
        <v>55</v>
      </c>
      <c r="AR128" s="22" t="s">
        <v>55</v>
      </c>
      <c r="AS128" s="22" t="s">
        <v>55</v>
      </c>
      <c r="AT128" s="22" t="s">
        <v>55</v>
      </c>
      <c r="AU128" s="22" t="s">
        <v>55</v>
      </c>
      <c r="AV128" s="22" t="s">
        <v>55</v>
      </c>
      <c r="AW128" s="22" t="s">
        <v>55</v>
      </c>
      <c r="AX128" s="22" t="s">
        <v>55</v>
      </c>
      <c r="AY128" s="22" t="s">
        <v>1063</v>
      </c>
    </row>
    <row r="129" spans="1:51" ht="29" x14ac:dyDescent="0.35">
      <c r="A129" s="22" t="s">
        <v>1112</v>
      </c>
      <c r="B129" s="22" t="s">
        <v>347</v>
      </c>
      <c r="C129" s="22" t="s">
        <v>116</v>
      </c>
      <c r="D129" s="22" t="s">
        <v>465</v>
      </c>
      <c r="E129" s="22" t="s">
        <v>52</v>
      </c>
      <c r="F129" s="22" t="s">
        <v>1105</v>
      </c>
      <c r="G129" s="22" t="s">
        <v>126</v>
      </c>
      <c r="H129" s="22" t="s">
        <v>127</v>
      </c>
      <c r="I129" s="22" t="s">
        <v>117</v>
      </c>
      <c r="J129" s="22" t="s">
        <v>842</v>
      </c>
      <c r="K129" s="22" t="s">
        <v>868</v>
      </c>
      <c r="L129" s="22" t="s">
        <v>55</v>
      </c>
      <c r="M129" s="22" t="s">
        <v>703</v>
      </c>
      <c r="N129" s="22" t="s">
        <v>55</v>
      </c>
      <c r="O129" s="22" t="s">
        <v>1107</v>
      </c>
      <c r="P129" s="22" t="s">
        <v>988</v>
      </c>
      <c r="Q129" s="22" t="s">
        <v>1113</v>
      </c>
      <c r="R129" s="22" t="s">
        <v>55</v>
      </c>
      <c r="S129" s="22" t="s">
        <v>55</v>
      </c>
      <c r="T129" s="22" t="s">
        <v>1114</v>
      </c>
      <c r="U129" s="22" t="s">
        <v>132</v>
      </c>
      <c r="V129" s="23">
        <v>45991</v>
      </c>
      <c r="W129" s="22" t="s">
        <v>55</v>
      </c>
      <c r="X129" s="22" t="s">
        <v>1110</v>
      </c>
      <c r="Y129" s="22" t="s">
        <v>65</v>
      </c>
      <c r="Z129" s="22" t="s">
        <v>55</v>
      </c>
      <c r="AA129" s="22" t="s">
        <v>152</v>
      </c>
      <c r="AB129" s="22" t="s">
        <v>55</v>
      </c>
      <c r="AC129" s="22" t="s">
        <v>55</v>
      </c>
      <c r="AD129" s="22" t="s">
        <v>118</v>
      </c>
      <c r="AE129" s="22" t="s">
        <v>97</v>
      </c>
      <c r="AF129" s="22" t="s">
        <v>98</v>
      </c>
      <c r="AG129" s="22" t="s">
        <v>55</v>
      </c>
      <c r="AH129" s="22" t="s">
        <v>55</v>
      </c>
      <c r="AI129" s="22" t="s">
        <v>55</v>
      </c>
      <c r="AJ129" s="22" t="s">
        <v>55</v>
      </c>
      <c r="AK129" s="22" t="s">
        <v>55</v>
      </c>
      <c r="AL129" s="22" t="s">
        <v>55</v>
      </c>
      <c r="AM129" s="22" t="s">
        <v>55</v>
      </c>
      <c r="AN129" s="22" t="s">
        <v>55</v>
      </c>
      <c r="AO129" s="22" t="s">
        <v>55</v>
      </c>
      <c r="AP129" s="22" t="s">
        <v>55</v>
      </c>
      <c r="AQ129" s="22" t="s">
        <v>55</v>
      </c>
      <c r="AR129" s="22" t="s">
        <v>55</v>
      </c>
      <c r="AS129" s="22" t="s">
        <v>55</v>
      </c>
      <c r="AT129" s="22" t="s">
        <v>55</v>
      </c>
      <c r="AU129" s="22" t="s">
        <v>55</v>
      </c>
      <c r="AV129" s="22" t="s">
        <v>55</v>
      </c>
      <c r="AW129" s="22" t="s">
        <v>55</v>
      </c>
      <c r="AX129" s="22" t="s">
        <v>55</v>
      </c>
      <c r="AY129" s="22" t="s">
        <v>1063</v>
      </c>
    </row>
    <row r="130" spans="1:51" ht="29" x14ac:dyDescent="0.35">
      <c r="A130" s="22" t="s">
        <v>1115</v>
      </c>
      <c r="B130" s="22" t="s">
        <v>347</v>
      </c>
      <c r="C130" s="22" t="s">
        <v>116</v>
      </c>
      <c r="D130" s="22" t="s">
        <v>465</v>
      </c>
      <c r="E130" s="22" t="s">
        <v>52</v>
      </c>
      <c r="F130" s="22" t="s">
        <v>1116</v>
      </c>
      <c r="G130" s="22" t="s">
        <v>94</v>
      </c>
      <c r="H130" s="22" t="s">
        <v>1117</v>
      </c>
      <c r="I130" s="22" t="s">
        <v>121</v>
      </c>
      <c r="J130" s="22" t="s">
        <v>1118</v>
      </c>
      <c r="K130" s="22" t="s">
        <v>1119</v>
      </c>
      <c r="L130" s="22" t="s">
        <v>55</v>
      </c>
      <c r="M130" s="22" t="s">
        <v>1120</v>
      </c>
      <c r="N130" s="22" t="s">
        <v>55</v>
      </c>
      <c r="O130" s="22" t="s">
        <v>1121</v>
      </c>
      <c r="P130" s="22" t="s">
        <v>1122</v>
      </c>
      <c r="Q130" s="22" t="s">
        <v>1123</v>
      </c>
      <c r="R130" s="22" t="s">
        <v>55</v>
      </c>
      <c r="S130" s="22" t="s">
        <v>55</v>
      </c>
      <c r="T130" s="22" t="s">
        <v>1124</v>
      </c>
      <c r="U130" s="22" t="s">
        <v>63</v>
      </c>
      <c r="V130" s="23">
        <v>45961</v>
      </c>
      <c r="W130" s="22" t="s">
        <v>55</v>
      </c>
      <c r="X130" s="22" t="s">
        <v>1125</v>
      </c>
      <c r="Y130" s="22" t="s">
        <v>65</v>
      </c>
      <c r="Z130" s="22" t="s">
        <v>55</v>
      </c>
      <c r="AA130" s="22" t="s">
        <v>66</v>
      </c>
      <c r="AB130" s="22" t="s">
        <v>55</v>
      </c>
      <c r="AC130" s="22" t="s">
        <v>55</v>
      </c>
      <c r="AD130" s="22" t="s">
        <v>118</v>
      </c>
      <c r="AE130" s="22" t="s">
        <v>97</v>
      </c>
      <c r="AF130" s="22" t="s">
        <v>1126</v>
      </c>
      <c r="AG130" s="22" t="s">
        <v>55</v>
      </c>
      <c r="AH130" s="22" t="s">
        <v>55</v>
      </c>
      <c r="AI130" s="22" t="s">
        <v>55</v>
      </c>
      <c r="AJ130" s="22" t="s">
        <v>55</v>
      </c>
      <c r="AK130" s="22" t="s">
        <v>55</v>
      </c>
      <c r="AL130" s="22" t="s">
        <v>55</v>
      </c>
      <c r="AM130" s="22" t="s">
        <v>55</v>
      </c>
      <c r="AN130" s="22" t="s">
        <v>55</v>
      </c>
      <c r="AO130" s="22" t="s">
        <v>55</v>
      </c>
      <c r="AP130" s="22" t="s">
        <v>55</v>
      </c>
      <c r="AQ130" s="22" t="s">
        <v>55</v>
      </c>
      <c r="AR130" s="22" t="s">
        <v>55</v>
      </c>
      <c r="AS130" s="22" t="s">
        <v>55</v>
      </c>
      <c r="AT130" s="22" t="s">
        <v>55</v>
      </c>
      <c r="AU130" s="22" t="s">
        <v>55</v>
      </c>
      <c r="AV130" s="22" t="s">
        <v>55</v>
      </c>
      <c r="AW130" s="22" t="s">
        <v>55</v>
      </c>
      <c r="AX130" s="22" t="s">
        <v>55</v>
      </c>
      <c r="AY130" s="22" t="s">
        <v>1063</v>
      </c>
    </row>
    <row r="131" spans="1:51" ht="29" x14ac:dyDescent="0.35">
      <c r="A131" s="22" t="s">
        <v>1127</v>
      </c>
      <c r="B131" s="22" t="s">
        <v>347</v>
      </c>
      <c r="C131" s="22" t="s">
        <v>116</v>
      </c>
      <c r="D131" s="22" t="s">
        <v>465</v>
      </c>
      <c r="E131" s="22" t="s">
        <v>52</v>
      </c>
      <c r="F131" s="22" t="s">
        <v>1128</v>
      </c>
      <c r="G131" s="22" t="s">
        <v>606</v>
      </c>
      <c r="H131" s="22" t="s">
        <v>607</v>
      </c>
      <c r="I131" s="22" t="s">
        <v>117</v>
      </c>
      <c r="J131" s="22" t="s">
        <v>819</v>
      </c>
      <c r="K131" s="22" t="s">
        <v>868</v>
      </c>
      <c r="L131" s="22" t="s">
        <v>55</v>
      </c>
      <c r="M131" s="22" t="s">
        <v>577</v>
      </c>
      <c r="N131" s="22" t="s">
        <v>55</v>
      </c>
      <c r="O131" s="22" t="s">
        <v>1129</v>
      </c>
      <c r="P131" s="22" t="s">
        <v>988</v>
      </c>
      <c r="Q131" s="22" t="s">
        <v>1130</v>
      </c>
      <c r="R131" s="22" t="s">
        <v>55</v>
      </c>
      <c r="S131" s="22" t="s">
        <v>55</v>
      </c>
      <c r="T131" s="22" t="s">
        <v>1131</v>
      </c>
      <c r="U131" s="22" t="s">
        <v>63</v>
      </c>
      <c r="V131" s="23">
        <v>46022</v>
      </c>
      <c r="W131" s="22" t="s">
        <v>55</v>
      </c>
      <c r="X131" s="22" t="s">
        <v>1132</v>
      </c>
      <c r="Y131" s="22" t="s">
        <v>65</v>
      </c>
      <c r="Z131" s="22" t="s">
        <v>55</v>
      </c>
      <c r="AA131" s="22" t="s">
        <v>221</v>
      </c>
      <c r="AB131" s="22" t="s">
        <v>55</v>
      </c>
      <c r="AC131" s="22" t="s">
        <v>55</v>
      </c>
      <c r="AD131" s="22" t="s">
        <v>118</v>
      </c>
      <c r="AE131" s="22" t="s">
        <v>97</v>
      </c>
      <c r="AF131" s="22" t="s">
        <v>583</v>
      </c>
      <c r="AG131" s="22" t="s">
        <v>55</v>
      </c>
      <c r="AH131" s="22" t="s">
        <v>55</v>
      </c>
      <c r="AI131" s="22" t="s">
        <v>55</v>
      </c>
      <c r="AJ131" s="22" t="s">
        <v>55</v>
      </c>
      <c r="AK131" s="22" t="s">
        <v>55</v>
      </c>
      <c r="AL131" s="22" t="s">
        <v>55</v>
      </c>
      <c r="AM131" s="22" t="s">
        <v>55</v>
      </c>
      <c r="AN131" s="22" t="s">
        <v>55</v>
      </c>
      <c r="AO131" s="22" t="s">
        <v>55</v>
      </c>
      <c r="AP131" s="22" t="s">
        <v>55</v>
      </c>
      <c r="AQ131" s="22" t="s">
        <v>55</v>
      </c>
      <c r="AR131" s="22" t="s">
        <v>55</v>
      </c>
      <c r="AS131" s="22" t="s">
        <v>55</v>
      </c>
      <c r="AT131" s="22" t="s">
        <v>55</v>
      </c>
      <c r="AU131" s="22" t="s">
        <v>55</v>
      </c>
      <c r="AV131" s="22" t="s">
        <v>55</v>
      </c>
      <c r="AW131" s="22" t="s">
        <v>55</v>
      </c>
      <c r="AX131" s="22" t="s">
        <v>55</v>
      </c>
      <c r="AY131" s="22" t="s">
        <v>1133</v>
      </c>
    </row>
    <row r="132" spans="1:51" ht="29" x14ac:dyDescent="0.35">
      <c r="A132" s="22" t="s">
        <v>1134</v>
      </c>
      <c r="B132" s="22" t="s">
        <v>347</v>
      </c>
      <c r="C132" s="22" t="s">
        <v>116</v>
      </c>
      <c r="D132" s="22" t="s">
        <v>465</v>
      </c>
      <c r="E132" s="22" t="s">
        <v>52</v>
      </c>
      <c r="F132" s="22" t="s">
        <v>1128</v>
      </c>
      <c r="G132" s="22" t="s">
        <v>606</v>
      </c>
      <c r="H132" s="22" t="s">
        <v>607</v>
      </c>
      <c r="I132" s="22" t="s">
        <v>117</v>
      </c>
      <c r="J132" s="22" t="s">
        <v>1023</v>
      </c>
      <c r="K132" s="22" t="s">
        <v>868</v>
      </c>
      <c r="L132" s="22" t="s">
        <v>55</v>
      </c>
      <c r="M132" s="22" t="s">
        <v>1024</v>
      </c>
      <c r="N132" s="22" t="s">
        <v>55</v>
      </c>
      <c r="O132" s="22" t="s">
        <v>1129</v>
      </c>
      <c r="P132" s="22" t="s">
        <v>988</v>
      </c>
      <c r="Q132" s="22" t="s">
        <v>1130</v>
      </c>
      <c r="R132" s="22" t="s">
        <v>55</v>
      </c>
      <c r="S132" s="22" t="s">
        <v>55</v>
      </c>
      <c r="T132" s="22" t="s">
        <v>1131</v>
      </c>
      <c r="U132" s="22" t="s">
        <v>63</v>
      </c>
      <c r="V132" s="23">
        <v>46022</v>
      </c>
      <c r="W132" s="22" t="s">
        <v>55</v>
      </c>
      <c r="X132" s="22" t="s">
        <v>1132</v>
      </c>
      <c r="Y132" s="22" t="s">
        <v>65</v>
      </c>
      <c r="Z132" s="22" t="s">
        <v>55</v>
      </c>
      <c r="AA132" s="22" t="s">
        <v>221</v>
      </c>
      <c r="AB132" s="22" t="s">
        <v>55</v>
      </c>
      <c r="AC132" s="22" t="s">
        <v>55</v>
      </c>
      <c r="AD132" s="22" t="s">
        <v>118</v>
      </c>
      <c r="AE132" s="22" t="s">
        <v>97</v>
      </c>
      <c r="AF132" s="22" t="s">
        <v>1025</v>
      </c>
      <c r="AG132" s="22" t="s">
        <v>55</v>
      </c>
      <c r="AH132" s="22" t="s">
        <v>55</v>
      </c>
      <c r="AI132" s="22" t="s">
        <v>55</v>
      </c>
      <c r="AJ132" s="22" t="s">
        <v>55</v>
      </c>
      <c r="AK132" s="22" t="s">
        <v>55</v>
      </c>
      <c r="AL132" s="22" t="s">
        <v>55</v>
      </c>
      <c r="AM132" s="22" t="s">
        <v>55</v>
      </c>
      <c r="AN132" s="22" t="s">
        <v>55</v>
      </c>
      <c r="AO132" s="22" t="s">
        <v>55</v>
      </c>
      <c r="AP132" s="22" t="s">
        <v>55</v>
      </c>
      <c r="AQ132" s="22" t="s">
        <v>55</v>
      </c>
      <c r="AR132" s="22" t="s">
        <v>55</v>
      </c>
      <c r="AS132" s="22" t="s">
        <v>55</v>
      </c>
      <c r="AT132" s="22" t="s">
        <v>55</v>
      </c>
      <c r="AU132" s="22" t="s">
        <v>55</v>
      </c>
      <c r="AV132" s="22" t="s">
        <v>55</v>
      </c>
      <c r="AW132" s="22" t="s">
        <v>55</v>
      </c>
      <c r="AX132" s="22" t="s">
        <v>55</v>
      </c>
      <c r="AY132" s="22" t="s">
        <v>1133</v>
      </c>
    </row>
    <row r="133" spans="1:51" ht="43.5" x14ac:dyDescent="0.35">
      <c r="A133" s="22" t="s">
        <v>1135</v>
      </c>
      <c r="B133" s="22" t="s">
        <v>347</v>
      </c>
      <c r="C133" s="22" t="s">
        <v>116</v>
      </c>
      <c r="D133" s="22" t="s">
        <v>465</v>
      </c>
      <c r="E133" s="22" t="s">
        <v>52</v>
      </c>
      <c r="F133" s="22" t="s">
        <v>1136</v>
      </c>
      <c r="G133" s="22" t="s">
        <v>126</v>
      </c>
      <c r="H133" s="22" t="s">
        <v>1137</v>
      </c>
      <c r="I133" s="22" t="s">
        <v>117</v>
      </c>
      <c r="J133" s="22" t="s">
        <v>842</v>
      </c>
      <c r="K133" s="22" t="s">
        <v>868</v>
      </c>
      <c r="L133" s="22" t="s">
        <v>55</v>
      </c>
      <c r="M133" s="22" t="s">
        <v>1106</v>
      </c>
      <c r="N133" s="22" t="s">
        <v>55</v>
      </c>
      <c r="O133" s="22" t="s">
        <v>1138</v>
      </c>
      <c r="P133" s="22" t="s">
        <v>1139</v>
      </c>
      <c r="Q133" s="22" t="s">
        <v>1140</v>
      </c>
      <c r="R133" s="22" t="s">
        <v>55</v>
      </c>
      <c r="S133" s="22" t="s">
        <v>55</v>
      </c>
      <c r="T133" s="22" t="s">
        <v>1141</v>
      </c>
      <c r="U133" s="22" t="s">
        <v>63</v>
      </c>
      <c r="V133" s="23">
        <v>45961</v>
      </c>
      <c r="W133" s="22" t="s">
        <v>55</v>
      </c>
      <c r="X133" s="22" t="s">
        <v>1142</v>
      </c>
      <c r="Y133" s="22" t="s">
        <v>65</v>
      </c>
      <c r="Z133" s="22" t="s">
        <v>55</v>
      </c>
      <c r="AA133" s="22" t="s">
        <v>66</v>
      </c>
      <c r="AB133" s="22" t="s">
        <v>55</v>
      </c>
      <c r="AC133" s="22" t="s">
        <v>55</v>
      </c>
      <c r="AD133" s="22" t="s">
        <v>118</v>
      </c>
      <c r="AE133" s="22" t="s">
        <v>97</v>
      </c>
      <c r="AF133" s="22" t="s">
        <v>1111</v>
      </c>
      <c r="AG133" s="22" t="s">
        <v>55</v>
      </c>
      <c r="AH133" s="22" t="s">
        <v>55</v>
      </c>
      <c r="AI133" s="22" t="s">
        <v>55</v>
      </c>
      <c r="AJ133" s="22" t="s">
        <v>55</v>
      </c>
      <c r="AK133" s="22" t="s">
        <v>55</v>
      </c>
      <c r="AL133" s="22" t="s">
        <v>55</v>
      </c>
      <c r="AM133" s="22" t="s">
        <v>55</v>
      </c>
      <c r="AN133" s="22" t="s">
        <v>55</v>
      </c>
      <c r="AO133" s="22" t="s">
        <v>55</v>
      </c>
      <c r="AP133" s="22" t="s">
        <v>55</v>
      </c>
      <c r="AQ133" s="22" t="s">
        <v>55</v>
      </c>
      <c r="AR133" s="22" t="s">
        <v>55</v>
      </c>
      <c r="AS133" s="22" t="s">
        <v>55</v>
      </c>
      <c r="AT133" s="22" t="s">
        <v>55</v>
      </c>
      <c r="AU133" s="22" t="s">
        <v>55</v>
      </c>
      <c r="AV133" s="22" t="s">
        <v>55</v>
      </c>
      <c r="AW133" s="22" t="s">
        <v>55</v>
      </c>
      <c r="AX133" s="22" t="s">
        <v>55</v>
      </c>
      <c r="AY133" s="22" t="s">
        <v>1133</v>
      </c>
    </row>
    <row r="134" spans="1:51" ht="29" x14ac:dyDescent="0.35">
      <c r="A134" s="22" t="s">
        <v>1143</v>
      </c>
      <c r="B134" s="22" t="s">
        <v>347</v>
      </c>
      <c r="C134" s="22" t="s">
        <v>116</v>
      </c>
      <c r="D134" s="22" t="s">
        <v>465</v>
      </c>
      <c r="E134" s="22" t="s">
        <v>52</v>
      </c>
      <c r="F134" s="22" t="s">
        <v>1136</v>
      </c>
      <c r="G134" s="22" t="s">
        <v>126</v>
      </c>
      <c r="H134" s="22" t="s">
        <v>1137</v>
      </c>
      <c r="I134" s="22" t="s">
        <v>117</v>
      </c>
      <c r="J134" s="22" t="s">
        <v>842</v>
      </c>
      <c r="K134" s="22" t="s">
        <v>868</v>
      </c>
      <c r="L134" s="22" t="s">
        <v>55</v>
      </c>
      <c r="M134" s="22" t="s">
        <v>703</v>
      </c>
      <c r="N134" s="22" t="s">
        <v>55</v>
      </c>
      <c r="O134" s="22" t="s">
        <v>1138</v>
      </c>
      <c r="P134" s="22" t="s">
        <v>988</v>
      </c>
      <c r="Q134" s="22" t="s">
        <v>1144</v>
      </c>
      <c r="R134" s="22" t="s">
        <v>55</v>
      </c>
      <c r="S134" s="22" t="s">
        <v>55</v>
      </c>
      <c r="T134" s="22" t="s">
        <v>1145</v>
      </c>
      <c r="U134" s="22" t="s">
        <v>132</v>
      </c>
      <c r="V134" s="23">
        <v>45961</v>
      </c>
      <c r="W134" s="22" t="s">
        <v>55</v>
      </c>
      <c r="X134" s="22" t="s">
        <v>1142</v>
      </c>
      <c r="Y134" s="22" t="s">
        <v>65</v>
      </c>
      <c r="Z134" s="22" t="s">
        <v>55</v>
      </c>
      <c r="AA134" s="22" t="s">
        <v>66</v>
      </c>
      <c r="AB134" s="22" t="s">
        <v>55</v>
      </c>
      <c r="AC134" s="22" t="s">
        <v>55</v>
      </c>
      <c r="AD134" s="22" t="s">
        <v>118</v>
      </c>
      <c r="AE134" s="22" t="s">
        <v>97</v>
      </c>
      <c r="AF134" s="22" t="s">
        <v>98</v>
      </c>
      <c r="AG134" s="22" t="s">
        <v>55</v>
      </c>
      <c r="AH134" s="22" t="s">
        <v>55</v>
      </c>
      <c r="AI134" s="22" t="s">
        <v>55</v>
      </c>
      <c r="AJ134" s="22" t="s">
        <v>55</v>
      </c>
      <c r="AK134" s="22" t="s">
        <v>55</v>
      </c>
      <c r="AL134" s="22" t="s">
        <v>55</v>
      </c>
      <c r="AM134" s="22" t="s">
        <v>55</v>
      </c>
      <c r="AN134" s="22" t="s">
        <v>55</v>
      </c>
      <c r="AO134" s="22" t="s">
        <v>55</v>
      </c>
      <c r="AP134" s="22" t="s">
        <v>55</v>
      </c>
      <c r="AQ134" s="22" t="s">
        <v>55</v>
      </c>
      <c r="AR134" s="22" t="s">
        <v>55</v>
      </c>
      <c r="AS134" s="22" t="s">
        <v>55</v>
      </c>
      <c r="AT134" s="22" t="s">
        <v>55</v>
      </c>
      <c r="AU134" s="22" t="s">
        <v>55</v>
      </c>
      <c r="AV134" s="22" t="s">
        <v>55</v>
      </c>
      <c r="AW134" s="22" t="s">
        <v>55</v>
      </c>
      <c r="AX134" s="22" t="s">
        <v>55</v>
      </c>
      <c r="AY134" s="22" t="s">
        <v>1133</v>
      </c>
    </row>
    <row r="135" spans="1:51" ht="29" x14ac:dyDescent="0.35">
      <c r="A135" s="22" t="s">
        <v>1146</v>
      </c>
      <c r="B135" s="22" t="s">
        <v>347</v>
      </c>
      <c r="C135" s="22" t="s">
        <v>116</v>
      </c>
      <c r="D135" s="22" t="s">
        <v>465</v>
      </c>
      <c r="E135" s="22" t="s">
        <v>52</v>
      </c>
      <c r="F135" s="22" t="s">
        <v>1147</v>
      </c>
      <c r="G135" s="22" t="s">
        <v>54</v>
      </c>
      <c r="H135" s="22" t="s">
        <v>1713</v>
      </c>
      <c r="I135" s="22" t="s">
        <v>803</v>
      </c>
      <c r="J135" s="22" t="s">
        <v>812</v>
      </c>
      <c r="K135" s="22" t="s">
        <v>544</v>
      </c>
      <c r="L135" s="22" t="s">
        <v>55</v>
      </c>
      <c r="M135" s="22" t="s">
        <v>813</v>
      </c>
      <c r="N135" s="22" t="s">
        <v>55</v>
      </c>
      <c r="O135" s="22" t="s">
        <v>1148</v>
      </c>
      <c r="P135" s="22" t="s">
        <v>1149</v>
      </c>
      <c r="Q135" s="22" t="s">
        <v>1150</v>
      </c>
      <c r="R135" s="22" t="s">
        <v>55</v>
      </c>
      <c r="S135" s="22" t="s">
        <v>55</v>
      </c>
      <c r="T135" s="22" t="s">
        <v>1151</v>
      </c>
      <c r="U135" s="22" t="s">
        <v>63</v>
      </c>
      <c r="V135" s="23">
        <v>45991</v>
      </c>
      <c r="W135" s="22" t="s">
        <v>55</v>
      </c>
      <c r="X135" s="22" t="s">
        <v>1152</v>
      </c>
      <c r="Y135" s="22" t="s">
        <v>65</v>
      </c>
      <c r="Z135" s="22" t="s">
        <v>55</v>
      </c>
      <c r="AA135" s="22" t="s">
        <v>152</v>
      </c>
      <c r="AB135" s="22" t="s">
        <v>55</v>
      </c>
      <c r="AC135" s="22" t="s">
        <v>55</v>
      </c>
      <c r="AD135" s="22" t="s">
        <v>118</v>
      </c>
      <c r="AE135" s="22" t="s">
        <v>97</v>
      </c>
      <c r="AF135" s="22" t="s">
        <v>814</v>
      </c>
      <c r="AG135" s="22" t="s">
        <v>55</v>
      </c>
      <c r="AH135" s="22" t="s">
        <v>55</v>
      </c>
      <c r="AI135" s="22" t="s">
        <v>55</v>
      </c>
      <c r="AJ135" s="22" t="s">
        <v>55</v>
      </c>
      <c r="AK135" s="22" t="s">
        <v>55</v>
      </c>
      <c r="AL135" s="22" t="s">
        <v>55</v>
      </c>
      <c r="AM135" s="22" t="s">
        <v>55</v>
      </c>
      <c r="AN135" s="22" t="s">
        <v>55</v>
      </c>
      <c r="AO135" s="22" t="s">
        <v>55</v>
      </c>
      <c r="AP135" s="22" t="s">
        <v>55</v>
      </c>
      <c r="AQ135" s="22" t="s">
        <v>55</v>
      </c>
      <c r="AR135" s="22" t="s">
        <v>55</v>
      </c>
      <c r="AS135" s="22" t="s">
        <v>55</v>
      </c>
      <c r="AT135" s="22" t="s">
        <v>55</v>
      </c>
      <c r="AU135" s="22" t="s">
        <v>55</v>
      </c>
      <c r="AV135" s="22" t="s">
        <v>55</v>
      </c>
      <c r="AW135" s="22" t="s">
        <v>55</v>
      </c>
      <c r="AX135" s="22" t="s">
        <v>55</v>
      </c>
      <c r="AY135" s="22" t="s">
        <v>1133</v>
      </c>
    </row>
    <row r="136" spans="1:51" ht="43.5" x14ac:dyDescent="0.35">
      <c r="A136" s="22" t="s">
        <v>1153</v>
      </c>
      <c r="B136" s="22" t="s">
        <v>347</v>
      </c>
      <c r="C136" s="22" t="s">
        <v>116</v>
      </c>
      <c r="D136" s="22" t="s">
        <v>465</v>
      </c>
      <c r="E136" s="22" t="s">
        <v>52</v>
      </c>
      <c r="F136" s="22" t="s">
        <v>1147</v>
      </c>
      <c r="G136" s="22" t="s">
        <v>54</v>
      </c>
      <c r="H136" s="22" t="s">
        <v>1713</v>
      </c>
      <c r="I136" s="22" t="s">
        <v>803</v>
      </c>
      <c r="J136" s="22" t="s">
        <v>812</v>
      </c>
      <c r="K136" s="22" t="s">
        <v>868</v>
      </c>
      <c r="L136" s="22" t="s">
        <v>55</v>
      </c>
      <c r="M136" s="22" t="s">
        <v>476</v>
      </c>
      <c r="N136" s="22" t="s">
        <v>55</v>
      </c>
      <c r="O136" s="22" t="s">
        <v>1148</v>
      </c>
      <c r="P136" s="22" t="s">
        <v>1154</v>
      </c>
      <c r="Q136" s="22" t="s">
        <v>1155</v>
      </c>
      <c r="R136" s="22" t="s">
        <v>55</v>
      </c>
      <c r="S136" s="22" t="s">
        <v>55</v>
      </c>
      <c r="T136" s="22" t="s">
        <v>1151</v>
      </c>
      <c r="U136" s="22" t="s">
        <v>63</v>
      </c>
      <c r="V136" s="23">
        <v>45991</v>
      </c>
      <c r="W136" s="22" t="s">
        <v>55</v>
      </c>
      <c r="X136" s="22" t="s">
        <v>1152</v>
      </c>
      <c r="Y136" s="22" t="s">
        <v>65</v>
      </c>
      <c r="Z136" s="22" t="s">
        <v>55</v>
      </c>
      <c r="AA136" s="22" t="s">
        <v>152</v>
      </c>
      <c r="AB136" s="22" t="s">
        <v>55</v>
      </c>
      <c r="AC136" s="22" t="s">
        <v>55</v>
      </c>
      <c r="AD136" s="22" t="s">
        <v>118</v>
      </c>
      <c r="AE136" s="22" t="s">
        <v>97</v>
      </c>
      <c r="AF136" s="22" t="s">
        <v>477</v>
      </c>
      <c r="AG136" s="22" t="s">
        <v>55</v>
      </c>
      <c r="AH136" s="22" t="s">
        <v>55</v>
      </c>
      <c r="AI136" s="22" t="s">
        <v>55</v>
      </c>
      <c r="AJ136" s="22" t="s">
        <v>55</v>
      </c>
      <c r="AK136" s="22" t="s">
        <v>55</v>
      </c>
      <c r="AL136" s="22" t="s">
        <v>55</v>
      </c>
      <c r="AM136" s="22" t="s">
        <v>55</v>
      </c>
      <c r="AN136" s="22" t="s">
        <v>55</v>
      </c>
      <c r="AO136" s="22" t="s">
        <v>55</v>
      </c>
      <c r="AP136" s="22" t="s">
        <v>55</v>
      </c>
      <c r="AQ136" s="22" t="s">
        <v>55</v>
      </c>
      <c r="AR136" s="22" t="s">
        <v>55</v>
      </c>
      <c r="AS136" s="22" t="s">
        <v>55</v>
      </c>
      <c r="AT136" s="22" t="s">
        <v>55</v>
      </c>
      <c r="AU136" s="22" t="s">
        <v>55</v>
      </c>
      <c r="AV136" s="22" t="s">
        <v>55</v>
      </c>
      <c r="AW136" s="22" t="s">
        <v>55</v>
      </c>
      <c r="AX136" s="22" t="s">
        <v>55</v>
      </c>
      <c r="AY136" s="22" t="s">
        <v>1133</v>
      </c>
    </row>
    <row r="137" spans="1:51" ht="43.5" x14ac:dyDescent="0.35">
      <c r="A137" s="22" t="s">
        <v>1156</v>
      </c>
      <c r="B137" s="22" t="s">
        <v>347</v>
      </c>
      <c r="C137" s="22" t="s">
        <v>116</v>
      </c>
      <c r="D137" s="22" t="s">
        <v>465</v>
      </c>
      <c r="E137" s="22" t="s">
        <v>52</v>
      </c>
      <c r="F137" s="22" t="s">
        <v>1147</v>
      </c>
      <c r="G137" s="22" t="s">
        <v>54</v>
      </c>
      <c r="H137" s="22" t="s">
        <v>1713</v>
      </c>
      <c r="I137" s="22" t="s">
        <v>803</v>
      </c>
      <c r="J137" s="22" t="s">
        <v>815</v>
      </c>
      <c r="K137" s="22" t="s">
        <v>572</v>
      </c>
      <c r="L137" s="22" t="s">
        <v>55</v>
      </c>
      <c r="M137" s="22" t="s">
        <v>816</v>
      </c>
      <c r="N137" s="22" t="s">
        <v>55</v>
      </c>
      <c r="O137" s="22" t="s">
        <v>1148</v>
      </c>
      <c r="P137" s="22" t="s">
        <v>988</v>
      </c>
      <c r="Q137" s="22" t="s">
        <v>1157</v>
      </c>
      <c r="R137" s="22" t="s">
        <v>55</v>
      </c>
      <c r="S137" s="22" t="s">
        <v>55</v>
      </c>
      <c r="T137" s="22" t="s">
        <v>1151</v>
      </c>
      <c r="U137" s="22" t="s">
        <v>63</v>
      </c>
      <c r="V137" s="23">
        <v>45991</v>
      </c>
      <c r="W137" s="22" t="s">
        <v>55</v>
      </c>
      <c r="X137" s="22" t="s">
        <v>1152</v>
      </c>
      <c r="Y137" s="22" t="s">
        <v>65</v>
      </c>
      <c r="Z137" s="22" t="s">
        <v>55</v>
      </c>
      <c r="AA137" s="22" t="s">
        <v>152</v>
      </c>
      <c r="AB137" s="22" t="s">
        <v>55</v>
      </c>
      <c r="AC137" s="22" t="s">
        <v>55</v>
      </c>
      <c r="AD137" s="22" t="s">
        <v>118</v>
      </c>
      <c r="AE137" s="22" t="s">
        <v>97</v>
      </c>
      <c r="AF137" s="22" t="s">
        <v>69</v>
      </c>
      <c r="AG137" s="22" t="s">
        <v>55</v>
      </c>
      <c r="AH137" s="22" t="s">
        <v>55</v>
      </c>
      <c r="AI137" s="22" t="s">
        <v>55</v>
      </c>
      <c r="AJ137" s="22" t="s">
        <v>55</v>
      </c>
      <c r="AK137" s="22" t="s">
        <v>55</v>
      </c>
      <c r="AL137" s="22" t="s">
        <v>55</v>
      </c>
      <c r="AM137" s="22" t="s">
        <v>55</v>
      </c>
      <c r="AN137" s="22" t="s">
        <v>55</v>
      </c>
      <c r="AO137" s="22" t="s">
        <v>55</v>
      </c>
      <c r="AP137" s="22" t="s">
        <v>55</v>
      </c>
      <c r="AQ137" s="22" t="s">
        <v>55</v>
      </c>
      <c r="AR137" s="22" t="s">
        <v>55</v>
      </c>
      <c r="AS137" s="22" t="s">
        <v>55</v>
      </c>
      <c r="AT137" s="22" t="s">
        <v>55</v>
      </c>
      <c r="AU137" s="22" t="s">
        <v>55</v>
      </c>
      <c r="AV137" s="22" t="s">
        <v>55</v>
      </c>
      <c r="AW137" s="22" t="s">
        <v>55</v>
      </c>
      <c r="AX137" s="22" t="s">
        <v>55</v>
      </c>
      <c r="AY137" s="22" t="s">
        <v>1133</v>
      </c>
    </row>
    <row r="138" spans="1:51" ht="29" x14ac:dyDescent="0.35">
      <c r="A138" s="22" t="s">
        <v>1158</v>
      </c>
      <c r="B138" s="22" t="s">
        <v>347</v>
      </c>
      <c r="C138" s="22" t="s">
        <v>116</v>
      </c>
      <c r="D138" s="22" t="s">
        <v>465</v>
      </c>
      <c r="E138" s="22" t="s">
        <v>52</v>
      </c>
      <c r="F138" s="22" t="s">
        <v>1147</v>
      </c>
      <c r="G138" s="22" t="s">
        <v>54</v>
      </c>
      <c r="H138" s="22" t="s">
        <v>1713</v>
      </c>
      <c r="I138" s="22" t="s">
        <v>160</v>
      </c>
      <c r="J138" s="22" t="s">
        <v>1159</v>
      </c>
      <c r="K138" s="22" t="s">
        <v>558</v>
      </c>
      <c r="L138" s="22" t="s">
        <v>55</v>
      </c>
      <c r="M138" s="22" t="s">
        <v>1160</v>
      </c>
      <c r="N138" s="22" t="s">
        <v>55</v>
      </c>
      <c r="O138" s="22" t="s">
        <v>1148</v>
      </c>
      <c r="P138" s="22" t="s">
        <v>1161</v>
      </c>
      <c r="Q138" s="22" t="s">
        <v>1162</v>
      </c>
      <c r="R138" s="22" t="s">
        <v>55</v>
      </c>
      <c r="S138" s="22" t="s">
        <v>55</v>
      </c>
      <c r="T138" s="22" t="s">
        <v>1163</v>
      </c>
      <c r="U138" s="22" t="s">
        <v>63</v>
      </c>
      <c r="V138" s="23">
        <v>45961</v>
      </c>
      <c r="W138" s="22" t="s">
        <v>55</v>
      </c>
      <c r="X138" s="22" t="s">
        <v>1152</v>
      </c>
      <c r="Y138" s="22" t="s">
        <v>65</v>
      </c>
      <c r="Z138" s="22" t="s">
        <v>55</v>
      </c>
      <c r="AA138" s="22" t="s">
        <v>66</v>
      </c>
      <c r="AB138" s="22" t="s">
        <v>55</v>
      </c>
      <c r="AC138" s="22" t="s">
        <v>55</v>
      </c>
      <c r="AD138" s="22" t="s">
        <v>118</v>
      </c>
      <c r="AE138" s="22" t="s">
        <v>97</v>
      </c>
      <c r="AF138" s="22" t="s">
        <v>1164</v>
      </c>
      <c r="AG138" s="22" t="s">
        <v>55</v>
      </c>
      <c r="AH138" s="22" t="s">
        <v>55</v>
      </c>
      <c r="AI138" s="22" t="s">
        <v>55</v>
      </c>
      <c r="AJ138" s="22" t="s">
        <v>55</v>
      </c>
      <c r="AK138" s="22" t="s">
        <v>55</v>
      </c>
      <c r="AL138" s="22" t="s">
        <v>55</v>
      </c>
      <c r="AM138" s="22" t="s">
        <v>55</v>
      </c>
      <c r="AN138" s="22" t="s">
        <v>55</v>
      </c>
      <c r="AO138" s="22" t="s">
        <v>55</v>
      </c>
      <c r="AP138" s="22" t="s">
        <v>55</v>
      </c>
      <c r="AQ138" s="22" t="s">
        <v>55</v>
      </c>
      <c r="AR138" s="22" t="s">
        <v>55</v>
      </c>
      <c r="AS138" s="22" t="s">
        <v>55</v>
      </c>
      <c r="AT138" s="22" t="s">
        <v>55</v>
      </c>
      <c r="AU138" s="22" t="s">
        <v>55</v>
      </c>
      <c r="AV138" s="22" t="s">
        <v>55</v>
      </c>
      <c r="AW138" s="22" t="s">
        <v>55</v>
      </c>
      <c r="AX138" s="22" t="s">
        <v>55</v>
      </c>
      <c r="AY138" s="22" t="s">
        <v>1133</v>
      </c>
    </row>
    <row r="139" spans="1:51" ht="43.5" x14ac:dyDescent="0.35">
      <c r="A139" s="22" t="s">
        <v>1165</v>
      </c>
      <c r="B139" s="22" t="s">
        <v>347</v>
      </c>
      <c r="C139" s="22" t="s">
        <v>116</v>
      </c>
      <c r="D139" s="22" t="s">
        <v>465</v>
      </c>
      <c r="E139" s="22" t="s">
        <v>52</v>
      </c>
      <c r="F139" s="22" t="s">
        <v>1147</v>
      </c>
      <c r="G139" s="22" t="s">
        <v>54</v>
      </c>
      <c r="H139" s="22" t="s">
        <v>1713</v>
      </c>
      <c r="I139" s="22" t="s">
        <v>160</v>
      </c>
      <c r="J139" s="22" t="s">
        <v>1159</v>
      </c>
      <c r="K139" s="22" t="s">
        <v>561</v>
      </c>
      <c r="L139" s="22" t="s">
        <v>55</v>
      </c>
      <c r="M139" s="22" t="s">
        <v>1166</v>
      </c>
      <c r="N139" s="22" t="s">
        <v>55</v>
      </c>
      <c r="O139" s="22" t="s">
        <v>1148</v>
      </c>
      <c r="P139" s="22" t="s">
        <v>1167</v>
      </c>
      <c r="Q139" s="22" t="s">
        <v>1168</v>
      </c>
      <c r="R139" s="22" t="s">
        <v>55</v>
      </c>
      <c r="S139" s="22" t="s">
        <v>55</v>
      </c>
      <c r="T139" s="22" t="s">
        <v>1169</v>
      </c>
      <c r="U139" s="22" t="s">
        <v>132</v>
      </c>
      <c r="V139" s="23">
        <v>45961</v>
      </c>
      <c r="W139" s="22" t="s">
        <v>55</v>
      </c>
      <c r="X139" s="22" t="s">
        <v>1170</v>
      </c>
      <c r="Y139" s="22" t="s">
        <v>65</v>
      </c>
      <c r="Z139" s="22" t="s">
        <v>55</v>
      </c>
      <c r="AA139" s="22" t="s">
        <v>66</v>
      </c>
      <c r="AB139" s="22" t="s">
        <v>55</v>
      </c>
      <c r="AC139" s="22" t="s">
        <v>55</v>
      </c>
      <c r="AD139" s="22" t="s">
        <v>118</v>
      </c>
      <c r="AE139" s="22" t="s">
        <v>97</v>
      </c>
      <c r="AF139" s="22" t="s">
        <v>391</v>
      </c>
      <c r="AG139" s="22" t="s">
        <v>55</v>
      </c>
      <c r="AH139" s="22" t="s">
        <v>55</v>
      </c>
      <c r="AI139" s="22" t="s">
        <v>55</v>
      </c>
      <c r="AJ139" s="22" t="s">
        <v>55</v>
      </c>
      <c r="AK139" s="22" t="s">
        <v>55</v>
      </c>
      <c r="AL139" s="22" t="s">
        <v>55</v>
      </c>
      <c r="AM139" s="22" t="s">
        <v>55</v>
      </c>
      <c r="AN139" s="22" t="s">
        <v>55</v>
      </c>
      <c r="AO139" s="22" t="s">
        <v>55</v>
      </c>
      <c r="AP139" s="22" t="s">
        <v>55</v>
      </c>
      <c r="AQ139" s="22" t="s">
        <v>55</v>
      </c>
      <c r="AR139" s="22" t="s">
        <v>55</v>
      </c>
      <c r="AS139" s="22" t="s">
        <v>55</v>
      </c>
      <c r="AT139" s="22" t="s">
        <v>55</v>
      </c>
      <c r="AU139" s="22" t="s">
        <v>55</v>
      </c>
      <c r="AV139" s="22" t="s">
        <v>55</v>
      </c>
      <c r="AW139" s="22" t="s">
        <v>55</v>
      </c>
      <c r="AX139" s="22" t="s">
        <v>55</v>
      </c>
      <c r="AY139" s="22" t="s">
        <v>1133</v>
      </c>
    </row>
    <row r="140" spans="1:51" ht="29" x14ac:dyDescent="0.35">
      <c r="A140" s="22" t="s">
        <v>1171</v>
      </c>
      <c r="B140" s="22" t="s">
        <v>347</v>
      </c>
      <c r="C140" s="22" t="s">
        <v>116</v>
      </c>
      <c r="D140" s="22" t="s">
        <v>465</v>
      </c>
      <c r="E140" s="22" t="s">
        <v>52</v>
      </c>
      <c r="F140" s="22" t="s">
        <v>1147</v>
      </c>
      <c r="G140" s="22" t="s">
        <v>54</v>
      </c>
      <c r="H140" s="22" t="s">
        <v>1713</v>
      </c>
      <c r="I140" s="22" t="s">
        <v>121</v>
      </c>
      <c r="J140" s="22" t="s">
        <v>223</v>
      </c>
      <c r="K140" s="22" t="s">
        <v>564</v>
      </c>
      <c r="L140" s="22" t="s">
        <v>55</v>
      </c>
      <c r="M140" s="22" t="s">
        <v>154</v>
      </c>
      <c r="N140" s="22" t="s">
        <v>55</v>
      </c>
      <c r="O140" s="22" t="s">
        <v>1148</v>
      </c>
      <c r="P140" s="22" t="s">
        <v>1172</v>
      </c>
      <c r="Q140" s="22" t="s">
        <v>1173</v>
      </c>
      <c r="R140" s="22" t="s">
        <v>55</v>
      </c>
      <c r="S140" s="22" t="s">
        <v>55</v>
      </c>
      <c r="T140" s="22" t="s">
        <v>1174</v>
      </c>
      <c r="U140" s="22" t="s">
        <v>63</v>
      </c>
      <c r="V140" s="23">
        <v>45991</v>
      </c>
      <c r="W140" s="22" t="s">
        <v>55</v>
      </c>
      <c r="X140" s="22" t="s">
        <v>1175</v>
      </c>
      <c r="Y140" s="22" t="s">
        <v>65</v>
      </c>
      <c r="Z140" s="22" t="s">
        <v>55</v>
      </c>
      <c r="AA140" s="22" t="s">
        <v>152</v>
      </c>
      <c r="AB140" s="22" t="s">
        <v>55</v>
      </c>
      <c r="AC140" s="22" t="s">
        <v>55</v>
      </c>
      <c r="AD140" s="22" t="s">
        <v>118</v>
      </c>
      <c r="AE140" s="22" t="s">
        <v>97</v>
      </c>
      <c r="AF140" s="22" t="s">
        <v>156</v>
      </c>
      <c r="AG140" s="22" t="s">
        <v>55</v>
      </c>
      <c r="AH140" s="22" t="s">
        <v>55</v>
      </c>
      <c r="AI140" s="22" t="s">
        <v>55</v>
      </c>
      <c r="AJ140" s="22" t="s">
        <v>55</v>
      </c>
      <c r="AK140" s="22" t="s">
        <v>55</v>
      </c>
      <c r="AL140" s="22" t="s">
        <v>55</v>
      </c>
      <c r="AM140" s="22" t="s">
        <v>55</v>
      </c>
      <c r="AN140" s="22" t="s">
        <v>55</v>
      </c>
      <c r="AO140" s="22" t="s">
        <v>55</v>
      </c>
      <c r="AP140" s="22" t="s">
        <v>55</v>
      </c>
      <c r="AQ140" s="22" t="s">
        <v>55</v>
      </c>
      <c r="AR140" s="22" t="s">
        <v>55</v>
      </c>
      <c r="AS140" s="22" t="s">
        <v>55</v>
      </c>
      <c r="AT140" s="22" t="s">
        <v>55</v>
      </c>
      <c r="AU140" s="22" t="s">
        <v>55</v>
      </c>
      <c r="AV140" s="22" t="s">
        <v>55</v>
      </c>
      <c r="AW140" s="22" t="s">
        <v>55</v>
      </c>
      <c r="AX140" s="22" t="s">
        <v>55</v>
      </c>
      <c r="AY140" s="22" t="s">
        <v>1133</v>
      </c>
    </row>
    <row r="141" spans="1:51" ht="29" x14ac:dyDescent="0.35">
      <c r="A141" s="22" t="s">
        <v>1176</v>
      </c>
      <c r="B141" s="22" t="s">
        <v>347</v>
      </c>
      <c r="C141" s="22" t="s">
        <v>116</v>
      </c>
      <c r="D141" s="22" t="s">
        <v>465</v>
      </c>
      <c r="E141" s="22" t="s">
        <v>52</v>
      </c>
      <c r="F141" s="22" t="s">
        <v>1147</v>
      </c>
      <c r="G141" s="22" t="s">
        <v>54</v>
      </c>
      <c r="H141" s="22" t="s">
        <v>1713</v>
      </c>
      <c r="I141" s="22" t="s">
        <v>121</v>
      </c>
      <c r="J141" s="22" t="s">
        <v>562</v>
      </c>
      <c r="K141" s="22" t="s">
        <v>558</v>
      </c>
      <c r="L141" s="22" t="s">
        <v>55</v>
      </c>
      <c r="M141" s="22" t="s">
        <v>96</v>
      </c>
      <c r="N141" s="22" t="s">
        <v>55</v>
      </c>
      <c r="O141" s="22" t="s">
        <v>1148</v>
      </c>
      <c r="P141" s="22" t="s">
        <v>1177</v>
      </c>
      <c r="Q141" s="22" t="s">
        <v>1178</v>
      </c>
      <c r="R141" s="22" t="s">
        <v>55</v>
      </c>
      <c r="S141" s="22" t="s">
        <v>55</v>
      </c>
      <c r="T141" s="22" t="s">
        <v>1179</v>
      </c>
      <c r="U141" s="22" t="s">
        <v>63</v>
      </c>
      <c r="V141" s="23">
        <v>45991</v>
      </c>
      <c r="W141" s="22" t="s">
        <v>55</v>
      </c>
      <c r="X141" s="22" t="s">
        <v>1180</v>
      </c>
      <c r="Y141" s="22" t="s">
        <v>65</v>
      </c>
      <c r="Z141" s="22" t="s">
        <v>55</v>
      </c>
      <c r="AA141" s="22" t="s">
        <v>152</v>
      </c>
      <c r="AB141" s="22" t="s">
        <v>55</v>
      </c>
      <c r="AC141" s="22" t="s">
        <v>55</v>
      </c>
      <c r="AD141" s="22" t="s">
        <v>118</v>
      </c>
      <c r="AE141" s="22" t="s">
        <v>97</v>
      </c>
      <c r="AF141" s="22" t="s">
        <v>98</v>
      </c>
      <c r="AG141" s="22" t="s">
        <v>55</v>
      </c>
      <c r="AH141" s="22" t="s">
        <v>55</v>
      </c>
      <c r="AI141" s="22" t="s">
        <v>55</v>
      </c>
      <c r="AJ141" s="22" t="s">
        <v>55</v>
      </c>
      <c r="AK141" s="22" t="s">
        <v>55</v>
      </c>
      <c r="AL141" s="22" t="s">
        <v>55</v>
      </c>
      <c r="AM141" s="22" t="s">
        <v>55</v>
      </c>
      <c r="AN141" s="22" t="s">
        <v>55</v>
      </c>
      <c r="AO141" s="22" t="s">
        <v>55</v>
      </c>
      <c r="AP141" s="22" t="s">
        <v>55</v>
      </c>
      <c r="AQ141" s="22" t="s">
        <v>55</v>
      </c>
      <c r="AR141" s="22" t="s">
        <v>55</v>
      </c>
      <c r="AS141" s="22" t="s">
        <v>55</v>
      </c>
      <c r="AT141" s="22" t="s">
        <v>55</v>
      </c>
      <c r="AU141" s="22" t="s">
        <v>55</v>
      </c>
      <c r="AV141" s="22" t="s">
        <v>55</v>
      </c>
      <c r="AW141" s="22" t="s">
        <v>55</v>
      </c>
      <c r="AX141" s="22" t="s">
        <v>55</v>
      </c>
      <c r="AY141" s="22" t="s">
        <v>1133</v>
      </c>
    </row>
    <row r="142" spans="1:51" ht="29" x14ac:dyDescent="0.35">
      <c r="A142" s="22" t="s">
        <v>1181</v>
      </c>
      <c r="B142" s="22" t="s">
        <v>347</v>
      </c>
      <c r="C142" s="22" t="s">
        <v>116</v>
      </c>
      <c r="D142" s="22" t="s">
        <v>465</v>
      </c>
      <c r="E142" s="22" t="s">
        <v>52</v>
      </c>
      <c r="F142" s="22" t="s">
        <v>1147</v>
      </c>
      <c r="G142" s="22" t="s">
        <v>54</v>
      </c>
      <c r="H142" s="22" t="s">
        <v>1713</v>
      </c>
      <c r="I142" s="22" t="s">
        <v>121</v>
      </c>
      <c r="J142" s="22" t="s">
        <v>562</v>
      </c>
      <c r="K142" s="22" t="s">
        <v>558</v>
      </c>
      <c r="L142" s="22" t="s">
        <v>55</v>
      </c>
      <c r="M142" s="22" t="s">
        <v>1182</v>
      </c>
      <c r="N142" s="22" t="s">
        <v>55</v>
      </c>
      <c r="O142" s="22" t="s">
        <v>1148</v>
      </c>
      <c r="P142" s="22" t="s">
        <v>1183</v>
      </c>
      <c r="Q142" s="22" t="s">
        <v>1184</v>
      </c>
      <c r="R142" s="22" t="s">
        <v>55</v>
      </c>
      <c r="S142" s="22" t="s">
        <v>55</v>
      </c>
      <c r="T142" s="22" t="s">
        <v>1185</v>
      </c>
      <c r="U142" s="22" t="s">
        <v>63</v>
      </c>
      <c r="V142" s="23">
        <v>45991</v>
      </c>
      <c r="W142" s="22" t="s">
        <v>55</v>
      </c>
      <c r="X142" s="22" t="s">
        <v>1180</v>
      </c>
      <c r="Y142" s="22" t="s">
        <v>65</v>
      </c>
      <c r="Z142" s="22" t="s">
        <v>55</v>
      </c>
      <c r="AA142" s="22" t="s">
        <v>152</v>
      </c>
      <c r="AB142" s="22" t="s">
        <v>55</v>
      </c>
      <c r="AC142" s="22" t="s">
        <v>55</v>
      </c>
      <c r="AD142" s="22" t="s">
        <v>118</v>
      </c>
      <c r="AE142" s="22" t="s">
        <v>97</v>
      </c>
      <c r="AF142" s="22" t="s">
        <v>98</v>
      </c>
      <c r="AG142" s="22" t="s">
        <v>55</v>
      </c>
      <c r="AH142" s="22" t="s">
        <v>55</v>
      </c>
      <c r="AI142" s="22" t="s">
        <v>55</v>
      </c>
      <c r="AJ142" s="22" t="s">
        <v>55</v>
      </c>
      <c r="AK142" s="22" t="s">
        <v>55</v>
      </c>
      <c r="AL142" s="22" t="s">
        <v>55</v>
      </c>
      <c r="AM142" s="22" t="s">
        <v>55</v>
      </c>
      <c r="AN142" s="22" t="s">
        <v>55</v>
      </c>
      <c r="AO142" s="22" t="s">
        <v>55</v>
      </c>
      <c r="AP142" s="22" t="s">
        <v>55</v>
      </c>
      <c r="AQ142" s="22" t="s">
        <v>55</v>
      </c>
      <c r="AR142" s="22" t="s">
        <v>55</v>
      </c>
      <c r="AS142" s="22" t="s">
        <v>55</v>
      </c>
      <c r="AT142" s="22" t="s">
        <v>55</v>
      </c>
      <c r="AU142" s="22" t="s">
        <v>55</v>
      </c>
      <c r="AV142" s="22" t="s">
        <v>55</v>
      </c>
      <c r="AW142" s="22" t="s">
        <v>55</v>
      </c>
      <c r="AX142" s="22" t="s">
        <v>55</v>
      </c>
      <c r="AY142" s="22" t="s">
        <v>1133</v>
      </c>
    </row>
    <row r="143" spans="1:51" ht="58" x14ac:dyDescent="0.35">
      <c r="A143" s="22" t="s">
        <v>1186</v>
      </c>
      <c r="B143" s="22" t="s">
        <v>347</v>
      </c>
      <c r="C143" s="22" t="s">
        <v>116</v>
      </c>
      <c r="D143" s="22" t="s">
        <v>465</v>
      </c>
      <c r="E143" s="22" t="s">
        <v>52</v>
      </c>
      <c r="F143" s="22" t="s">
        <v>1147</v>
      </c>
      <c r="G143" s="22" t="s">
        <v>54</v>
      </c>
      <c r="H143" s="22" t="s">
        <v>1713</v>
      </c>
      <c r="I143" s="22" t="s">
        <v>121</v>
      </c>
      <c r="J143" s="22" t="s">
        <v>562</v>
      </c>
      <c r="K143" s="22" t="s">
        <v>559</v>
      </c>
      <c r="L143" s="22" t="s">
        <v>55</v>
      </c>
      <c r="M143" s="22" t="s">
        <v>1187</v>
      </c>
      <c r="N143" s="22" t="s">
        <v>55</v>
      </c>
      <c r="O143" s="22" t="s">
        <v>1148</v>
      </c>
      <c r="P143" s="22" t="s">
        <v>1188</v>
      </c>
      <c r="Q143" s="22" t="s">
        <v>1189</v>
      </c>
      <c r="R143" s="22" t="s">
        <v>55</v>
      </c>
      <c r="S143" s="22" t="s">
        <v>55</v>
      </c>
      <c r="T143" s="22" t="s">
        <v>1179</v>
      </c>
      <c r="U143" s="22" t="s">
        <v>63</v>
      </c>
      <c r="V143" s="23">
        <v>45960</v>
      </c>
      <c r="W143" s="22" t="s">
        <v>55</v>
      </c>
      <c r="X143" s="22" t="s">
        <v>1180</v>
      </c>
      <c r="Y143" s="22" t="s">
        <v>65</v>
      </c>
      <c r="Z143" s="22" t="s">
        <v>55</v>
      </c>
      <c r="AA143" s="22" t="s">
        <v>66</v>
      </c>
      <c r="AB143" s="22" t="s">
        <v>55</v>
      </c>
      <c r="AC143" s="22" t="s">
        <v>55</v>
      </c>
      <c r="AD143" s="22" t="s">
        <v>118</v>
      </c>
      <c r="AE143" s="22" t="s">
        <v>97</v>
      </c>
      <c r="AF143" s="22" t="s">
        <v>98</v>
      </c>
      <c r="AG143" s="22" t="s">
        <v>55</v>
      </c>
      <c r="AH143" s="22" t="s">
        <v>55</v>
      </c>
      <c r="AI143" s="22" t="s">
        <v>55</v>
      </c>
      <c r="AJ143" s="22" t="s">
        <v>55</v>
      </c>
      <c r="AK143" s="22" t="s">
        <v>55</v>
      </c>
      <c r="AL143" s="22" t="s">
        <v>55</v>
      </c>
      <c r="AM143" s="22" t="s">
        <v>55</v>
      </c>
      <c r="AN143" s="22" t="s">
        <v>55</v>
      </c>
      <c r="AO143" s="22" t="s">
        <v>55</v>
      </c>
      <c r="AP143" s="22" t="s">
        <v>55</v>
      </c>
      <c r="AQ143" s="22" t="s">
        <v>55</v>
      </c>
      <c r="AR143" s="22" t="s">
        <v>55</v>
      </c>
      <c r="AS143" s="22" t="s">
        <v>55</v>
      </c>
      <c r="AT143" s="22" t="s">
        <v>55</v>
      </c>
      <c r="AU143" s="22" t="s">
        <v>55</v>
      </c>
      <c r="AV143" s="22" t="s">
        <v>55</v>
      </c>
      <c r="AW143" s="22" t="s">
        <v>55</v>
      </c>
      <c r="AX143" s="22" t="s">
        <v>55</v>
      </c>
      <c r="AY143" s="22" t="s">
        <v>1133</v>
      </c>
    </row>
    <row r="144" spans="1:51" ht="72.5" x14ac:dyDescent="0.35">
      <c r="A144" s="22" t="s">
        <v>1190</v>
      </c>
      <c r="B144" s="22" t="s">
        <v>347</v>
      </c>
      <c r="C144" s="22" t="s">
        <v>116</v>
      </c>
      <c r="D144" s="22" t="s">
        <v>465</v>
      </c>
      <c r="E144" s="22" t="s">
        <v>52</v>
      </c>
      <c r="F144" s="22" t="s">
        <v>1147</v>
      </c>
      <c r="G144" s="22" t="s">
        <v>54</v>
      </c>
      <c r="H144" s="22" t="s">
        <v>1713</v>
      </c>
      <c r="I144" s="22" t="s">
        <v>121</v>
      </c>
      <c r="J144" s="22" t="s">
        <v>562</v>
      </c>
      <c r="K144" s="22" t="s">
        <v>565</v>
      </c>
      <c r="L144" s="22" t="s">
        <v>55</v>
      </c>
      <c r="M144" s="22" t="s">
        <v>1191</v>
      </c>
      <c r="N144" s="22" t="s">
        <v>55</v>
      </c>
      <c r="O144" s="22" t="s">
        <v>1148</v>
      </c>
      <c r="P144" s="22" t="s">
        <v>1192</v>
      </c>
      <c r="Q144" s="22" t="s">
        <v>1193</v>
      </c>
      <c r="R144" s="22" t="s">
        <v>55</v>
      </c>
      <c r="S144" s="22" t="s">
        <v>55</v>
      </c>
      <c r="T144" s="22" t="s">
        <v>1194</v>
      </c>
      <c r="U144" s="22" t="s">
        <v>63</v>
      </c>
      <c r="V144" s="23">
        <v>46022</v>
      </c>
      <c r="W144" s="22" t="s">
        <v>55</v>
      </c>
      <c r="X144" s="22" t="s">
        <v>1195</v>
      </c>
      <c r="Y144" s="22" t="s">
        <v>65</v>
      </c>
      <c r="Z144" s="22" t="s">
        <v>55</v>
      </c>
      <c r="AA144" s="22" t="s">
        <v>221</v>
      </c>
      <c r="AB144" s="22" t="s">
        <v>55</v>
      </c>
      <c r="AC144" s="22" t="s">
        <v>55</v>
      </c>
      <c r="AD144" s="22" t="s">
        <v>118</v>
      </c>
      <c r="AE144" s="22" t="s">
        <v>97</v>
      </c>
      <c r="AF144" s="22" t="s">
        <v>98</v>
      </c>
      <c r="AG144" s="22" t="s">
        <v>55</v>
      </c>
      <c r="AH144" s="22" t="s">
        <v>55</v>
      </c>
      <c r="AI144" s="22" t="s">
        <v>55</v>
      </c>
      <c r="AJ144" s="22" t="s">
        <v>55</v>
      </c>
      <c r="AK144" s="22" t="s">
        <v>55</v>
      </c>
      <c r="AL144" s="22" t="s">
        <v>55</v>
      </c>
      <c r="AM144" s="22" t="s">
        <v>55</v>
      </c>
      <c r="AN144" s="22" t="s">
        <v>55</v>
      </c>
      <c r="AO144" s="22" t="s">
        <v>55</v>
      </c>
      <c r="AP144" s="22" t="s">
        <v>55</v>
      </c>
      <c r="AQ144" s="22" t="s">
        <v>55</v>
      </c>
      <c r="AR144" s="22" t="s">
        <v>55</v>
      </c>
      <c r="AS144" s="22" t="s">
        <v>55</v>
      </c>
      <c r="AT144" s="22" t="s">
        <v>55</v>
      </c>
      <c r="AU144" s="22" t="s">
        <v>55</v>
      </c>
      <c r="AV144" s="22" t="s">
        <v>55</v>
      </c>
      <c r="AW144" s="22" t="s">
        <v>55</v>
      </c>
      <c r="AX144" s="22" t="s">
        <v>55</v>
      </c>
      <c r="AY144" s="22" t="s">
        <v>1133</v>
      </c>
    </row>
    <row r="145" spans="1:51" ht="43.5" x14ac:dyDescent="0.35">
      <c r="A145" s="22" t="s">
        <v>1196</v>
      </c>
      <c r="B145" s="22" t="s">
        <v>347</v>
      </c>
      <c r="C145" s="22" t="s">
        <v>116</v>
      </c>
      <c r="D145" s="22" t="s">
        <v>465</v>
      </c>
      <c r="E145" s="22" t="s">
        <v>52</v>
      </c>
      <c r="F145" s="22" t="s">
        <v>1147</v>
      </c>
      <c r="G145" s="22" t="s">
        <v>54</v>
      </c>
      <c r="H145" s="22" t="s">
        <v>1713</v>
      </c>
      <c r="I145" s="22" t="s">
        <v>121</v>
      </c>
      <c r="J145" s="22" t="s">
        <v>1118</v>
      </c>
      <c r="K145" s="22" t="s">
        <v>1197</v>
      </c>
      <c r="L145" s="22" t="s">
        <v>55</v>
      </c>
      <c r="M145" s="22" t="s">
        <v>1198</v>
      </c>
      <c r="N145" s="22" t="s">
        <v>55</v>
      </c>
      <c r="O145" s="22" t="s">
        <v>1148</v>
      </c>
      <c r="P145" s="22" t="s">
        <v>1199</v>
      </c>
      <c r="Q145" s="22" t="s">
        <v>1200</v>
      </c>
      <c r="R145" s="22" t="s">
        <v>55</v>
      </c>
      <c r="S145" s="22" t="s">
        <v>55</v>
      </c>
      <c r="T145" s="22" t="s">
        <v>1201</v>
      </c>
      <c r="U145" s="22" t="s">
        <v>63</v>
      </c>
      <c r="V145" s="23">
        <v>45961</v>
      </c>
      <c r="W145" s="22" t="s">
        <v>55</v>
      </c>
      <c r="X145" s="22" t="s">
        <v>1202</v>
      </c>
      <c r="Y145" s="22" t="s">
        <v>65</v>
      </c>
      <c r="Z145" s="22" t="s">
        <v>55</v>
      </c>
      <c r="AA145" s="22" t="s">
        <v>66</v>
      </c>
      <c r="AB145" s="22" t="s">
        <v>55</v>
      </c>
      <c r="AC145" s="22" t="s">
        <v>55</v>
      </c>
      <c r="AD145" s="22" t="s">
        <v>118</v>
      </c>
      <c r="AE145" s="22" t="s">
        <v>97</v>
      </c>
      <c r="AF145" s="22" t="s">
        <v>1203</v>
      </c>
      <c r="AG145" s="22" t="s">
        <v>55</v>
      </c>
      <c r="AH145" s="22" t="s">
        <v>55</v>
      </c>
      <c r="AI145" s="22" t="s">
        <v>55</v>
      </c>
      <c r="AJ145" s="22" t="s">
        <v>55</v>
      </c>
      <c r="AK145" s="22" t="s">
        <v>55</v>
      </c>
      <c r="AL145" s="22" t="s">
        <v>55</v>
      </c>
      <c r="AM145" s="22" t="s">
        <v>55</v>
      </c>
      <c r="AN145" s="22" t="s">
        <v>55</v>
      </c>
      <c r="AO145" s="22" t="s">
        <v>55</v>
      </c>
      <c r="AP145" s="22" t="s">
        <v>55</v>
      </c>
      <c r="AQ145" s="22" t="s">
        <v>55</v>
      </c>
      <c r="AR145" s="22" t="s">
        <v>55</v>
      </c>
      <c r="AS145" s="22" t="s">
        <v>55</v>
      </c>
      <c r="AT145" s="22" t="s">
        <v>55</v>
      </c>
      <c r="AU145" s="22" t="s">
        <v>55</v>
      </c>
      <c r="AV145" s="22" t="s">
        <v>55</v>
      </c>
      <c r="AW145" s="22" t="s">
        <v>55</v>
      </c>
      <c r="AX145" s="22" t="s">
        <v>55</v>
      </c>
      <c r="AY145" s="22" t="s">
        <v>1133</v>
      </c>
    </row>
    <row r="146" spans="1:51" ht="29" x14ac:dyDescent="0.35">
      <c r="A146" s="22" t="s">
        <v>1204</v>
      </c>
      <c r="B146" s="22" t="s">
        <v>347</v>
      </c>
      <c r="C146" s="22" t="s">
        <v>116</v>
      </c>
      <c r="D146" s="22" t="s">
        <v>465</v>
      </c>
      <c r="E146" s="22" t="s">
        <v>52</v>
      </c>
      <c r="F146" s="22" t="s">
        <v>1147</v>
      </c>
      <c r="G146" s="22" t="s">
        <v>54</v>
      </c>
      <c r="H146" s="22" t="s">
        <v>1713</v>
      </c>
      <c r="I146" s="22" t="s">
        <v>121</v>
      </c>
      <c r="J146" s="22" t="s">
        <v>223</v>
      </c>
      <c r="K146" s="22" t="s">
        <v>565</v>
      </c>
      <c r="L146" s="22" t="s">
        <v>55</v>
      </c>
      <c r="M146" s="22" t="s">
        <v>1205</v>
      </c>
      <c r="N146" s="22" t="s">
        <v>55</v>
      </c>
      <c r="O146" s="22" t="s">
        <v>1148</v>
      </c>
      <c r="P146" s="22" t="s">
        <v>1172</v>
      </c>
      <c r="Q146" s="22" t="s">
        <v>1206</v>
      </c>
      <c r="R146" s="22" t="s">
        <v>55</v>
      </c>
      <c r="S146" s="22" t="s">
        <v>55</v>
      </c>
      <c r="T146" s="22" t="s">
        <v>1207</v>
      </c>
      <c r="U146" s="22" t="s">
        <v>63</v>
      </c>
      <c r="V146" s="23">
        <v>45991</v>
      </c>
      <c r="W146" s="22" t="s">
        <v>55</v>
      </c>
      <c r="X146" s="22" t="s">
        <v>1202</v>
      </c>
      <c r="Y146" s="22" t="s">
        <v>65</v>
      </c>
      <c r="Z146" s="22" t="s">
        <v>55</v>
      </c>
      <c r="AA146" s="22" t="s">
        <v>152</v>
      </c>
      <c r="AB146" s="22" t="s">
        <v>55</v>
      </c>
      <c r="AC146" s="22" t="s">
        <v>55</v>
      </c>
      <c r="AD146" s="22" t="s">
        <v>118</v>
      </c>
      <c r="AE146" s="22" t="s">
        <v>97</v>
      </c>
      <c r="AF146" s="22" t="s">
        <v>123</v>
      </c>
      <c r="AG146" s="22" t="s">
        <v>55</v>
      </c>
      <c r="AH146" s="22" t="s">
        <v>55</v>
      </c>
      <c r="AI146" s="22" t="s">
        <v>55</v>
      </c>
      <c r="AJ146" s="22" t="s">
        <v>55</v>
      </c>
      <c r="AK146" s="22" t="s">
        <v>55</v>
      </c>
      <c r="AL146" s="22" t="s">
        <v>55</v>
      </c>
      <c r="AM146" s="22" t="s">
        <v>55</v>
      </c>
      <c r="AN146" s="22" t="s">
        <v>55</v>
      </c>
      <c r="AO146" s="22" t="s">
        <v>55</v>
      </c>
      <c r="AP146" s="22" t="s">
        <v>55</v>
      </c>
      <c r="AQ146" s="22" t="s">
        <v>55</v>
      </c>
      <c r="AR146" s="22" t="s">
        <v>55</v>
      </c>
      <c r="AS146" s="22" t="s">
        <v>55</v>
      </c>
      <c r="AT146" s="22" t="s">
        <v>55</v>
      </c>
      <c r="AU146" s="22" t="s">
        <v>55</v>
      </c>
      <c r="AV146" s="22" t="s">
        <v>55</v>
      </c>
      <c r="AW146" s="22" t="s">
        <v>55</v>
      </c>
      <c r="AX146" s="22" t="s">
        <v>55</v>
      </c>
      <c r="AY146" s="22" t="s">
        <v>1133</v>
      </c>
    </row>
    <row r="147" spans="1:51" ht="29" x14ac:dyDescent="0.35">
      <c r="A147" s="22" t="s">
        <v>1208</v>
      </c>
      <c r="B147" s="22" t="s">
        <v>347</v>
      </c>
      <c r="C147" s="22" t="s">
        <v>116</v>
      </c>
      <c r="D147" s="22" t="s">
        <v>465</v>
      </c>
      <c r="E147" s="22" t="s">
        <v>52</v>
      </c>
      <c r="F147" s="22" t="s">
        <v>1147</v>
      </c>
      <c r="G147" s="22" t="s">
        <v>54</v>
      </c>
      <c r="H147" s="22" t="s">
        <v>1713</v>
      </c>
      <c r="I147" s="22" t="s">
        <v>121</v>
      </c>
      <c r="J147" s="22" t="s">
        <v>223</v>
      </c>
      <c r="K147" s="22" t="s">
        <v>565</v>
      </c>
      <c r="L147" s="22" t="s">
        <v>55</v>
      </c>
      <c r="M147" s="22" t="s">
        <v>1209</v>
      </c>
      <c r="N147" s="22" t="s">
        <v>55</v>
      </c>
      <c r="O147" s="22" t="s">
        <v>1148</v>
      </c>
      <c r="P147" s="22" t="s">
        <v>1172</v>
      </c>
      <c r="Q147" s="22" t="s">
        <v>1210</v>
      </c>
      <c r="R147" s="22" t="s">
        <v>55</v>
      </c>
      <c r="S147" s="22" t="s">
        <v>55</v>
      </c>
      <c r="T147" s="22" t="s">
        <v>1207</v>
      </c>
      <c r="U147" s="22" t="s">
        <v>63</v>
      </c>
      <c r="V147" s="23">
        <v>45991</v>
      </c>
      <c r="W147" s="22" t="s">
        <v>55</v>
      </c>
      <c r="X147" s="22" t="s">
        <v>1202</v>
      </c>
      <c r="Y147" s="22" t="s">
        <v>65</v>
      </c>
      <c r="Z147" s="22" t="s">
        <v>55</v>
      </c>
      <c r="AA147" s="22" t="s">
        <v>152</v>
      </c>
      <c r="AB147" s="22" t="s">
        <v>55</v>
      </c>
      <c r="AC147" s="22" t="s">
        <v>55</v>
      </c>
      <c r="AD147" s="22" t="s">
        <v>118</v>
      </c>
      <c r="AE147" s="22" t="s">
        <v>97</v>
      </c>
      <c r="AF147" s="22" t="s">
        <v>123</v>
      </c>
      <c r="AG147" s="22" t="s">
        <v>55</v>
      </c>
      <c r="AH147" s="22" t="s">
        <v>55</v>
      </c>
      <c r="AI147" s="22" t="s">
        <v>55</v>
      </c>
      <c r="AJ147" s="22" t="s">
        <v>55</v>
      </c>
      <c r="AK147" s="22" t="s">
        <v>55</v>
      </c>
      <c r="AL147" s="22" t="s">
        <v>55</v>
      </c>
      <c r="AM147" s="22" t="s">
        <v>55</v>
      </c>
      <c r="AN147" s="22" t="s">
        <v>55</v>
      </c>
      <c r="AO147" s="22" t="s">
        <v>55</v>
      </c>
      <c r="AP147" s="22" t="s">
        <v>55</v>
      </c>
      <c r="AQ147" s="22" t="s">
        <v>55</v>
      </c>
      <c r="AR147" s="22" t="s">
        <v>55</v>
      </c>
      <c r="AS147" s="22" t="s">
        <v>55</v>
      </c>
      <c r="AT147" s="22" t="s">
        <v>55</v>
      </c>
      <c r="AU147" s="22" t="s">
        <v>55</v>
      </c>
      <c r="AV147" s="22" t="s">
        <v>55</v>
      </c>
      <c r="AW147" s="22" t="s">
        <v>55</v>
      </c>
      <c r="AX147" s="22" t="s">
        <v>55</v>
      </c>
      <c r="AY147" s="22" t="s">
        <v>1133</v>
      </c>
    </row>
    <row r="148" spans="1:51" ht="29" x14ac:dyDescent="0.35">
      <c r="A148" s="22" t="s">
        <v>1211</v>
      </c>
      <c r="B148" s="22" t="s">
        <v>347</v>
      </c>
      <c r="C148" s="22" t="s">
        <v>116</v>
      </c>
      <c r="D148" s="22" t="s">
        <v>465</v>
      </c>
      <c r="E148" s="22" t="s">
        <v>52</v>
      </c>
      <c r="F148" s="22" t="s">
        <v>1147</v>
      </c>
      <c r="G148" s="22" t="s">
        <v>54</v>
      </c>
      <c r="H148" s="22" t="s">
        <v>1713</v>
      </c>
      <c r="I148" s="22" t="s">
        <v>121</v>
      </c>
      <c r="J148" s="22" t="s">
        <v>223</v>
      </c>
      <c r="K148" s="22" t="s">
        <v>1212</v>
      </c>
      <c r="L148" s="22" t="s">
        <v>55</v>
      </c>
      <c r="M148" s="22" t="s">
        <v>1213</v>
      </c>
      <c r="N148" s="22" t="s">
        <v>55</v>
      </c>
      <c r="O148" s="22" t="s">
        <v>1148</v>
      </c>
      <c r="P148" s="22" t="s">
        <v>1214</v>
      </c>
      <c r="Q148" s="22" t="s">
        <v>1215</v>
      </c>
      <c r="R148" s="22" t="s">
        <v>55</v>
      </c>
      <c r="S148" s="22" t="s">
        <v>55</v>
      </c>
      <c r="T148" s="22" t="s">
        <v>1185</v>
      </c>
      <c r="U148" s="22" t="s">
        <v>63</v>
      </c>
      <c r="V148" s="23">
        <v>45991</v>
      </c>
      <c r="W148" s="22" t="s">
        <v>55</v>
      </c>
      <c r="X148" s="22" t="s">
        <v>1202</v>
      </c>
      <c r="Y148" s="22" t="s">
        <v>65</v>
      </c>
      <c r="Z148" s="22" t="s">
        <v>55</v>
      </c>
      <c r="AA148" s="22" t="s">
        <v>152</v>
      </c>
      <c r="AB148" s="22" t="s">
        <v>55</v>
      </c>
      <c r="AC148" s="22" t="s">
        <v>55</v>
      </c>
      <c r="AD148" s="22" t="s">
        <v>118</v>
      </c>
      <c r="AE148" s="22" t="s">
        <v>97</v>
      </c>
      <c r="AF148" s="22" t="s">
        <v>100</v>
      </c>
      <c r="AG148" s="22" t="s">
        <v>55</v>
      </c>
      <c r="AH148" s="22" t="s">
        <v>55</v>
      </c>
      <c r="AI148" s="22" t="s">
        <v>55</v>
      </c>
      <c r="AJ148" s="22" t="s">
        <v>55</v>
      </c>
      <c r="AK148" s="22" t="s">
        <v>55</v>
      </c>
      <c r="AL148" s="22" t="s">
        <v>55</v>
      </c>
      <c r="AM148" s="22" t="s">
        <v>55</v>
      </c>
      <c r="AN148" s="22" t="s">
        <v>55</v>
      </c>
      <c r="AO148" s="22" t="s">
        <v>55</v>
      </c>
      <c r="AP148" s="22" t="s">
        <v>55</v>
      </c>
      <c r="AQ148" s="22" t="s">
        <v>55</v>
      </c>
      <c r="AR148" s="22" t="s">
        <v>55</v>
      </c>
      <c r="AS148" s="22" t="s">
        <v>55</v>
      </c>
      <c r="AT148" s="22" t="s">
        <v>55</v>
      </c>
      <c r="AU148" s="22" t="s">
        <v>55</v>
      </c>
      <c r="AV148" s="22" t="s">
        <v>55</v>
      </c>
      <c r="AW148" s="22" t="s">
        <v>55</v>
      </c>
      <c r="AX148" s="22" t="s">
        <v>55</v>
      </c>
      <c r="AY148" s="22" t="s">
        <v>1133</v>
      </c>
    </row>
    <row r="149" spans="1:51" ht="29" x14ac:dyDescent="0.35">
      <c r="A149" s="22" t="s">
        <v>1216</v>
      </c>
      <c r="B149" s="22" t="s">
        <v>347</v>
      </c>
      <c r="C149" s="22" t="s">
        <v>116</v>
      </c>
      <c r="D149" s="22" t="s">
        <v>465</v>
      </c>
      <c r="E149" s="22" t="s">
        <v>52</v>
      </c>
      <c r="F149" s="22" t="s">
        <v>1147</v>
      </c>
      <c r="G149" s="22" t="s">
        <v>54</v>
      </c>
      <c r="H149" s="22" t="s">
        <v>1713</v>
      </c>
      <c r="I149" s="22" t="s">
        <v>121</v>
      </c>
      <c r="J149" s="22" t="s">
        <v>223</v>
      </c>
      <c r="K149" s="22" t="s">
        <v>565</v>
      </c>
      <c r="L149" s="22" t="s">
        <v>55</v>
      </c>
      <c r="M149" s="22" t="s">
        <v>224</v>
      </c>
      <c r="N149" s="22" t="s">
        <v>55</v>
      </c>
      <c r="O149" s="22" t="s">
        <v>1148</v>
      </c>
      <c r="P149" s="22" t="s">
        <v>1172</v>
      </c>
      <c r="Q149" s="22" t="s">
        <v>1217</v>
      </c>
      <c r="R149" s="22" t="s">
        <v>55</v>
      </c>
      <c r="S149" s="22" t="s">
        <v>55</v>
      </c>
      <c r="T149" s="22" t="s">
        <v>1207</v>
      </c>
      <c r="U149" s="22" t="s">
        <v>63</v>
      </c>
      <c r="V149" s="23">
        <v>45991</v>
      </c>
      <c r="W149" s="22" t="s">
        <v>55</v>
      </c>
      <c r="X149" s="22" t="s">
        <v>1202</v>
      </c>
      <c r="Y149" s="22" t="s">
        <v>65</v>
      </c>
      <c r="Z149" s="22" t="s">
        <v>55</v>
      </c>
      <c r="AA149" s="22" t="s">
        <v>152</v>
      </c>
      <c r="AB149" s="22" t="s">
        <v>55</v>
      </c>
      <c r="AC149" s="22" t="s">
        <v>55</v>
      </c>
      <c r="AD149" s="22" t="s">
        <v>118</v>
      </c>
      <c r="AE149" s="22" t="s">
        <v>97</v>
      </c>
      <c r="AF149" s="22" t="s">
        <v>226</v>
      </c>
      <c r="AG149" s="22" t="s">
        <v>55</v>
      </c>
      <c r="AH149" s="22" t="s">
        <v>55</v>
      </c>
      <c r="AI149" s="22" t="s">
        <v>55</v>
      </c>
      <c r="AJ149" s="22" t="s">
        <v>55</v>
      </c>
      <c r="AK149" s="22" t="s">
        <v>55</v>
      </c>
      <c r="AL149" s="22" t="s">
        <v>55</v>
      </c>
      <c r="AM149" s="22" t="s">
        <v>55</v>
      </c>
      <c r="AN149" s="22" t="s">
        <v>55</v>
      </c>
      <c r="AO149" s="22" t="s">
        <v>55</v>
      </c>
      <c r="AP149" s="22" t="s">
        <v>55</v>
      </c>
      <c r="AQ149" s="22" t="s">
        <v>55</v>
      </c>
      <c r="AR149" s="22" t="s">
        <v>55</v>
      </c>
      <c r="AS149" s="22" t="s">
        <v>55</v>
      </c>
      <c r="AT149" s="22" t="s">
        <v>55</v>
      </c>
      <c r="AU149" s="22" t="s">
        <v>55</v>
      </c>
      <c r="AV149" s="22" t="s">
        <v>55</v>
      </c>
      <c r="AW149" s="22" t="s">
        <v>55</v>
      </c>
      <c r="AX149" s="22" t="s">
        <v>55</v>
      </c>
      <c r="AY149" s="22" t="s">
        <v>1133</v>
      </c>
    </row>
    <row r="150" spans="1:51" ht="29" x14ac:dyDescent="0.35">
      <c r="A150" s="22" t="s">
        <v>1218</v>
      </c>
      <c r="B150" s="22" t="s">
        <v>347</v>
      </c>
      <c r="C150" s="22" t="s">
        <v>116</v>
      </c>
      <c r="D150" s="22" t="s">
        <v>465</v>
      </c>
      <c r="E150" s="22" t="s">
        <v>52</v>
      </c>
      <c r="F150" s="22" t="s">
        <v>1147</v>
      </c>
      <c r="G150" s="22" t="s">
        <v>54</v>
      </c>
      <c r="H150" s="22" t="s">
        <v>1713</v>
      </c>
      <c r="I150" s="22" t="s">
        <v>121</v>
      </c>
      <c r="J150" s="22" t="s">
        <v>223</v>
      </c>
      <c r="K150" s="22" t="s">
        <v>565</v>
      </c>
      <c r="L150" s="22" t="s">
        <v>55</v>
      </c>
      <c r="M150" s="22" t="s">
        <v>258</v>
      </c>
      <c r="N150" s="22" t="s">
        <v>55</v>
      </c>
      <c r="O150" s="22" t="s">
        <v>1148</v>
      </c>
      <c r="P150" s="22" t="s">
        <v>1172</v>
      </c>
      <c r="Q150" s="22" t="s">
        <v>1206</v>
      </c>
      <c r="R150" s="22" t="s">
        <v>55</v>
      </c>
      <c r="S150" s="22" t="s">
        <v>55</v>
      </c>
      <c r="T150" s="22" t="s">
        <v>1207</v>
      </c>
      <c r="U150" s="22" t="s">
        <v>63</v>
      </c>
      <c r="V150" s="23">
        <v>45991</v>
      </c>
      <c r="W150" s="22" t="s">
        <v>55</v>
      </c>
      <c r="X150" s="22" t="s">
        <v>1202</v>
      </c>
      <c r="Y150" s="22" t="s">
        <v>65</v>
      </c>
      <c r="Z150" s="22" t="s">
        <v>55</v>
      </c>
      <c r="AA150" s="22" t="s">
        <v>152</v>
      </c>
      <c r="AB150" s="22" t="s">
        <v>55</v>
      </c>
      <c r="AC150" s="22" t="s">
        <v>55</v>
      </c>
      <c r="AD150" s="22" t="s">
        <v>118</v>
      </c>
      <c r="AE150" s="22" t="s">
        <v>97</v>
      </c>
      <c r="AF150" s="22" t="s">
        <v>226</v>
      </c>
      <c r="AG150" s="22" t="s">
        <v>55</v>
      </c>
      <c r="AH150" s="22" t="s">
        <v>55</v>
      </c>
      <c r="AI150" s="22" t="s">
        <v>55</v>
      </c>
      <c r="AJ150" s="22" t="s">
        <v>55</v>
      </c>
      <c r="AK150" s="22" t="s">
        <v>55</v>
      </c>
      <c r="AL150" s="22" t="s">
        <v>55</v>
      </c>
      <c r="AM150" s="22" t="s">
        <v>55</v>
      </c>
      <c r="AN150" s="22" t="s">
        <v>55</v>
      </c>
      <c r="AO150" s="22" t="s">
        <v>55</v>
      </c>
      <c r="AP150" s="22" t="s">
        <v>55</v>
      </c>
      <c r="AQ150" s="22" t="s">
        <v>55</v>
      </c>
      <c r="AR150" s="22" t="s">
        <v>55</v>
      </c>
      <c r="AS150" s="22" t="s">
        <v>55</v>
      </c>
      <c r="AT150" s="22" t="s">
        <v>55</v>
      </c>
      <c r="AU150" s="22" t="s">
        <v>55</v>
      </c>
      <c r="AV150" s="22" t="s">
        <v>55</v>
      </c>
      <c r="AW150" s="22" t="s">
        <v>55</v>
      </c>
      <c r="AX150" s="22" t="s">
        <v>55</v>
      </c>
      <c r="AY150" s="22" t="s">
        <v>1133</v>
      </c>
    </row>
    <row r="151" spans="1:51" ht="29" x14ac:dyDescent="0.35">
      <c r="A151" s="22" t="s">
        <v>1219</v>
      </c>
      <c r="B151" s="22" t="s">
        <v>347</v>
      </c>
      <c r="C151" s="22" t="s">
        <v>116</v>
      </c>
      <c r="D151" s="22" t="s">
        <v>465</v>
      </c>
      <c r="E151" s="22" t="s">
        <v>52</v>
      </c>
      <c r="F151" s="22" t="s">
        <v>1220</v>
      </c>
      <c r="G151" s="22" t="s">
        <v>54</v>
      </c>
      <c r="H151" s="22" t="s">
        <v>1728</v>
      </c>
      <c r="I151" s="22" t="s">
        <v>121</v>
      </c>
      <c r="J151" s="22" t="s">
        <v>223</v>
      </c>
      <c r="K151" s="22" t="s">
        <v>564</v>
      </c>
      <c r="L151" s="22" t="s">
        <v>55</v>
      </c>
      <c r="M151" s="22" t="s">
        <v>154</v>
      </c>
      <c r="N151" s="22" t="s">
        <v>55</v>
      </c>
      <c r="O151" s="22" t="s">
        <v>1221</v>
      </c>
      <c r="P151" s="22" t="s">
        <v>1222</v>
      </c>
      <c r="Q151" s="22" t="s">
        <v>1223</v>
      </c>
      <c r="R151" s="22" t="s">
        <v>55</v>
      </c>
      <c r="S151" s="22" t="s">
        <v>55</v>
      </c>
      <c r="T151" s="22" t="s">
        <v>1224</v>
      </c>
      <c r="U151" s="22" t="s">
        <v>63</v>
      </c>
      <c r="V151" s="23">
        <v>45961</v>
      </c>
      <c r="W151" s="22" t="s">
        <v>55</v>
      </c>
      <c r="X151" s="22" t="s">
        <v>1225</v>
      </c>
      <c r="Y151" s="22" t="s">
        <v>65</v>
      </c>
      <c r="Z151" s="22" t="s">
        <v>55</v>
      </c>
      <c r="AA151" s="22" t="s">
        <v>66</v>
      </c>
      <c r="AB151" s="22" t="s">
        <v>55</v>
      </c>
      <c r="AC151" s="22" t="s">
        <v>55</v>
      </c>
      <c r="AD151" s="22" t="s">
        <v>118</v>
      </c>
      <c r="AE151" s="22" t="s">
        <v>97</v>
      </c>
      <c r="AF151" s="22" t="s">
        <v>156</v>
      </c>
      <c r="AG151" s="22" t="s">
        <v>55</v>
      </c>
      <c r="AH151" s="22" t="s">
        <v>55</v>
      </c>
      <c r="AI151" s="22" t="s">
        <v>55</v>
      </c>
      <c r="AJ151" s="22" t="s">
        <v>55</v>
      </c>
      <c r="AK151" s="22" t="s">
        <v>55</v>
      </c>
      <c r="AL151" s="22" t="s">
        <v>55</v>
      </c>
      <c r="AM151" s="22" t="s">
        <v>55</v>
      </c>
      <c r="AN151" s="22" t="s">
        <v>55</v>
      </c>
      <c r="AO151" s="22" t="s">
        <v>55</v>
      </c>
      <c r="AP151" s="22" t="s">
        <v>55</v>
      </c>
      <c r="AQ151" s="22" t="s">
        <v>55</v>
      </c>
      <c r="AR151" s="22" t="s">
        <v>55</v>
      </c>
      <c r="AS151" s="22" t="s">
        <v>55</v>
      </c>
      <c r="AT151" s="22" t="s">
        <v>55</v>
      </c>
      <c r="AU151" s="22" t="s">
        <v>55</v>
      </c>
      <c r="AV151" s="22" t="s">
        <v>55</v>
      </c>
      <c r="AW151" s="22" t="s">
        <v>55</v>
      </c>
      <c r="AX151" s="22" t="s">
        <v>55</v>
      </c>
      <c r="AY151" s="22" t="s">
        <v>1133</v>
      </c>
    </row>
    <row r="152" spans="1:51" ht="29" x14ac:dyDescent="0.35">
      <c r="A152" s="22" t="s">
        <v>1226</v>
      </c>
      <c r="B152" s="22" t="s">
        <v>347</v>
      </c>
      <c r="C152" s="22" t="s">
        <v>116</v>
      </c>
      <c r="D152" s="22" t="s">
        <v>465</v>
      </c>
      <c r="E152" s="22" t="s">
        <v>52</v>
      </c>
      <c r="F152" s="22" t="s">
        <v>1227</v>
      </c>
      <c r="G152" s="22" t="s">
        <v>126</v>
      </c>
      <c r="H152" s="22" t="s">
        <v>127</v>
      </c>
      <c r="I152" s="22" t="s">
        <v>117</v>
      </c>
      <c r="J152" s="22" t="s">
        <v>842</v>
      </c>
      <c r="K152" s="22" t="s">
        <v>584</v>
      </c>
      <c r="L152" s="22" t="s">
        <v>55</v>
      </c>
      <c r="M152" s="22" t="s">
        <v>128</v>
      </c>
      <c r="N152" s="22" t="s">
        <v>55</v>
      </c>
      <c r="O152" s="22" t="s">
        <v>1228</v>
      </c>
      <c r="P152" s="22" t="s">
        <v>1229</v>
      </c>
      <c r="Q152" s="22" t="s">
        <v>1230</v>
      </c>
      <c r="R152" s="22" t="s">
        <v>55</v>
      </c>
      <c r="S152" s="22" t="s">
        <v>55</v>
      </c>
      <c r="T152" s="22" t="s">
        <v>1231</v>
      </c>
      <c r="U152" s="22" t="s">
        <v>132</v>
      </c>
      <c r="V152" s="23">
        <v>46022</v>
      </c>
      <c r="W152" s="22" t="s">
        <v>55</v>
      </c>
      <c r="X152" s="22" t="s">
        <v>1110</v>
      </c>
      <c r="Y152" s="22" t="s">
        <v>65</v>
      </c>
      <c r="Z152" s="22" t="s">
        <v>55</v>
      </c>
      <c r="AA152" s="22" t="s">
        <v>221</v>
      </c>
      <c r="AB152" s="22" t="s">
        <v>55</v>
      </c>
      <c r="AC152" s="22" t="s">
        <v>55</v>
      </c>
      <c r="AD152" s="22" t="s">
        <v>118</v>
      </c>
      <c r="AE152" s="22" t="s">
        <v>97</v>
      </c>
      <c r="AF152" s="22" t="s">
        <v>69</v>
      </c>
      <c r="AG152" s="22" t="s">
        <v>55</v>
      </c>
      <c r="AH152" s="22" t="s">
        <v>55</v>
      </c>
      <c r="AI152" s="22" t="s">
        <v>55</v>
      </c>
      <c r="AJ152" s="22" t="s">
        <v>55</v>
      </c>
      <c r="AK152" s="22" t="s">
        <v>55</v>
      </c>
      <c r="AL152" s="22" t="s">
        <v>55</v>
      </c>
      <c r="AM152" s="22" t="s">
        <v>55</v>
      </c>
      <c r="AN152" s="22" t="s">
        <v>55</v>
      </c>
      <c r="AO152" s="22" t="s">
        <v>55</v>
      </c>
      <c r="AP152" s="22" t="s">
        <v>55</v>
      </c>
      <c r="AQ152" s="22" t="s">
        <v>55</v>
      </c>
      <c r="AR152" s="22" t="s">
        <v>55</v>
      </c>
      <c r="AS152" s="22" t="s">
        <v>55</v>
      </c>
      <c r="AT152" s="22" t="s">
        <v>55</v>
      </c>
      <c r="AU152" s="22" t="s">
        <v>55</v>
      </c>
      <c r="AV152" s="22" t="s">
        <v>55</v>
      </c>
      <c r="AW152" s="22" t="s">
        <v>55</v>
      </c>
      <c r="AX152" s="22" t="s">
        <v>55</v>
      </c>
      <c r="AY152" s="22" t="s">
        <v>1133</v>
      </c>
    </row>
    <row r="153" spans="1:51" ht="29" x14ac:dyDescent="0.35">
      <c r="A153" s="22" t="s">
        <v>1232</v>
      </c>
      <c r="B153" s="22" t="s">
        <v>347</v>
      </c>
      <c r="C153" s="22" t="s">
        <v>116</v>
      </c>
      <c r="D153" s="22" t="s">
        <v>465</v>
      </c>
      <c r="E153" s="22" t="s">
        <v>52</v>
      </c>
      <c r="F153" s="22" t="s">
        <v>1227</v>
      </c>
      <c r="G153" s="22" t="s">
        <v>126</v>
      </c>
      <c r="H153" s="22" t="s">
        <v>127</v>
      </c>
      <c r="I153" s="22" t="s">
        <v>121</v>
      </c>
      <c r="J153" s="22" t="s">
        <v>223</v>
      </c>
      <c r="K153" s="22" t="s">
        <v>868</v>
      </c>
      <c r="L153" s="22" t="s">
        <v>55</v>
      </c>
      <c r="M153" s="22" t="s">
        <v>1233</v>
      </c>
      <c r="N153" s="22" t="s">
        <v>55</v>
      </c>
      <c r="O153" s="22" t="s">
        <v>1228</v>
      </c>
      <c r="P153" s="22" t="s">
        <v>1234</v>
      </c>
      <c r="Q153" s="22" t="s">
        <v>1235</v>
      </c>
      <c r="R153" s="22" t="s">
        <v>55</v>
      </c>
      <c r="S153" s="22" t="s">
        <v>55</v>
      </c>
      <c r="T153" s="22" t="s">
        <v>1236</v>
      </c>
      <c r="U153" s="22" t="s">
        <v>63</v>
      </c>
      <c r="V153" s="23">
        <v>45961</v>
      </c>
      <c r="W153" s="22" t="s">
        <v>55</v>
      </c>
      <c r="X153" s="22" t="s">
        <v>1237</v>
      </c>
      <c r="Y153" s="22" t="s">
        <v>65</v>
      </c>
      <c r="Z153" s="22" t="s">
        <v>55</v>
      </c>
      <c r="AA153" s="22" t="s">
        <v>66</v>
      </c>
      <c r="AB153" s="22" t="s">
        <v>55</v>
      </c>
      <c r="AC153" s="22" t="s">
        <v>55</v>
      </c>
      <c r="AD153" s="22" t="s">
        <v>118</v>
      </c>
      <c r="AE153" s="22" t="s">
        <v>97</v>
      </c>
      <c r="AF153" s="22" t="s">
        <v>1238</v>
      </c>
      <c r="AG153" s="22" t="s">
        <v>55</v>
      </c>
      <c r="AH153" s="22" t="s">
        <v>55</v>
      </c>
      <c r="AI153" s="22" t="s">
        <v>55</v>
      </c>
      <c r="AJ153" s="22" t="s">
        <v>55</v>
      </c>
      <c r="AK153" s="22" t="s">
        <v>55</v>
      </c>
      <c r="AL153" s="22" t="s">
        <v>55</v>
      </c>
      <c r="AM153" s="22" t="s">
        <v>55</v>
      </c>
      <c r="AN153" s="22" t="s">
        <v>55</v>
      </c>
      <c r="AO153" s="22" t="s">
        <v>55</v>
      </c>
      <c r="AP153" s="22" t="s">
        <v>55</v>
      </c>
      <c r="AQ153" s="22" t="s">
        <v>55</v>
      </c>
      <c r="AR153" s="22" t="s">
        <v>55</v>
      </c>
      <c r="AS153" s="22" t="s">
        <v>55</v>
      </c>
      <c r="AT153" s="22" t="s">
        <v>55</v>
      </c>
      <c r="AU153" s="22" t="s">
        <v>55</v>
      </c>
      <c r="AV153" s="22" t="s">
        <v>55</v>
      </c>
      <c r="AW153" s="22" t="s">
        <v>55</v>
      </c>
      <c r="AX153" s="22" t="s">
        <v>55</v>
      </c>
      <c r="AY153" s="22" t="s">
        <v>1133</v>
      </c>
    </row>
    <row r="154" spans="1:51" ht="58" x14ac:dyDescent="0.35">
      <c r="A154" s="22" t="s">
        <v>1239</v>
      </c>
      <c r="B154" s="22" t="s">
        <v>347</v>
      </c>
      <c r="C154" s="22" t="s">
        <v>116</v>
      </c>
      <c r="D154" s="22" t="s">
        <v>465</v>
      </c>
      <c r="E154" s="22" t="s">
        <v>52</v>
      </c>
      <c r="F154" s="22" t="s">
        <v>1240</v>
      </c>
      <c r="G154" s="22" t="s">
        <v>54</v>
      </c>
      <c r="H154" s="22" t="s">
        <v>1714</v>
      </c>
      <c r="I154" s="22" t="s">
        <v>121</v>
      </c>
      <c r="J154" s="22" t="s">
        <v>223</v>
      </c>
      <c r="K154" s="22" t="s">
        <v>572</v>
      </c>
      <c r="L154" s="22" t="s">
        <v>55</v>
      </c>
      <c r="M154" s="22" t="s">
        <v>614</v>
      </c>
      <c r="N154" s="22" t="s">
        <v>55</v>
      </c>
      <c r="O154" s="22" t="s">
        <v>1241</v>
      </c>
      <c r="P154" s="22" t="s">
        <v>1242</v>
      </c>
      <c r="Q154" s="22" t="s">
        <v>1243</v>
      </c>
      <c r="R154" s="22" t="s">
        <v>55</v>
      </c>
      <c r="S154" s="22" t="s">
        <v>55</v>
      </c>
      <c r="T154" s="22" t="s">
        <v>1244</v>
      </c>
      <c r="U154" s="22" t="s">
        <v>63</v>
      </c>
      <c r="V154" s="23">
        <v>46022</v>
      </c>
      <c r="W154" s="22" t="s">
        <v>55</v>
      </c>
      <c r="X154" s="22" t="s">
        <v>1245</v>
      </c>
      <c r="Y154" s="22" t="s">
        <v>65</v>
      </c>
      <c r="Z154" s="22" t="s">
        <v>55</v>
      </c>
      <c r="AA154" s="22" t="s">
        <v>221</v>
      </c>
      <c r="AB154" s="22" t="s">
        <v>55</v>
      </c>
      <c r="AC154" s="22" t="s">
        <v>55</v>
      </c>
      <c r="AD154" s="22" t="s">
        <v>118</v>
      </c>
      <c r="AE154" s="22" t="s">
        <v>97</v>
      </c>
      <c r="AF154" s="22" t="s">
        <v>69</v>
      </c>
      <c r="AG154" s="22" t="s">
        <v>55</v>
      </c>
      <c r="AH154" s="22" t="s">
        <v>55</v>
      </c>
      <c r="AI154" s="22" t="s">
        <v>55</v>
      </c>
      <c r="AJ154" s="22" t="s">
        <v>55</v>
      </c>
      <c r="AK154" s="22" t="s">
        <v>55</v>
      </c>
      <c r="AL154" s="22" t="s">
        <v>55</v>
      </c>
      <c r="AM154" s="22" t="s">
        <v>55</v>
      </c>
      <c r="AN154" s="22" t="s">
        <v>55</v>
      </c>
      <c r="AO154" s="22" t="s">
        <v>55</v>
      </c>
      <c r="AP154" s="22" t="s">
        <v>55</v>
      </c>
      <c r="AQ154" s="22" t="s">
        <v>55</v>
      </c>
      <c r="AR154" s="22" t="s">
        <v>55</v>
      </c>
      <c r="AS154" s="22" t="s">
        <v>55</v>
      </c>
      <c r="AT154" s="22" t="s">
        <v>55</v>
      </c>
      <c r="AU154" s="22" t="s">
        <v>55</v>
      </c>
      <c r="AV154" s="22" t="s">
        <v>55</v>
      </c>
      <c r="AW154" s="22" t="s">
        <v>55</v>
      </c>
      <c r="AX154" s="22" t="s">
        <v>55</v>
      </c>
      <c r="AY154" s="22" t="s">
        <v>1133</v>
      </c>
    </row>
    <row r="155" spans="1:51" ht="43.5" x14ac:dyDescent="0.35">
      <c r="A155" s="22" t="s">
        <v>1246</v>
      </c>
      <c r="B155" s="22" t="s">
        <v>347</v>
      </c>
      <c r="C155" s="22" t="s">
        <v>116</v>
      </c>
      <c r="D155" s="22" t="s">
        <v>465</v>
      </c>
      <c r="E155" s="22" t="s">
        <v>52</v>
      </c>
      <c r="F155" s="22" t="s">
        <v>1240</v>
      </c>
      <c r="G155" s="22" t="s">
        <v>54</v>
      </c>
      <c r="H155" s="22" t="s">
        <v>1714</v>
      </c>
      <c r="I155" s="22" t="s">
        <v>121</v>
      </c>
      <c r="J155" s="22" t="s">
        <v>843</v>
      </c>
      <c r="K155" s="22" t="s">
        <v>867</v>
      </c>
      <c r="L155" s="22" t="s">
        <v>55</v>
      </c>
      <c r="M155" s="22" t="s">
        <v>998</v>
      </c>
      <c r="N155" s="22" t="s">
        <v>55</v>
      </c>
      <c r="O155" s="22" t="s">
        <v>1241</v>
      </c>
      <c r="P155" s="22" t="s">
        <v>1247</v>
      </c>
      <c r="Q155" s="22" t="s">
        <v>1248</v>
      </c>
      <c r="R155" s="22" t="s">
        <v>55</v>
      </c>
      <c r="S155" s="22" t="s">
        <v>55</v>
      </c>
      <c r="T155" s="22" t="s">
        <v>1249</v>
      </c>
      <c r="U155" s="22" t="s">
        <v>63</v>
      </c>
      <c r="V155" s="23">
        <v>46022</v>
      </c>
      <c r="W155" s="22" t="s">
        <v>55</v>
      </c>
      <c r="X155" s="22" t="s">
        <v>1250</v>
      </c>
      <c r="Y155" s="22" t="s">
        <v>65</v>
      </c>
      <c r="Z155" s="22" t="s">
        <v>55</v>
      </c>
      <c r="AA155" s="22" t="s">
        <v>221</v>
      </c>
      <c r="AB155" s="22" t="s">
        <v>55</v>
      </c>
      <c r="AC155" s="22" t="s">
        <v>55</v>
      </c>
      <c r="AD155" s="22" t="s">
        <v>118</v>
      </c>
      <c r="AE155" s="22" t="s">
        <v>97</v>
      </c>
      <c r="AF155" s="22" t="s">
        <v>1004</v>
      </c>
      <c r="AG155" s="22" t="s">
        <v>55</v>
      </c>
      <c r="AH155" s="22" t="s">
        <v>55</v>
      </c>
      <c r="AI155" s="22" t="s">
        <v>55</v>
      </c>
      <c r="AJ155" s="22" t="s">
        <v>55</v>
      </c>
      <c r="AK155" s="22" t="s">
        <v>55</v>
      </c>
      <c r="AL155" s="22" t="s">
        <v>55</v>
      </c>
      <c r="AM155" s="22" t="s">
        <v>55</v>
      </c>
      <c r="AN155" s="22" t="s">
        <v>55</v>
      </c>
      <c r="AO155" s="22" t="s">
        <v>55</v>
      </c>
      <c r="AP155" s="22" t="s">
        <v>55</v>
      </c>
      <c r="AQ155" s="22" t="s">
        <v>55</v>
      </c>
      <c r="AR155" s="22" t="s">
        <v>55</v>
      </c>
      <c r="AS155" s="22" t="s">
        <v>55</v>
      </c>
      <c r="AT155" s="22" t="s">
        <v>55</v>
      </c>
      <c r="AU155" s="22" t="s">
        <v>55</v>
      </c>
      <c r="AV155" s="22" t="s">
        <v>55</v>
      </c>
      <c r="AW155" s="22" t="s">
        <v>55</v>
      </c>
      <c r="AX155" s="22" t="s">
        <v>55</v>
      </c>
      <c r="AY155" s="22" t="s">
        <v>1133</v>
      </c>
    </row>
    <row r="156" spans="1:51" ht="58" x14ac:dyDescent="0.35">
      <c r="A156" s="22" t="s">
        <v>1251</v>
      </c>
      <c r="B156" s="22" t="s">
        <v>347</v>
      </c>
      <c r="C156" s="22" t="s">
        <v>116</v>
      </c>
      <c r="D156" s="22" t="s">
        <v>465</v>
      </c>
      <c r="E156" s="22" t="s">
        <v>52</v>
      </c>
      <c r="F156" s="22" t="s">
        <v>1240</v>
      </c>
      <c r="G156" s="22" t="s">
        <v>54</v>
      </c>
      <c r="H156" s="22" t="s">
        <v>1714</v>
      </c>
      <c r="I156" s="22" t="s">
        <v>361</v>
      </c>
      <c r="J156" s="22" t="s">
        <v>253</v>
      </c>
      <c r="K156" s="22" t="s">
        <v>604</v>
      </c>
      <c r="L156" s="22" t="s">
        <v>55</v>
      </c>
      <c r="M156" s="22" t="s">
        <v>1252</v>
      </c>
      <c r="N156" s="22" t="s">
        <v>55</v>
      </c>
      <c r="O156" s="22" t="s">
        <v>1241</v>
      </c>
      <c r="P156" s="22" t="s">
        <v>1253</v>
      </c>
      <c r="Q156" s="22" t="s">
        <v>1254</v>
      </c>
      <c r="R156" s="22" t="s">
        <v>55</v>
      </c>
      <c r="S156" s="22" t="s">
        <v>55</v>
      </c>
      <c r="T156" s="22" t="s">
        <v>1255</v>
      </c>
      <c r="U156" s="22" t="s">
        <v>132</v>
      </c>
      <c r="V156" s="23">
        <v>46022</v>
      </c>
      <c r="W156" s="22" t="s">
        <v>55</v>
      </c>
      <c r="X156" s="22" t="s">
        <v>1256</v>
      </c>
      <c r="Y156" s="22" t="s">
        <v>65</v>
      </c>
      <c r="Z156" s="22" t="s">
        <v>55</v>
      </c>
      <c r="AA156" s="22" t="s">
        <v>221</v>
      </c>
      <c r="AB156" s="22" t="s">
        <v>55</v>
      </c>
      <c r="AC156" s="22" t="s">
        <v>55</v>
      </c>
      <c r="AD156" s="22" t="s">
        <v>118</v>
      </c>
      <c r="AE156" s="22" t="s">
        <v>97</v>
      </c>
      <c r="AF156" s="22" t="s">
        <v>1257</v>
      </c>
      <c r="AG156" s="22" t="s">
        <v>55</v>
      </c>
      <c r="AH156" s="22" t="s">
        <v>55</v>
      </c>
      <c r="AI156" s="22" t="s">
        <v>55</v>
      </c>
      <c r="AJ156" s="22" t="s">
        <v>55</v>
      </c>
      <c r="AK156" s="22" t="s">
        <v>55</v>
      </c>
      <c r="AL156" s="22" t="s">
        <v>55</v>
      </c>
      <c r="AM156" s="22" t="s">
        <v>55</v>
      </c>
      <c r="AN156" s="22" t="s">
        <v>55</v>
      </c>
      <c r="AO156" s="22" t="s">
        <v>55</v>
      </c>
      <c r="AP156" s="22" t="s">
        <v>55</v>
      </c>
      <c r="AQ156" s="22" t="s">
        <v>55</v>
      </c>
      <c r="AR156" s="22" t="s">
        <v>55</v>
      </c>
      <c r="AS156" s="22" t="s">
        <v>55</v>
      </c>
      <c r="AT156" s="22" t="s">
        <v>55</v>
      </c>
      <c r="AU156" s="22" t="s">
        <v>55</v>
      </c>
      <c r="AV156" s="22" t="s">
        <v>55</v>
      </c>
      <c r="AW156" s="22" t="s">
        <v>55</v>
      </c>
      <c r="AX156" s="22" t="s">
        <v>55</v>
      </c>
      <c r="AY156" s="22" t="s">
        <v>1133</v>
      </c>
    </row>
    <row r="157" spans="1:51" ht="43.5" x14ac:dyDescent="0.35">
      <c r="A157" s="22" t="s">
        <v>1258</v>
      </c>
      <c r="B157" s="22" t="s">
        <v>347</v>
      </c>
      <c r="C157" s="22" t="s">
        <v>116</v>
      </c>
      <c r="D157" s="22" t="s">
        <v>465</v>
      </c>
      <c r="E157" s="22" t="s">
        <v>52</v>
      </c>
      <c r="F157" s="22" t="s">
        <v>1259</v>
      </c>
      <c r="G157" s="22" t="s">
        <v>126</v>
      </c>
      <c r="H157" s="22" t="s">
        <v>127</v>
      </c>
      <c r="I157" s="22" t="s">
        <v>803</v>
      </c>
      <c r="J157" s="22" t="s">
        <v>815</v>
      </c>
      <c r="K157" s="22" t="s">
        <v>572</v>
      </c>
      <c r="L157" s="22" t="s">
        <v>55</v>
      </c>
      <c r="M157" s="22" t="s">
        <v>816</v>
      </c>
      <c r="N157" s="22" t="s">
        <v>55</v>
      </c>
      <c r="O157" s="22" t="s">
        <v>1260</v>
      </c>
      <c r="P157" s="22" t="s">
        <v>1261</v>
      </c>
      <c r="Q157" s="22" t="s">
        <v>1261</v>
      </c>
      <c r="R157" s="22" t="s">
        <v>55</v>
      </c>
      <c r="S157" s="22" t="s">
        <v>55</v>
      </c>
      <c r="T157" s="22" t="s">
        <v>1262</v>
      </c>
      <c r="U157" s="22" t="s">
        <v>63</v>
      </c>
      <c r="V157" s="23">
        <v>46022</v>
      </c>
      <c r="W157" s="22" t="s">
        <v>55</v>
      </c>
      <c r="X157" s="22" t="s">
        <v>1263</v>
      </c>
      <c r="Y157" s="22" t="s">
        <v>65</v>
      </c>
      <c r="Z157" s="22" t="s">
        <v>55</v>
      </c>
      <c r="AA157" s="22" t="s">
        <v>221</v>
      </c>
      <c r="AB157" s="22" t="s">
        <v>55</v>
      </c>
      <c r="AC157" s="22" t="s">
        <v>55</v>
      </c>
      <c r="AD157" s="22" t="s">
        <v>118</v>
      </c>
      <c r="AE157" s="22" t="s">
        <v>97</v>
      </c>
      <c r="AF157" s="22" t="s">
        <v>69</v>
      </c>
      <c r="AG157" s="22" t="s">
        <v>55</v>
      </c>
      <c r="AH157" s="22" t="s">
        <v>55</v>
      </c>
      <c r="AI157" s="22" t="s">
        <v>55</v>
      </c>
      <c r="AJ157" s="22" t="s">
        <v>55</v>
      </c>
      <c r="AK157" s="22" t="s">
        <v>55</v>
      </c>
      <c r="AL157" s="22" t="s">
        <v>55</v>
      </c>
      <c r="AM157" s="22" t="s">
        <v>55</v>
      </c>
      <c r="AN157" s="22" t="s">
        <v>55</v>
      </c>
      <c r="AO157" s="22" t="s">
        <v>55</v>
      </c>
      <c r="AP157" s="22" t="s">
        <v>55</v>
      </c>
      <c r="AQ157" s="22" t="s">
        <v>55</v>
      </c>
      <c r="AR157" s="22" t="s">
        <v>55</v>
      </c>
      <c r="AS157" s="22" t="s">
        <v>55</v>
      </c>
      <c r="AT157" s="22" t="s">
        <v>55</v>
      </c>
      <c r="AU157" s="22" t="s">
        <v>55</v>
      </c>
      <c r="AV157" s="22" t="s">
        <v>55</v>
      </c>
      <c r="AW157" s="22" t="s">
        <v>55</v>
      </c>
      <c r="AX157" s="22" t="s">
        <v>55</v>
      </c>
      <c r="AY157" s="22" t="s">
        <v>1133</v>
      </c>
    </row>
    <row r="158" spans="1:51" ht="29" x14ac:dyDescent="0.35">
      <c r="A158" s="22" t="s">
        <v>1264</v>
      </c>
      <c r="B158" s="22" t="s">
        <v>347</v>
      </c>
      <c r="C158" s="22" t="s">
        <v>116</v>
      </c>
      <c r="D158" s="22" t="s">
        <v>465</v>
      </c>
      <c r="E158" s="22" t="s">
        <v>52</v>
      </c>
      <c r="F158" s="22" t="s">
        <v>1259</v>
      </c>
      <c r="G158" s="22" t="s">
        <v>126</v>
      </c>
      <c r="H158" s="22" t="s">
        <v>127</v>
      </c>
      <c r="I158" s="22" t="s">
        <v>117</v>
      </c>
      <c r="J158" s="22" t="s">
        <v>819</v>
      </c>
      <c r="K158" s="22" t="s">
        <v>605</v>
      </c>
      <c r="L158" s="22" t="s">
        <v>55</v>
      </c>
      <c r="M158" s="22" t="s">
        <v>577</v>
      </c>
      <c r="N158" s="22" t="s">
        <v>55</v>
      </c>
      <c r="O158" s="22" t="s">
        <v>1260</v>
      </c>
      <c r="P158" s="22" t="s">
        <v>1265</v>
      </c>
      <c r="Q158" s="22" t="s">
        <v>1266</v>
      </c>
      <c r="R158" s="22" t="s">
        <v>55</v>
      </c>
      <c r="S158" s="22" t="s">
        <v>55</v>
      </c>
      <c r="T158" s="22" t="s">
        <v>1267</v>
      </c>
      <c r="U158" s="22" t="s">
        <v>63</v>
      </c>
      <c r="V158" s="23">
        <v>46022</v>
      </c>
      <c r="W158" s="22" t="s">
        <v>55</v>
      </c>
      <c r="X158" s="22" t="s">
        <v>1263</v>
      </c>
      <c r="Y158" s="22" t="s">
        <v>65</v>
      </c>
      <c r="Z158" s="22" t="s">
        <v>55</v>
      </c>
      <c r="AA158" s="22" t="s">
        <v>221</v>
      </c>
      <c r="AB158" s="22" t="s">
        <v>55</v>
      </c>
      <c r="AC158" s="22" t="s">
        <v>55</v>
      </c>
      <c r="AD158" s="22" t="s">
        <v>118</v>
      </c>
      <c r="AE158" s="22" t="s">
        <v>97</v>
      </c>
      <c r="AF158" s="22" t="s">
        <v>583</v>
      </c>
      <c r="AG158" s="22" t="s">
        <v>55</v>
      </c>
      <c r="AH158" s="22" t="s">
        <v>55</v>
      </c>
      <c r="AI158" s="22" t="s">
        <v>55</v>
      </c>
      <c r="AJ158" s="22" t="s">
        <v>55</v>
      </c>
      <c r="AK158" s="22" t="s">
        <v>55</v>
      </c>
      <c r="AL158" s="22" t="s">
        <v>55</v>
      </c>
      <c r="AM158" s="22" t="s">
        <v>55</v>
      </c>
      <c r="AN158" s="22" t="s">
        <v>55</v>
      </c>
      <c r="AO158" s="22" t="s">
        <v>55</v>
      </c>
      <c r="AP158" s="22" t="s">
        <v>55</v>
      </c>
      <c r="AQ158" s="22" t="s">
        <v>55</v>
      </c>
      <c r="AR158" s="22" t="s">
        <v>55</v>
      </c>
      <c r="AS158" s="22" t="s">
        <v>55</v>
      </c>
      <c r="AT158" s="22" t="s">
        <v>55</v>
      </c>
      <c r="AU158" s="22" t="s">
        <v>55</v>
      </c>
      <c r="AV158" s="22" t="s">
        <v>55</v>
      </c>
      <c r="AW158" s="22" t="s">
        <v>55</v>
      </c>
      <c r="AX158" s="22" t="s">
        <v>55</v>
      </c>
      <c r="AY158" s="22" t="s">
        <v>1133</v>
      </c>
    </row>
    <row r="159" spans="1:51" ht="29" x14ac:dyDescent="0.35">
      <c r="A159" s="22" t="s">
        <v>1268</v>
      </c>
      <c r="B159" s="22" t="s">
        <v>347</v>
      </c>
      <c r="C159" s="22" t="s">
        <v>116</v>
      </c>
      <c r="D159" s="22" t="s">
        <v>465</v>
      </c>
      <c r="E159" s="22" t="s">
        <v>52</v>
      </c>
      <c r="F159" s="22" t="s">
        <v>254</v>
      </c>
      <c r="G159" s="22" t="s">
        <v>126</v>
      </c>
      <c r="H159" s="22" t="s">
        <v>127</v>
      </c>
      <c r="I159" s="22" t="s">
        <v>117</v>
      </c>
      <c r="J159" s="22" t="s">
        <v>819</v>
      </c>
      <c r="K159" s="22" t="s">
        <v>605</v>
      </c>
      <c r="L159" s="22" t="s">
        <v>55</v>
      </c>
      <c r="M159" s="22" t="s">
        <v>577</v>
      </c>
      <c r="N159" s="22" t="s">
        <v>55</v>
      </c>
      <c r="O159" s="22" t="s">
        <v>1269</v>
      </c>
      <c r="P159" s="22" t="s">
        <v>1265</v>
      </c>
      <c r="Q159" s="22" t="s">
        <v>1270</v>
      </c>
      <c r="R159" s="22" t="s">
        <v>55</v>
      </c>
      <c r="S159" s="22" t="s">
        <v>55</v>
      </c>
      <c r="T159" s="22" t="s">
        <v>1271</v>
      </c>
      <c r="U159" s="22" t="s">
        <v>63</v>
      </c>
      <c r="V159" s="23">
        <v>46022</v>
      </c>
      <c r="W159" s="22" t="s">
        <v>55</v>
      </c>
      <c r="X159" s="22" t="s">
        <v>1272</v>
      </c>
      <c r="Y159" s="22" t="s">
        <v>65</v>
      </c>
      <c r="Z159" s="22" t="s">
        <v>55</v>
      </c>
      <c r="AA159" s="22" t="s">
        <v>221</v>
      </c>
      <c r="AB159" s="22" t="s">
        <v>55</v>
      </c>
      <c r="AC159" s="22" t="s">
        <v>55</v>
      </c>
      <c r="AD159" s="22" t="s">
        <v>118</v>
      </c>
      <c r="AE159" s="22" t="s">
        <v>97</v>
      </c>
      <c r="AF159" s="22" t="s">
        <v>583</v>
      </c>
      <c r="AG159" s="22" t="s">
        <v>55</v>
      </c>
      <c r="AH159" s="22" t="s">
        <v>55</v>
      </c>
      <c r="AI159" s="22" t="s">
        <v>55</v>
      </c>
      <c r="AJ159" s="22" t="s">
        <v>55</v>
      </c>
      <c r="AK159" s="22" t="s">
        <v>55</v>
      </c>
      <c r="AL159" s="22" t="s">
        <v>55</v>
      </c>
      <c r="AM159" s="22" t="s">
        <v>55</v>
      </c>
      <c r="AN159" s="22" t="s">
        <v>55</v>
      </c>
      <c r="AO159" s="22" t="s">
        <v>55</v>
      </c>
      <c r="AP159" s="22" t="s">
        <v>55</v>
      </c>
      <c r="AQ159" s="22" t="s">
        <v>55</v>
      </c>
      <c r="AR159" s="22" t="s">
        <v>55</v>
      </c>
      <c r="AS159" s="22" t="s">
        <v>55</v>
      </c>
      <c r="AT159" s="22" t="s">
        <v>55</v>
      </c>
      <c r="AU159" s="22" t="s">
        <v>55</v>
      </c>
      <c r="AV159" s="22" t="s">
        <v>55</v>
      </c>
      <c r="AW159" s="22" t="s">
        <v>55</v>
      </c>
      <c r="AX159" s="22" t="s">
        <v>55</v>
      </c>
      <c r="AY159" s="22" t="s">
        <v>1133</v>
      </c>
    </row>
    <row r="160" spans="1:51" ht="72.5" x14ac:dyDescent="0.35">
      <c r="A160" s="22" t="s">
        <v>1273</v>
      </c>
      <c r="B160" s="22" t="s">
        <v>347</v>
      </c>
      <c r="C160" s="22" t="s">
        <v>116</v>
      </c>
      <c r="D160" s="22" t="s">
        <v>465</v>
      </c>
      <c r="E160" s="22" t="s">
        <v>52</v>
      </c>
      <c r="F160" s="22" t="s">
        <v>254</v>
      </c>
      <c r="G160" s="22" t="s">
        <v>126</v>
      </c>
      <c r="H160" s="22" t="s">
        <v>127</v>
      </c>
      <c r="I160" s="22" t="s">
        <v>117</v>
      </c>
      <c r="J160" s="22" t="s">
        <v>842</v>
      </c>
      <c r="K160" s="22" t="s">
        <v>594</v>
      </c>
      <c r="L160" s="22" t="s">
        <v>55</v>
      </c>
      <c r="M160" s="22" t="s">
        <v>128</v>
      </c>
      <c r="N160" s="22" t="s">
        <v>55</v>
      </c>
      <c r="O160" s="22" t="s">
        <v>1269</v>
      </c>
      <c r="P160" s="22" t="s">
        <v>1274</v>
      </c>
      <c r="Q160" s="22" t="s">
        <v>1274</v>
      </c>
      <c r="R160" s="22" t="s">
        <v>55</v>
      </c>
      <c r="S160" s="22" t="s">
        <v>55</v>
      </c>
      <c r="T160" s="22" t="s">
        <v>1275</v>
      </c>
      <c r="U160" s="22" t="s">
        <v>132</v>
      </c>
      <c r="V160" s="23">
        <v>46022</v>
      </c>
      <c r="W160" s="22" t="s">
        <v>55</v>
      </c>
      <c r="X160" s="22" t="s">
        <v>1276</v>
      </c>
      <c r="Y160" s="22" t="s">
        <v>65</v>
      </c>
      <c r="Z160" s="22" t="s">
        <v>55</v>
      </c>
      <c r="AA160" s="22" t="s">
        <v>221</v>
      </c>
      <c r="AB160" s="22" t="s">
        <v>55</v>
      </c>
      <c r="AC160" s="22" t="s">
        <v>55</v>
      </c>
      <c r="AD160" s="22" t="s">
        <v>118</v>
      </c>
      <c r="AE160" s="22" t="s">
        <v>97</v>
      </c>
      <c r="AF160" s="22" t="s">
        <v>69</v>
      </c>
      <c r="AG160" s="22" t="s">
        <v>55</v>
      </c>
      <c r="AH160" s="22" t="s">
        <v>55</v>
      </c>
      <c r="AI160" s="22" t="s">
        <v>55</v>
      </c>
      <c r="AJ160" s="22" t="s">
        <v>55</v>
      </c>
      <c r="AK160" s="22" t="s">
        <v>55</v>
      </c>
      <c r="AL160" s="22" t="s">
        <v>55</v>
      </c>
      <c r="AM160" s="22" t="s">
        <v>55</v>
      </c>
      <c r="AN160" s="22" t="s">
        <v>55</v>
      </c>
      <c r="AO160" s="22" t="s">
        <v>55</v>
      </c>
      <c r="AP160" s="22" t="s">
        <v>55</v>
      </c>
      <c r="AQ160" s="22" t="s">
        <v>55</v>
      </c>
      <c r="AR160" s="22" t="s">
        <v>55</v>
      </c>
      <c r="AS160" s="22" t="s">
        <v>55</v>
      </c>
      <c r="AT160" s="22" t="s">
        <v>55</v>
      </c>
      <c r="AU160" s="22" t="s">
        <v>55</v>
      </c>
      <c r="AV160" s="22" t="s">
        <v>55</v>
      </c>
      <c r="AW160" s="22" t="s">
        <v>55</v>
      </c>
      <c r="AX160" s="22" t="s">
        <v>55</v>
      </c>
      <c r="AY160" s="22" t="s">
        <v>1133</v>
      </c>
    </row>
    <row r="161" spans="1:51" ht="87" x14ac:dyDescent="0.35">
      <c r="A161" s="22" t="s">
        <v>1277</v>
      </c>
      <c r="B161" s="22" t="s">
        <v>347</v>
      </c>
      <c r="C161" s="22" t="s">
        <v>116</v>
      </c>
      <c r="D161" s="22" t="s">
        <v>465</v>
      </c>
      <c r="E161" s="22" t="s">
        <v>52</v>
      </c>
      <c r="F161" s="22" t="s">
        <v>425</v>
      </c>
      <c r="G161" s="22" t="s">
        <v>371</v>
      </c>
      <c r="H161" s="22" t="s">
        <v>372</v>
      </c>
      <c r="I161" s="22" t="s">
        <v>361</v>
      </c>
      <c r="J161" s="22" t="s">
        <v>1045</v>
      </c>
      <c r="K161" s="22" t="s">
        <v>584</v>
      </c>
      <c r="L161" s="22" t="s">
        <v>55</v>
      </c>
      <c r="M161" s="22" t="s">
        <v>1046</v>
      </c>
      <c r="N161" s="22" t="s">
        <v>55</v>
      </c>
      <c r="O161" s="22" t="s">
        <v>1278</v>
      </c>
      <c r="P161" s="22" t="s">
        <v>1279</v>
      </c>
      <c r="Q161" s="22" t="s">
        <v>1280</v>
      </c>
      <c r="R161" s="22" t="s">
        <v>55</v>
      </c>
      <c r="S161" s="22" t="s">
        <v>55</v>
      </c>
      <c r="T161" s="22" t="s">
        <v>1281</v>
      </c>
      <c r="U161" s="22" t="s">
        <v>63</v>
      </c>
      <c r="V161" s="23">
        <v>46022</v>
      </c>
      <c r="W161" s="22" t="s">
        <v>55</v>
      </c>
      <c r="X161" s="22" t="s">
        <v>1282</v>
      </c>
      <c r="Y161" s="22" t="s">
        <v>65</v>
      </c>
      <c r="Z161" s="22" t="s">
        <v>55</v>
      </c>
      <c r="AA161" s="22" t="s">
        <v>221</v>
      </c>
      <c r="AB161" s="22" t="s">
        <v>55</v>
      </c>
      <c r="AC161" s="22" t="s">
        <v>55</v>
      </c>
      <c r="AD161" s="22" t="s">
        <v>118</v>
      </c>
      <c r="AE161" s="22" t="s">
        <v>97</v>
      </c>
      <c r="AF161" s="22" t="s">
        <v>1052</v>
      </c>
      <c r="AG161" s="22" t="s">
        <v>55</v>
      </c>
      <c r="AH161" s="22" t="s">
        <v>55</v>
      </c>
      <c r="AI161" s="22" t="s">
        <v>55</v>
      </c>
      <c r="AJ161" s="22" t="s">
        <v>55</v>
      </c>
      <c r="AK161" s="22" t="s">
        <v>55</v>
      </c>
      <c r="AL161" s="22" t="s">
        <v>55</v>
      </c>
      <c r="AM161" s="22" t="s">
        <v>55</v>
      </c>
      <c r="AN161" s="22" t="s">
        <v>55</v>
      </c>
      <c r="AO161" s="22" t="s">
        <v>55</v>
      </c>
      <c r="AP161" s="22" t="s">
        <v>55</v>
      </c>
      <c r="AQ161" s="22" t="s">
        <v>55</v>
      </c>
      <c r="AR161" s="22" t="s">
        <v>55</v>
      </c>
      <c r="AS161" s="22" t="s">
        <v>55</v>
      </c>
      <c r="AT161" s="22" t="s">
        <v>55</v>
      </c>
      <c r="AU161" s="22" t="s">
        <v>55</v>
      </c>
      <c r="AV161" s="22" t="s">
        <v>55</v>
      </c>
      <c r="AW161" s="22" t="s">
        <v>55</v>
      </c>
      <c r="AX161" s="22" t="s">
        <v>55</v>
      </c>
      <c r="AY161" s="22" t="s">
        <v>1133</v>
      </c>
    </row>
    <row r="162" spans="1:51" ht="29" x14ac:dyDescent="0.35">
      <c r="A162" s="22" t="s">
        <v>1283</v>
      </c>
      <c r="B162" s="22" t="s">
        <v>347</v>
      </c>
      <c r="C162" s="22" t="s">
        <v>116</v>
      </c>
      <c r="D162" s="22" t="s">
        <v>465</v>
      </c>
      <c r="E162" s="22" t="s">
        <v>52</v>
      </c>
      <c r="F162" s="22" t="s">
        <v>425</v>
      </c>
      <c r="G162" s="22" t="s">
        <v>371</v>
      </c>
      <c r="H162" s="22" t="s">
        <v>372</v>
      </c>
      <c r="I162" s="22" t="s">
        <v>361</v>
      </c>
      <c r="J162" s="22" t="s">
        <v>253</v>
      </c>
      <c r="K162" s="22" t="s">
        <v>868</v>
      </c>
      <c r="L162" s="22" t="s">
        <v>55</v>
      </c>
      <c r="M162" s="22" t="s">
        <v>1059</v>
      </c>
      <c r="N162" s="22" t="s">
        <v>55</v>
      </c>
      <c r="O162" s="22" t="s">
        <v>1278</v>
      </c>
      <c r="P162" s="22" t="s">
        <v>1284</v>
      </c>
      <c r="Q162" s="22" t="s">
        <v>1285</v>
      </c>
      <c r="R162" s="22" t="s">
        <v>55</v>
      </c>
      <c r="S162" s="22" t="s">
        <v>55</v>
      </c>
      <c r="T162" s="22" t="s">
        <v>1286</v>
      </c>
      <c r="U162" s="22" t="s">
        <v>63</v>
      </c>
      <c r="V162" s="23">
        <v>46037</v>
      </c>
      <c r="W162" s="22" t="s">
        <v>55</v>
      </c>
      <c r="X162" s="22" t="s">
        <v>1287</v>
      </c>
      <c r="Y162" s="22" t="s">
        <v>65</v>
      </c>
      <c r="Z162" s="22" t="s">
        <v>55</v>
      </c>
      <c r="AA162" s="22" t="s">
        <v>221</v>
      </c>
      <c r="AB162" s="22" t="s">
        <v>55</v>
      </c>
      <c r="AC162" s="22" t="s">
        <v>55</v>
      </c>
      <c r="AD162" s="22" t="s">
        <v>118</v>
      </c>
      <c r="AE162" s="22" t="s">
        <v>97</v>
      </c>
      <c r="AF162" s="22" t="s">
        <v>98</v>
      </c>
      <c r="AG162" s="22" t="s">
        <v>55</v>
      </c>
      <c r="AH162" s="22" t="s">
        <v>55</v>
      </c>
      <c r="AI162" s="22" t="s">
        <v>55</v>
      </c>
      <c r="AJ162" s="22" t="s">
        <v>55</v>
      </c>
      <c r="AK162" s="22" t="s">
        <v>55</v>
      </c>
      <c r="AL162" s="22" t="s">
        <v>55</v>
      </c>
      <c r="AM162" s="22" t="s">
        <v>55</v>
      </c>
      <c r="AN162" s="22" t="s">
        <v>55</v>
      </c>
      <c r="AO162" s="22" t="s">
        <v>55</v>
      </c>
      <c r="AP162" s="22" t="s">
        <v>55</v>
      </c>
      <c r="AQ162" s="22" t="s">
        <v>55</v>
      </c>
      <c r="AR162" s="22" t="s">
        <v>55</v>
      </c>
      <c r="AS162" s="22" t="s">
        <v>55</v>
      </c>
      <c r="AT162" s="22" t="s">
        <v>55</v>
      </c>
      <c r="AU162" s="22" t="s">
        <v>55</v>
      </c>
      <c r="AV162" s="22" t="s">
        <v>55</v>
      </c>
      <c r="AW162" s="22" t="s">
        <v>55</v>
      </c>
      <c r="AX162" s="22" t="s">
        <v>55</v>
      </c>
      <c r="AY162" s="22" t="s">
        <v>1133</v>
      </c>
    </row>
    <row r="163" spans="1:51" ht="43.5" x14ac:dyDescent="0.35">
      <c r="A163" s="22" t="s">
        <v>1288</v>
      </c>
      <c r="B163" s="22" t="s">
        <v>347</v>
      </c>
      <c r="C163" s="22" t="s">
        <v>116</v>
      </c>
      <c r="D163" s="22" t="s">
        <v>465</v>
      </c>
      <c r="E163" s="22" t="s">
        <v>52</v>
      </c>
      <c r="F163" s="22" t="s">
        <v>1289</v>
      </c>
      <c r="G163" s="22" t="s">
        <v>606</v>
      </c>
      <c r="H163" s="22" t="s">
        <v>607</v>
      </c>
      <c r="I163" s="22" t="s">
        <v>526</v>
      </c>
      <c r="J163" s="22" t="s">
        <v>993</v>
      </c>
      <c r="K163" s="22" t="s">
        <v>868</v>
      </c>
      <c r="L163" s="22" t="s">
        <v>55</v>
      </c>
      <c r="M163" s="22" t="s">
        <v>1082</v>
      </c>
      <c r="N163" s="22" t="s">
        <v>55</v>
      </c>
      <c r="O163" s="22" t="s">
        <v>1290</v>
      </c>
      <c r="P163" s="22" t="s">
        <v>1291</v>
      </c>
      <c r="Q163" s="22" t="s">
        <v>1292</v>
      </c>
      <c r="R163" s="22" t="s">
        <v>55</v>
      </c>
      <c r="S163" s="22" t="s">
        <v>55</v>
      </c>
      <c r="T163" s="22" t="s">
        <v>1293</v>
      </c>
      <c r="U163" s="22" t="s">
        <v>63</v>
      </c>
      <c r="V163" s="23">
        <v>45991</v>
      </c>
      <c r="W163" s="22" t="s">
        <v>55</v>
      </c>
      <c r="X163" s="22" t="s">
        <v>1294</v>
      </c>
      <c r="Y163" s="22" t="s">
        <v>65</v>
      </c>
      <c r="Z163" s="22" t="s">
        <v>55</v>
      </c>
      <c r="AA163" s="22" t="s">
        <v>152</v>
      </c>
      <c r="AB163" s="22" t="s">
        <v>55</v>
      </c>
      <c r="AC163" s="22" t="s">
        <v>55</v>
      </c>
      <c r="AD163" s="22" t="s">
        <v>118</v>
      </c>
      <c r="AE163" s="22" t="s">
        <v>97</v>
      </c>
      <c r="AF163" s="22" t="s">
        <v>123</v>
      </c>
      <c r="AG163" s="22" t="s">
        <v>55</v>
      </c>
      <c r="AH163" s="22" t="s">
        <v>55</v>
      </c>
      <c r="AI163" s="22" t="s">
        <v>55</v>
      </c>
      <c r="AJ163" s="22" t="s">
        <v>55</v>
      </c>
      <c r="AK163" s="22" t="s">
        <v>55</v>
      </c>
      <c r="AL163" s="22" t="s">
        <v>55</v>
      </c>
      <c r="AM163" s="22" t="s">
        <v>55</v>
      </c>
      <c r="AN163" s="22" t="s">
        <v>55</v>
      </c>
      <c r="AO163" s="22" t="s">
        <v>55</v>
      </c>
      <c r="AP163" s="22" t="s">
        <v>55</v>
      </c>
      <c r="AQ163" s="22" t="s">
        <v>55</v>
      </c>
      <c r="AR163" s="22" t="s">
        <v>55</v>
      </c>
      <c r="AS163" s="22" t="s">
        <v>55</v>
      </c>
      <c r="AT163" s="22" t="s">
        <v>55</v>
      </c>
      <c r="AU163" s="22" t="s">
        <v>55</v>
      </c>
      <c r="AV163" s="22" t="s">
        <v>55</v>
      </c>
      <c r="AW163" s="22" t="s">
        <v>55</v>
      </c>
      <c r="AX163" s="22" t="s">
        <v>55</v>
      </c>
      <c r="AY163" s="22" t="s">
        <v>1133</v>
      </c>
    </row>
    <row r="164" spans="1:51" ht="58" x14ac:dyDescent="0.35">
      <c r="A164" s="22" t="s">
        <v>1295</v>
      </c>
      <c r="B164" s="22" t="s">
        <v>347</v>
      </c>
      <c r="C164" s="22" t="s">
        <v>116</v>
      </c>
      <c r="D164" s="22" t="s">
        <v>465</v>
      </c>
      <c r="E164" s="22" t="s">
        <v>52</v>
      </c>
      <c r="F164" s="22" t="s">
        <v>425</v>
      </c>
      <c r="G164" s="22" t="s">
        <v>371</v>
      </c>
      <c r="H164" s="22" t="s">
        <v>372</v>
      </c>
      <c r="I164" s="22" t="s">
        <v>361</v>
      </c>
      <c r="J164" s="22" t="s">
        <v>253</v>
      </c>
      <c r="K164" s="22" t="s">
        <v>584</v>
      </c>
      <c r="L164" s="22" t="s">
        <v>55</v>
      </c>
      <c r="M164" s="22" t="s">
        <v>136</v>
      </c>
      <c r="N164" s="22" t="s">
        <v>55</v>
      </c>
      <c r="O164" s="22" t="s">
        <v>1278</v>
      </c>
      <c r="P164" s="22" t="s">
        <v>1296</v>
      </c>
      <c r="Q164" s="22" t="s">
        <v>1297</v>
      </c>
      <c r="R164" s="22" t="s">
        <v>55</v>
      </c>
      <c r="S164" s="22" t="s">
        <v>55</v>
      </c>
      <c r="T164" s="22" t="s">
        <v>1298</v>
      </c>
      <c r="U164" s="22" t="s">
        <v>63</v>
      </c>
      <c r="V164" s="23">
        <v>46022</v>
      </c>
      <c r="W164" s="22" t="s">
        <v>55</v>
      </c>
      <c r="X164" s="22" t="s">
        <v>1299</v>
      </c>
      <c r="Y164" s="22" t="s">
        <v>65</v>
      </c>
      <c r="Z164" s="22" t="s">
        <v>55</v>
      </c>
      <c r="AA164" s="22" t="s">
        <v>221</v>
      </c>
      <c r="AB164" s="22" t="s">
        <v>55</v>
      </c>
      <c r="AC164" s="22" t="s">
        <v>55</v>
      </c>
      <c r="AD164" s="22" t="s">
        <v>118</v>
      </c>
      <c r="AE164" s="22" t="s">
        <v>97</v>
      </c>
      <c r="AF164" s="22" t="s">
        <v>98</v>
      </c>
      <c r="AG164" s="22" t="s">
        <v>55</v>
      </c>
      <c r="AH164" s="22" t="s">
        <v>55</v>
      </c>
      <c r="AI164" s="22" t="s">
        <v>55</v>
      </c>
      <c r="AJ164" s="22" t="s">
        <v>55</v>
      </c>
      <c r="AK164" s="22" t="s">
        <v>55</v>
      </c>
      <c r="AL164" s="22" t="s">
        <v>55</v>
      </c>
      <c r="AM164" s="22" t="s">
        <v>55</v>
      </c>
      <c r="AN164" s="22" t="s">
        <v>55</v>
      </c>
      <c r="AO164" s="22" t="s">
        <v>55</v>
      </c>
      <c r="AP164" s="22" t="s">
        <v>55</v>
      </c>
      <c r="AQ164" s="22" t="s">
        <v>55</v>
      </c>
      <c r="AR164" s="22" t="s">
        <v>55</v>
      </c>
      <c r="AS164" s="22" t="s">
        <v>55</v>
      </c>
      <c r="AT164" s="22" t="s">
        <v>55</v>
      </c>
      <c r="AU164" s="22" t="s">
        <v>55</v>
      </c>
      <c r="AV164" s="22" t="s">
        <v>55</v>
      </c>
      <c r="AW164" s="22" t="s">
        <v>55</v>
      </c>
      <c r="AX164" s="22" t="s">
        <v>55</v>
      </c>
      <c r="AY164" s="22" t="s">
        <v>1133</v>
      </c>
    </row>
    <row r="165" spans="1:51" ht="29" x14ac:dyDescent="0.35">
      <c r="A165" s="22" t="s">
        <v>1300</v>
      </c>
      <c r="B165" s="22" t="s">
        <v>347</v>
      </c>
      <c r="C165" s="22" t="s">
        <v>116</v>
      </c>
      <c r="D165" s="22" t="s">
        <v>465</v>
      </c>
      <c r="E165" s="22" t="s">
        <v>52</v>
      </c>
      <c r="F165" s="22" t="s">
        <v>1220</v>
      </c>
      <c r="G165" s="22" t="s">
        <v>54</v>
      </c>
      <c r="H165" s="22" t="s">
        <v>1728</v>
      </c>
      <c r="I165" s="22" t="s">
        <v>803</v>
      </c>
      <c r="J165" s="22" t="s">
        <v>815</v>
      </c>
      <c r="K165" s="22" t="s">
        <v>584</v>
      </c>
      <c r="L165" s="22" t="s">
        <v>55</v>
      </c>
      <c r="M165" s="22" t="s">
        <v>816</v>
      </c>
      <c r="N165" s="22" t="s">
        <v>55</v>
      </c>
      <c r="O165" s="22" t="s">
        <v>1301</v>
      </c>
      <c r="P165" s="22" t="s">
        <v>1302</v>
      </c>
      <c r="Q165" s="22" t="s">
        <v>1303</v>
      </c>
      <c r="R165" s="22" t="s">
        <v>55</v>
      </c>
      <c r="S165" s="22" t="s">
        <v>55</v>
      </c>
      <c r="T165" s="22" t="s">
        <v>1304</v>
      </c>
      <c r="U165" s="22" t="s">
        <v>63</v>
      </c>
      <c r="V165" s="23">
        <v>45961</v>
      </c>
      <c r="W165" s="22" t="s">
        <v>55</v>
      </c>
      <c r="X165" s="22" t="s">
        <v>1305</v>
      </c>
      <c r="Y165" s="22" t="s">
        <v>65</v>
      </c>
      <c r="Z165" s="22" t="s">
        <v>55</v>
      </c>
      <c r="AA165" s="22" t="s">
        <v>66</v>
      </c>
      <c r="AB165" s="22" t="s">
        <v>55</v>
      </c>
      <c r="AC165" s="22" t="s">
        <v>55</v>
      </c>
      <c r="AD165" s="22" t="s">
        <v>118</v>
      </c>
      <c r="AE165" s="22" t="s">
        <v>97</v>
      </c>
      <c r="AF165" s="22" t="s">
        <v>69</v>
      </c>
      <c r="AG165" s="22" t="s">
        <v>55</v>
      </c>
      <c r="AH165" s="22" t="s">
        <v>55</v>
      </c>
      <c r="AI165" s="22" t="s">
        <v>55</v>
      </c>
      <c r="AJ165" s="22" t="s">
        <v>55</v>
      </c>
      <c r="AK165" s="22" t="s">
        <v>55</v>
      </c>
      <c r="AL165" s="22" t="s">
        <v>55</v>
      </c>
      <c r="AM165" s="22" t="s">
        <v>55</v>
      </c>
      <c r="AN165" s="22" t="s">
        <v>55</v>
      </c>
      <c r="AO165" s="22" t="s">
        <v>55</v>
      </c>
      <c r="AP165" s="22" t="s">
        <v>55</v>
      </c>
      <c r="AQ165" s="22" t="s">
        <v>55</v>
      </c>
      <c r="AR165" s="22" t="s">
        <v>55</v>
      </c>
      <c r="AS165" s="22" t="s">
        <v>55</v>
      </c>
      <c r="AT165" s="22" t="s">
        <v>55</v>
      </c>
      <c r="AU165" s="22" t="s">
        <v>55</v>
      </c>
      <c r="AV165" s="22" t="s">
        <v>55</v>
      </c>
      <c r="AW165" s="22" t="s">
        <v>55</v>
      </c>
      <c r="AX165" s="22" t="s">
        <v>55</v>
      </c>
      <c r="AY165" s="22" t="s">
        <v>1133</v>
      </c>
    </row>
    <row r="166" spans="1:51" ht="29" x14ac:dyDescent="0.35">
      <c r="A166" s="22" t="s">
        <v>1309</v>
      </c>
      <c r="B166" s="22" t="s">
        <v>347</v>
      </c>
      <c r="C166" s="22" t="s">
        <v>116</v>
      </c>
      <c r="D166" s="22" t="s">
        <v>465</v>
      </c>
      <c r="E166" s="22" t="s">
        <v>52</v>
      </c>
      <c r="F166" s="22" t="s">
        <v>1306</v>
      </c>
      <c r="G166" s="22" t="s">
        <v>126</v>
      </c>
      <c r="H166" s="22" t="s">
        <v>127</v>
      </c>
      <c r="I166" s="22" t="s">
        <v>117</v>
      </c>
      <c r="J166" s="22" t="s">
        <v>842</v>
      </c>
      <c r="K166" s="22" t="s">
        <v>594</v>
      </c>
      <c r="L166" s="22" t="s">
        <v>55</v>
      </c>
      <c r="M166" s="22" t="s">
        <v>128</v>
      </c>
      <c r="N166" s="22" t="s">
        <v>55</v>
      </c>
      <c r="O166" s="22" t="s">
        <v>1307</v>
      </c>
      <c r="P166" s="22" t="s">
        <v>1310</v>
      </c>
      <c r="Q166" s="22" t="s">
        <v>1230</v>
      </c>
      <c r="R166" s="22" t="s">
        <v>55</v>
      </c>
      <c r="S166" s="22" t="s">
        <v>55</v>
      </c>
      <c r="T166" s="22" t="s">
        <v>1311</v>
      </c>
      <c r="U166" s="22" t="s">
        <v>132</v>
      </c>
      <c r="V166" s="23">
        <v>46022</v>
      </c>
      <c r="W166" s="22" t="s">
        <v>55</v>
      </c>
      <c r="X166" s="22" t="s">
        <v>1110</v>
      </c>
      <c r="Y166" s="22" t="s">
        <v>65</v>
      </c>
      <c r="Z166" s="22" t="s">
        <v>55</v>
      </c>
      <c r="AA166" s="22" t="s">
        <v>221</v>
      </c>
      <c r="AB166" s="22" t="s">
        <v>55</v>
      </c>
      <c r="AC166" s="22" t="s">
        <v>55</v>
      </c>
      <c r="AD166" s="22" t="s">
        <v>118</v>
      </c>
      <c r="AE166" s="22" t="s">
        <v>97</v>
      </c>
      <c r="AF166" s="22" t="s">
        <v>69</v>
      </c>
      <c r="AG166" s="22" t="s">
        <v>55</v>
      </c>
      <c r="AH166" s="22" t="s">
        <v>55</v>
      </c>
      <c r="AI166" s="22" t="s">
        <v>55</v>
      </c>
      <c r="AJ166" s="22" t="s">
        <v>55</v>
      </c>
      <c r="AK166" s="22" t="s">
        <v>55</v>
      </c>
      <c r="AL166" s="22" t="s">
        <v>55</v>
      </c>
      <c r="AM166" s="22" t="s">
        <v>55</v>
      </c>
      <c r="AN166" s="22" t="s">
        <v>55</v>
      </c>
      <c r="AO166" s="22" t="s">
        <v>55</v>
      </c>
      <c r="AP166" s="22" t="s">
        <v>55</v>
      </c>
      <c r="AQ166" s="22" t="s">
        <v>55</v>
      </c>
      <c r="AR166" s="22" t="s">
        <v>55</v>
      </c>
      <c r="AS166" s="22" t="s">
        <v>55</v>
      </c>
      <c r="AT166" s="22" t="s">
        <v>55</v>
      </c>
      <c r="AU166" s="22" t="s">
        <v>55</v>
      </c>
      <c r="AV166" s="22" t="s">
        <v>55</v>
      </c>
      <c r="AW166" s="22" t="s">
        <v>55</v>
      </c>
      <c r="AX166" s="22" t="s">
        <v>55</v>
      </c>
      <c r="AY166" s="22" t="s">
        <v>1133</v>
      </c>
    </row>
    <row r="167" spans="1:51" ht="29" x14ac:dyDescent="0.35">
      <c r="A167" s="22" t="s">
        <v>1312</v>
      </c>
      <c r="B167" s="22" t="s">
        <v>347</v>
      </c>
      <c r="C167" s="22" t="s">
        <v>116</v>
      </c>
      <c r="D167" s="22" t="s">
        <v>465</v>
      </c>
      <c r="E167" s="22" t="s">
        <v>52</v>
      </c>
      <c r="F167" s="22" t="s">
        <v>1306</v>
      </c>
      <c r="G167" s="22" t="s">
        <v>126</v>
      </c>
      <c r="H167" s="22" t="s">
        <v>127</v>
      </c>
      <c r="I167" s="22" t="s">
        <v>117</v>
      </c>
      <c r="J167" s="22" t="s">
        <v>842</v>
      </c>
      <c r="K167" s="22" t="s">
        <v>594</v>
      </c>
      <c r="L167" s="22" t="s">
        <v>55</v>
      </c>
      <c r="M167" s="22" t="s">
        <v>703</v>
      </c>
      <c r="N167" s="22" t="s">
        <v>55</v>
      </c>
      <c r="O167" s="22" t="s">
        <v>1307</v>
      </c>
      <c r="P167" s="22" t="s">
        <v>1313</v>
      </c>
      <c r="Q167" s="22" t="s">
        <v>1314</v>
      </c>
      <c r="R167" s="22" t="s">
        <v>55</v>
      </c>
      <c r="S167" s="22" t="s">
        <v>55</v>
      </c>
      <c r="T167" s="22" t="s">
        <v>1315</v>
      </c>
      <c r="U167" s="22" t="s">
        <v>132</v>
      </c>
      <c r="V167" s="23">
        <v>46112</v>
      </c>
      <c r="W167" s="22" t="s">
        <v>55</v>
      </c>
      <c r="X167" s="22" t="s">
        <v>1308</v>
      </c>
      <c r="Y167" s="22" t="s">
        <v>65</v>
      </c>
      <c r="Z167" s="22" t="s">
        <v>55</v>
      </c>
      <c r="AA167" s="22" t="s">
        <v>155</v>
      </c>
      <c r="AB167" s="22" t="s">
        <v>55</v>
      </c>
      <c r="AC167" s="22" t="s">
        <v>55</v>
      </c>
      <c r="AD167" s="22" t="s">
        <v>118</v>
      </c>
      <c r="AE167" s="22" t="s">
        <v>97</v>
      </c>
      <c r="AF167" s="22" t="s">
        <v>98</v>
      </c>
      <c r="AG167" s="22" t="s">
        <v>55</v>
      </c>
      <c r="AH167" s="22" t="s">
        <v>55</v>
      </c>
      <c r="AI167" s="22" t="s">
        <v>55</v>
      </c>
      <c r="AJ167" s="22" t="s">
        <v>55</v>
      </c>
      <c r="AK167" s="22" t="s">
        <v>55</v>
      </c>
      <c r="AL167" s="22" t="s">
        <v>55</v>
      </c>
      <c r="AM167" s="22" t="s">
        <v>55</v>
      </c>
      <c r="AN167" s="22" t="s">
        <v>55</v>
      </c>
      <c r="AO167" s="22" t="s">
        <v>55</v>
      </c>
      <c r="AP167" s="22" t="s">
        <v>55</v>
      </c>
      <c r="AQ167" s="22" t="s">
        <v>55</v>
      </c>
      <c r="AR167" s="22" t="s">
        <v>55</v>
      </c>
      <c r="AS167" s="22" t="s">
        <v>55</v>
      </c>
      <c r="AT167" s="22" t="s">
        <v>55</v>
      </c>
      <c r="AU167" s="22" t="s">
        <v>55</v>
      </c>
      <c r="AV167" s="22" t="s">
        <v>55</v>
      </c>
      <c r="AW167" s="22" t="s">
        <v>55</v>
      </c>
      <c r="AX167" s="22" t="s">
        <v>55</v>
      </c>
      <c r="AY167" s="22" t="s">
        <v>1133</v>
      </c>
    </row>
    <row r="168" spans="1:51" ht="29" x14ac:dyDescent="0.35">
      <c r="A168" s="22" t="s">
        <v>1319</v>
      </c>
      <c r="B168" s="22" t="s">
        <v>347</v>
      </c>
      <c r="C168" s="22" t="s">
        <v>116</v>
      </c>
      <c r="D168" s="22" t="s">
        <v>465</v>
      </c>
      <c r="E168" s="22" t="s">
        <v>52</v>
      </c>
      <c r="F168" s="22" t="s">
        <v>1317</v>
      </c>
      <c r="G168" s="22" t="s">
        <v>126</v>
      </c>
      <c r="H168" s="22" t="s">
        <v>127</v>
      </c>
      <c r="I168" s="22" t="s">
        <v>117</v>
      </c>
      <c r="J168" s="22" t="s">
        <v>842</v>
      </c>
      <c r="K168" s="22" t="s">
        <v>594</v>
      </c>
      <c r="L168" s="22" t="s">
        <v>55</v>
      </c>
      <c r="M168" s="22" t="s">
        <v>128</v>
      </c>
      <c r="N168" s="22" t="s">
        <v>55</v>
      </c>
      <c r="O168" s="22" t="s">
        <v>1318</v>
      </c>
      <c r="P168" s="22" t="s">
        <v>1310</v>
      </c>
      <c r="Q168" s="22" t="s">
        <v>1230</v>
      </c>
      <c r="R168" s="22" t="s">
        <v>55</v>
      </c>
      <c r="S168" s="22" t="s">
        <v>55</v>
      </c>
      <c r="T168" s="22" t="s">
        <v>1320</v>
      </c>
      <c r="U168" s="22" t="s">
        <v>132</v>
      </c>
      <c r="V168" s="23">
        <v>46022</v>
      </c>
      <c r="W168" s="22" t="s">
        <v>55</v>
      </c>
      <c r="X168" s="22" t="s">
        <v>1110</v>
      </c>
      <c r="Y168" s="22" t="s">
        <v>65</v>
      </c>
      <c r="Z168" s="22" t="s">
        <v>55</v>
      </c>
      <c r="AA168" s="22" t="s">
        <v>221</v>
      </c>
      <c r="AB168" s="22" t="s">
        <v>55</v>
      </c>
      <c r="AC168" s="22" t="s">
        <v>55</v>
      </c>
      <c r="AD168" s="22" t="s">
        <v>118</v>
      </c>
      <c r="AE168" s="22" t="s">
        <v>97</v>
      </c>
      <c r="AF168" s="22" t="s">
        <v>69</v>
      </c>
      <c r="AG168" s="22" t="s">
        <v>55</v>
      </c>
      <c r="AH168" s="22" t="s">
        <v>55</v>
      </c>
      <c r="AI168" s="22" t="s">
        <v>55</v>
      </c>
      <c r="AJ168" s="22" t="s">
        <v>55</v>
      </c>
      <c r="AK168" s="22" t="s">
        <v>55</v>
      </c>
      <c r="AL168" s="22" t="s">
        <v>55</v>
      </c>
      <c r="AM168" s="22" t="s">
        <v>55</v>
      </c>
      <c r="AN168" s="22" t="s">
        <v>55</v>
      </c>
      <c r="AO168" s="22" t="s">
        <v>55</v>
      </c>
      <c r="AP168" s="22" t="s">
        <v>55</v>
      </c>
      <c r="AQ168" s="22" t="s">
        <v>55</v>
      </c>
      <c r="AR168" s="22" t="s">
        <v>55</v>
      </c>
      <c r="AS168" s="22" t="s">
        <v>55</v>
      </c>
      <c r="AT168" s="22" t="s">
        <v>55</v>
      </c>
      <c r="AU168" s="22" t="s">
        <v>55</v>
      </c>
      <c r="AV168" s="22" t="s">
        <v>55</v>
      </c>
      <c r="AW168" s="22" t="s">
        <v>55</v>
      </c>
      <c r="AX168" s="22" t="s">
        <v>55</v>
      </c>
      <c r="AY168" s="22" t="s">
        <v>1133</v>
      </c>
    </row>
    <row r="169" spans="1:51" ht="29" x14ac:dyDescent="0.35">
      <c r="A169" s="22" t="s">
        <v>1321</v>
      </c>
      <c r="B169" s="22" t="s">
        <v>347</v>
      </c>
      <c r="C169" s="22" t="s">
        <v>116</v>
      </c>
      <c r="D169" s="22" t="s">
        <v>465</v>
      </c>
      <c r="E169" s="22" t="s">
        <v>52</v>
      </c>
      <c r="F169" s="22" t="s">
        <v>1317</v>
      </c>
      <c r="G169" s="22" t="s">
        <v>126</v>
      </c>
      <c r="H169" s="22" t="s">
        <v>127</v>
      </c>
      <c r="I169" s="22" t="s">
        <v>117</v>
      </c>
      <c r="J169" s="22" t="s">
        <v>842</v>
      </c>
      <c r="K169" s="22" t="s">
        <v>594</v>
      </c>
      <c r="L169" s="22" t="s">
        <v>55</v>
      </c>
      <c r="M169" s="22" t="s">
        <v>703</v>
      </c>
      <c r="N169" s="22" t="s">
        <v>55</v>
      </c>
      <c r="O169" s="22" t="s">
        <v>1318</v>
      </c>
      <c r="P169" s="22" t="s">
        <v>1313</v>
      </c>
      <c r="Q169" s="22" t="s">
        <v>1314</v>
      </c>
      <c r="R169" s="22" t="s">
        <v>55</v>
      </c>
      <c r="S169" s="22" t="s">
        <v>55</v>
      </c>
      <c r="T169" s="22" t="s">
        <v>1315</v>
      </c>
      <c r="U169" s="22" t="s">
        <v>132</v>
      </c>
      <c r="V169" s="23">
        <v>46112</v>
      </c>
      <c r="W169" s="22" t="s">
        <v>55</v>
      </c>
      <c r="X169" s="22" t="s">
        <v>1308</v>
      </c>
      <c r="Y169" s="22" t="s">
        <v>65</v>
      </c>
      <c r="Z169" s="22" t="s">
        <v>55</v>
      </c>
      <c r="AA169" s="22" t="s">
        <v>155</v>
      </c>
      <c r="AB169" s="22" t="s">
        <v>55</v>
      </c>
      <c r="AC169" s="22" t="s">
        <v>55</v>
      </c>
      <c r="AD169" s="22" t="s">
        <v>118</v>
      </c>
      <c r="AE169" s="22" t="s">
        <v>97</v>
      </c>
      <c r="AF169" s="22" t="s">
        <v>98</v>
      </c>
      <c r="AG169" s="22" t="s">
        <v>55</v>
      </c>
      <c r="AH169" s="22" t="s">
        <v>55</v>
      </c>
      <c r="AI169" s="22" t="s">
        <v>55</v>
      </c>
      <c r="AJ169" s="22" t="s">
        <v>55</v>
      </c>
      <c r="AK169" s="22" t="s">
        <v>55</v>
      </c>
      <c r="AL169" s="22" t="s">
        <v>55</v>
      </c>
      <c r="AM169" s="22" t="s">
        <v>55</v>
      </c>
      <c r="AN169" s="22" t="s">
        <v>55</v>
      </c>
      <c r="AO169" s="22" t="s">
        <v>55</v>
      </c>
      <c r="AP169" s="22" t="s">
        <v>55</v>
      </c>
      <c r="AQ169" s="22" t="s">
        <v>55</v>
      </c>
      <c r="AR169" s="22" t="s">
        <v>55</v>
      </c>
      <c r="AS169" s="22" t="s">
        <v>55</v>
      </c>
      <c r="AT169" s="22" t="s">
        <v>55</v>
      </c>
      <c r="AU169" s="22" t="s">
        <v>55</v>
      </c>
      <c r="AV169" s="22" t="s">
        <v>55</v>
      </c>
      <c r="AW169" s="22" t="s">
        <v>55</v>
      </c>
      <c r="AX169" s="22" t="s">
        <v>55</v>
      </c>
      <c r="AY169" s="22" t="s">
        <v>1133</v>
      </c>
    </row>
    <row r="170" spans="1:51" ht="29" x14ac:dyDescent="0.35">
      <c r="A170" s="22" t="s">
        <v>1324</v>
      </c>
      <c r="B170" s="22" t="s">
        <v>347</v>
      </c>
      <c r="C170" s="22" t="s">
        <v>116</v>
      </c>
      <c r="D170" s="22" t="s">
        <v>465</v>
      </c>
      <c r="E170" s="22" t="s">
        <v>52</v>
      </c>
      <c r="F170" s="22" t="s">
        <v>1322</v>
      </c>
      <c r="G170" s="22" t="s">
        <v>126</v>
      </c>
      <c r="H170" s="22" t="s">
        <v>127</v>
      </c>
      <c r="I170" s="22" t="s">
        <v>117</v>
      </c>
      <c r="J170" s="22" t="s">
        <v>842</v>
      </c>
      <c r="K170" s="22" t="s">
        <v>594</v>
      </c>
      <c r="L170" s="22" t="s">
        <v>55</v>
      </c>
      <c r="M170" s="22" t="s">
        <v>128</v>
      </c>
      <c r="N170" s="22" t="s">
        <v>55</v>
      </c>
      <c r="O170" s="22" t="s">
        <v>1323</v>
      </c>
      <c r="P170" s="22" t="s">
        <v>1310</v>
      </c>
      <c r="Q170" s="22" t="s">
        <v>1230</v>
      </c>
      <c r="R170" s="22" t="s">
        <v>55</v>
      </c>
      <c r="S170" s="22" t="s">
        <v>55</v>
      </c>
      <c r="T170" s="22" t="s">
        <v>1311</v>
      </c>
      <c r="U170" s="22" t="s">
        <v>132</v>
      </c>
      <c r="V170" s="23">
        <v>46022</v>
      </c>
      <c r="W170" s="22" t="s">
        <v>55</v>
      </c>
      <c r="X170" s="22" t="s">
        <v>1110</v>
      </c>
      <c r="Y170" s="22" t="s">
        <v>65</v>
      </c>
      <c r="Z170" s="22" t="s">
        <v>55</v>
      </c>
      <c r="AA170" s="22" t="s">
        <v>221</v>
      </c>
      <c r="AB170" s="22" t="s">
        <v>55</v>
      </c>
      <c r="AC170" s="22" t="s">
        <v>55</v>
      </c>
      <c r="AD170" s="22" t="s">
        <v>118</v>
      </c>
      <c r="AE170" s="22" t="s">
        <v>97</v>
      </c>
      <c r="AF170" s="22" t="s">
        <v>69</v>
      </c>
      <c r="AG170" s="22" t="s">
        <v>55</v>
      </c>
      <c r="AH170" s="22" t="s">
        <v>55</v>
      </c>
      <c r="AI170" s="22" t="s">
        <v>55</v>
      </c>
      <c r="AJ170" s="22" t="s">
        <v>55</v>
      </c>
      <c r="AK170" s="22" t="s">
        <v>55</v>
      </c>
      <c r="AL170" s="22" t="s">
        <v>55</v>
      </c>
      <c r="AM170" s="22" t="s">
        <v>55</v>
      </c>
      <c r="AN170" s="22" t="s">
        <v>55</v>
      </c>
      <c r="AO170" s="22" t="s">
        <v>55</v>
      </c>
      <c r="AP170" s="22" t="s">
        <v>55</v>
      </c>
      <c r="AQ170" s="22" t="s">
        <v>55</v>
      </c>
      <c r="AR170" s="22" t="s">
        <v>55</v>
      </c>
      <c r="AS170" s="22" t="s">
        <v>55</v>
      </c>
      <c r="AT170" s="22" t="s">
        <v>55</v>
      </c>
      <c r="AU170" s="22" t="s">
        <v>55</v>
      </c>
      <c r="AV170" s="22" t="s">
        <v>55</v>
      </c>
      <c r="AW170" s="22" t="s">
        <v>55</v>
      </c>
      <c r="AX170" s="22" t="s">
        <v>55</v>
      </c>
      <c r="AY170" s="22" t="s">
        <v>1133</v>
      </c>
    </row>
    <row r="171" spans="1:51" ht="29" x14ac:dyDescent="0.35">
      <c r="A171" s="22" t="s">
        <v>1325</v>
      </c>
      <c r="B171" s="22" t="s">
        <v>347</v>
      </c>
      <c r="C171" s="22" t="s">
        <v>116</v>
      </c>
      <c r="D171" s="22" t="s">
        <v>465</v>
      </c>
      <c r="E171" s="22" t="s">
        <v>52</v>
      </c>
      <c r="F171" s="22" t="s">
        <v>1322</v>
      </c>
      <c r="G171" s="22" t="s">
        <v>126</v>
      </c>
      <c r="H171" s="22" t="s">
        <v>127</v>
      </c>
      <c r="I171" s="22" t="s">
        <v>117</v>
      </c>
      <c r="J171" s="22" t="s">
        <v>842</v>
      </c>
      <c r="K171" s="22" t="s">
        <v>594</v>
      </c>
      <c r="L171" s="22" t="s">
        <v>55</v>
      </c>
      <c r="M171" s="22" t="s">
        <v>703</v>
      </c>
      <c r="N171" s="22" t="s">
        <v>55</v>
      </c>
      <c r="O171" s="22" t="s">
        <v>1323</v>
      </c>
      <c r="P171" s="22" t="s">
        <v>1313</v>
      </c>
      <c r="Q171" s="22" t="s">
        <v>1314</v>
      </c>
      <c r="R171" s="22" t="s">
        <v>55</v>
      </c>
      <c r="S171" s="22" t="s">
        <v>55</v>
      </c>
      <c r="T171" s="22" t="s">
        <v>1315</v>
      </c>
      <c r="U171" s="22" t="s">
        <v>132</v>
      </c>
      <c r="V171" s="23">
        <v>46112</v>
      </c>
      <c r="W171" s="22" t="s">
        <v>55</v>
      </c>
      <c r="X171" s="22" t="s">
        <v>1308</v>
      </c>
      <c r="Y171" s="22" t="s">
        <v>65</v>
      </c>
      <c r="Z171" s="22" t="s">
        <v>55</v>
      </c>
      <c r="AA171" s="22" t="s">
        <v>155</v>
      </c>
      <c r="AB171" s="22" t="s">
        <v>55</v>
      </c>
      <c r="AC171" s="22" t="s">
        <v>55</v>
      </c>
      <c r="AD171" s="22" t="s">
        <v>118</v>
      </c>
      <c r="AE171" s="22" t="s">
        <v>97</v>
      </c>
      <c r="AF171" s="22" t="s">
        <v>98</v>
      </c>
      <c r="AG171" s="22" t="s">
        <v>55</v>
      </c>
      <c r="AH171" s="22" t="s">
        <v>55</v>
      </c>
      <c r="AI171" s="22" t="s">
        <v>55</v>
      </c>
      <c r="AJ171" s="22" t="s">
        <v>55</v>
      </c>
      <c r="AK171" s="22" t="s">
        <v>55</v>
      </c>
      <c r="AL171" s="22" t="s">
        <v>55</v>
      </c>
      <c r="AM171" s="22" t="s">
        <v>55</v>
      </c>
      <c r="AN171" s="22" t="s">
        <v>55</v>
      </c>
      <c r="AO171" s="22" t="s">
        <v>55</v>
      </c>
      <c r="AP171" s="22" t="s">
        <v>55</v>
      </c>
      <c r="AQ171" s="22" t="s">
        <v>55</v>
      </c>
      <c r="AR171" s="22" t="s">
        <v>55</v>
      </c>
      <c r="AS171" s="22" t="s">
        <v>55</v>
      </c>
      <c r="AT171" s="22" t="s">
        <v>55</v>
      </c>
      <c r="AU171" s="22" t="s">
        <v>55</v>
      </c>
      <c r="AV171" s="22" t="s">
        <v>55</v>
      </c>
      <c r="AW171" s="22" t="s">
        <v>55</v>
      </c>
      <c r="AX171" s="22" t="s">
        <v>55</v>
      </c>
      <c r="AY171" s="22" t="s">
        <v>1133</v>
      </c>
    </row>
    <row r="172" spans="1:51" ht="58" x14ac:dyDescent="0.35">
      <c r="A172" s="22" t="s">
        <v>1326</v>
      </c>
      <c r="B172" s="22" t="s">
        <v>347</v>
      </c>
      <c r="C172" s="22" t="s">
        <v>116</v>
      </c>
      <c r="D172" s="22" t="s">
        <v>465</v>
      </c>
      <c r="E172" s="22" t="s">
        <v>52</v>
      </c>
      <c r="F172" s="22" t="s">
        <v>1327</v>
      </c>
      <c r="G172" s="22" t="s">
        <v>126</v>
      </c>
      <c r="H172" s="22" t="s">
        <v>138</v>
      </c>
      <c r="I172" s="22" t="s">
        <v>160</v>
      </c>
      <c r="J172" s="22" t="s">
        <v>857</v>
      </c>
      <c r="K172" s="22" t="s">
        <v>572</v>
      </c>
      <c r="L172" s="22" t="s">
        <v>55</v>
      </c>
      <c r="M172" s="22" t="s">
        <v>1328</v>
      </c>
      <c r="N172" s="22" t="s">
        <v>55</v>
      </c>
      <c r="O172" s="22" t="s">
        <v>1329</v>
      </c>
      <c r="P172" s="22" t="s">
        <v>1330</v>
      </c>
      <c r="Q172" s="22" t="s">
        <v>1331</v>
      </c>
      <c r="R172" s="22" t="s">
        <v>55</v>
      </c>
      <c r="S172" s="22" t="s">
        <v>55</v>
      </c>
      <c r="T172" s="22" t="s">
        <v>1332</v>
      </c>
      <c r="U172" s="22" t="s">
        <v>132</v>
      </c>
      <c r="V172" s="23">
        <v>45961</v>
      </c>
      <c r="W172" s="22" t="s">
        <v>55</v>
      </c>
      <c r="X172" s="22" t="s">
        <v>1333</v>
      </c>
      <c r="Y172" s="22" t="s">
        <v>65</v>
      </c>
      <c r="Z172" s="22" t="s">
        <v>55</v>
      </c>
      <c r="AA172" s="22" t="s">
        <v>66</v>
      </c>
      <c r="AB172" s="22" t="s">
        <v>55</v>
      </c>
      <c r="AC172" s="22" t="s">
        <v>55</v>
      </c>
      <c r="AD172" s="22" t="s">
        <v>118</v>
      </c>
      <c r="AE172" s="22" t="s">
        <v>97</v>
      </c>
      <c r="AF172" s="22" t="s">
        <v>779</v>
      </c>
      <c r="AG172" s="22" t="s">
        <v>55</v>
      </c>
      <c r="AH172" s="22" t="s">
        <v>55</v>
      </c>
      <c r="AI172" s="22" t="s">
        <v>55</v>
      </c>
      <c r="AJ172" s="22" t="s">
        <v>55</v>
      </c>
      <c r="AK172" s="22" t="s">
        <v>55</v>
      </c>
      <c r="AL172" s="22" t="s">
        <v>55</v>
      </c>
      <c r="AM172" s="22" t="s">
        <v>55</v>
      </c>
      <c r="AN172" s="22" t="s">
        <v>55</v>
      </c>
      <c r="AO172" s="22" t="s">
        <v>55</v>
      </c>
      <c r="AP172" s="22" t="s">
        <v>55</v>
      </c>
      <c r="AQ172" s="22" t="s">
        <v>55</v>
      </c>
      <c r="AR172" s="22" t="s">
        <v>55</v>
      </c>
      <c r="AS172" s="22" t="s">
        <v>55</v>
      </c>
      <c r="AT172" s="22" t="s">
        <v>55</v>
      </c>
      <c r="AU172" s="22" t="s">
        <v>55</v>
      </c>
      <c r="AV172" s="22" t="s">
        <v>55</v>
      </c>
      <c r="AW172" s="22" t="s">
        <v>55</v>
      </c>
      <c r="AX172" s="22" t="s">
        <v>55</v>
      </c>
      <c r="AY172" s="22" t="s">
        <v>1133</v>
      </c>
    </row>
    <row r="173" spans="1:51" ht="58" x14ac:dyDescent="0.35">
      <c r="A173" s="22" t="s">
        <v>1334</v>
      </c>
      <c r="B173" s="22" t="s">
        <v>347</v>
      </c>
      <c r="C173" s="22" t="s">
        <v>116</v>
      </c>
      <c r="D173" s="22" t="s">
        <v>465</v>
      </c>
      <c r="E173" s="22" t="s">
        <v>52</v>
      </c>
      <c r="F173" s="22" t="s">
        <v>1327</v>
      </c>
      <c r="G173" s="22" t="s">
        <v>126</v>
      </c>
      <c r="H173" s="22" t="s">
        <v>138</v>
      </c>
      <c r="I173" s="22" t="s">
        <v>160</v>
      </c>
      <c r="J173" s="22" t="s">
        <v>857</v>
      </c>
      <c r="K173" s="22" t="s">
        <v>572</v>
      </c>
      <c r="L173" s="22" t="s">
        <v>55</v>
      </c>
      <c r="M173" s="22" t="s">
        <v>161</v>
      </c>
      <c r="N173" s="22" t="s">
        <v>55</v>
      </c>
      <c r="O173" s="22" t="s">
        <v>1329</v>
      </c>
      <c r="P173" s="22" t="s">
        <v>1330</v>
      </c>
      <c r="Q173" s="22" t="s">
        <v>1331</v>
      </c>
      <c r="R173" s="22" t="s">
        <v>55</v>
      </c>
      <c r="S173" s="22" t="s">
        <v>55</v>
      </c>
      <c r="T173" s="22" t="s">
        <v>1335</v>
      </c>
      <c r="U173" s="22" t="s">
        <v>132</v>
      </c>
      <c r="V173" s="23">
        <v>45961</v>
      </c>
      <c r="W173" s="22" t="s">
        <v>55</v>
      </c>
      <c r="X173" s="22" t="s">
        <v>1333</v>
      </c>
      <c r="Y173" s="22" t="s">
        <v>65</v>
      </c>
      <c r="Z173" s="22" t="s">
        <v>55</v>
      </c>
      <c r="AA173" s="22" t="s">
        <v>66</v>
      </c>
      <c r="AB173" s="22" t="s">
        <v>55</v>
      </c>
      <c r="AC173" s="22" t="s">
        <v>55</v>
      </c>
      <c r="AD173" s="22" t="s">
        <v>118</v>
      </c>
      <c r="AE173" s="22" t="s">
        <v>97</v>
      </c>
      <c r="AF173" s="22" t="s">
        <v>69</v>
      </c>
      <c r="AG173" s="22" t="s">
        <v>55</v>
      </c>
      <c r="AH173" s="22" t="s">
        <v>55</v>
      </c>
      <c r="AI173" s="22" t="s">
        <v>55</v>
      </c>
      <c r="AJ173" s="22" t="s">
        <v>55</v>
      </c>
      <c r="AK173" s="22" t="s">
        <v>55</v>
      </c>
      <c r="AL173" s="22" t="s">
        <v>55</v>
      </c>
      <c r="AM173" s="22" t="s">
        <v>55</v>
      </c>
      <c r="AN173" s="22" t="s">
        <v>55</v>
      </c>
      <c r="AO173" s="22" t="s">
        <v>55</v>
      </c>
      <c r="AP173" s="22" t="s">
        <v>55</v>
      </c>
      <c r="AQ173" s="22" t="s">
        <v>55</v>
      </c>
      <c r="AR173" s="22" t="s">
        <v>55</v>
      </c>
      <c r="AS173" s="22" t="s">
        <v>55</v>
      </c>
      <c r="AT173" s="22" t="s">
        <v>55</v>
      </c>
      <c r="AU173" s="22" t="s">
        <v>55</v>
      </c>
      <c r="AV173" s="22" t="s">
        <v>55</v>
      </c>
      <c r="AW173" s="22" t="s">
        <v>55</v>
      </c>
      <c r="AX173" s="22" t="s">
        <v>55</v>
      </c>
      <c r="AY173" s="22" t="s">
        <v>1133</v>
      </c>
    </row>
    <row r="174" spans="1:51" ht="43.5" x14ac:dyDescent="0.35">
      <c r="A174" s="22" t="s">
        <v>1336</v>
      </c>
      <c r="B174" s="22" t="s">
        <v>347</v>
      </c>
      <c r="C174" s="22" t="s">
        <v>116</v>
      </c>
      <c r="D174" s="22" t="s">
        <v>465</v>
      </c>
      <c r="E174" s="22" t="s">
        <v>52</v>
      </c>
      <c r="F174" s="22" t="s">
        <v>1327</v>
      </c>
      <c r="G174" s="22" t="s">
        <v>126</v>
      </c>
      <c r="H174" s="22" t="s">
        <v>138</v>
      </c>
      <c r="I174" s="22" t="s">
        <v>117</v>
      </c>
      <c r="J174" s="22" t="s">
        <v>1023</v>
      </c>
      <c r="K174" s="22" t="s">
        <v>572</v>
      </c>
      <c r="L174" s="22" t="s">
        <v>55</v>
      </c>
      <c r="M174" s="22" t="s">
        <v>1024</v>
      </c>
      <c r="N174" s="22" t="s">
        <v>55</v>
      </c>
      <c r="O174" s="22" t="s">
        <v>1329</v>
      </c>
      <c r="P174" s="22" t="s">
        <v>1330</v>
      </c>
      <c r="Q174" s="22" t="s">
        <v>1337</v>
      </c>
      <c r="R174" s="22" t="s">
        <v>55</v>
      </c>
      <c r="S174" s="22" t="s">
        <v>55</v>
      </c>
      <c r="T174" s="22" t="s">
        <v>1338</v>
      </c>
      <c r="U174" s="22" t="s">
        <v>63</v>
      </c>
      <c r="V174" s="23">
        <v>45961</v>
      </c>
      <c r="W174" s="22" t="s">
        <v>55</v>
      </c>
      <c r="X174" s="22" t="s">
        <v>1333</v>
      </c>
      <c r="Y174" s="22" t="s">
        <v>65</v>
      </c>
      <c r="Z174" s="22" t="s">
        <v>55</v>
      </c>
      <c r="AA174" s="22" t="s">
        <v>66</v>
      </c>
      <c r="AB174" s="22" t="s">
        <v>55</v>
      </c>
      <c r="AC174" s="22" t="s">
        <v>55</v>
      </c>
      <c r="AD174" s="22" t="s">
        <v>118</v>
      </c>
      <c r="AE174" s="22" t="s">
        <v>97</v>
      </c>
      <c r="AF174" s="22" t="s">
        <v>1025</v>
      </c>
      <c r="AG174" s="22" t="s">
        <v>55</v>
      </c>
      <c r="AH174" s="22" t="s">
        <v>55</v>
      </c>
      <c r="AI174" s="22" t="s">
        <v>55</v>
      </c>
      <c r="AJ174" s="22" t="s">
        <v>55</v>
      </c>
      <c r="AK174" s="22" t="s">
        <v>55</v>
      </c>
      <c r="AL174" s="22" t="s">
        <v>55</v>
      </c>
      <c r="AM174" s="22" t="s">
        <v>55</v>
      </c>
      <c r="AN174" s="22" t="s">
        <v>55</v>
      </c>
      <c r="AO174" s="22" t="s">
        <v>55</v>
      </c>
      <c r="AP174" s="22" t="s">
        <v>55</v>
      </c>
      <c r="AQ174" s="22" t="s">
        <v>55</v>
      </c>
      <c r="AR174" s="22" t="s">
        <v>55</v>
      </c>
      <c r="AS174" s="22" t="s">
        <v>55</v>
      </c>
      <c r="AT174" s="22" t="s">
        <v>55</v>
      </c>
      <c r="AU174" s="22" t="s">
        <v>55</v>
      </c>
      <c r="AV174" s="22" t="s">
        <v>55</v>
      </c>
      <c r="AW174" s="22" t="s">
        <v>55</v>
      </c>
      <c r="AX174" s="22" t="s">
        <v>55</v>
      </c>
      <c r="AY174" s="22" t="s">
        <v>1133</v>
      </c>
    </row>
    <row r="175" spans="1:51" ht="58" x14ac:dyDescent="0.35">
      <c r="A175" s="22" t="s">
        <v>1339</v>
      </c>
      <c r="B175" s="22" t="s">
        <v>347</v>
      </c>
      <c r="C175" s="22" t="s">
        <v>116</v>
      </c>
      <c r="D175" s="22" t="s">
        <v>465</v>
      </c>
      <c r="E175" s="22" t="s">
        <v>52</v>
      </c>
      <c r="F175" s="22" t="s">
        <v>1327</v>
      </c>
      <c r="G175" s="22" t="s">
        <v>126</v>
      </c>
      <c r="H175" s="22" t="s">
        <v>138</v>
      </c>
      <c r="I175" s="22" t="s">
        <v>117</v>
      </c>
      <c r="J175" s="22" t="s">
        <v>842</v>
      </c>
      <c r="K175" s="22" t="s">
        <v>572</v>
      </c>
      <c r="L175" s="22" t="s">
        <v>55</v>
      </c>
      <c r="M175" s="22" t="s">
        <v>128</v>
      </c>
      <c r="N175" s="22" t="s">
        <v>55</v>
      </c>
      <c r="O175" s="22" t="s">
        <v>1329</v>
      </c>
      <c r="P175" s="22" t="s">
        <v>1330</v>
      </c>
      <c r="Q175" s="22" t="s">
        <v>1340</v>
      </c>
      <c r="R175" s="22" t="s">
        <v>55</v>
      </c>
      <c r="S175" s="22" t="s">
        <v>55</v>
      </c>
      <c r="T175" s="22" t="s">
        <v>1341</v>
      </c>
      <c r="U175" s="22" t="s">
        <v>132</v>
      </c>
      <c r="V175" s="23">
        <v>45961</v>
      </c>
      <c r="W175" s="22" t="s">
        <v>55</v>
      </c>
      <c r="X175" s="22" t="s">
        <v>1333</v>
      </c>
      <c r="Y175" s="22" t="s">
        <v>65</v>
      </c>
      <c r="Z175" s="22" t="s">
        <v>55</v>
      </c>
      <c r="AA175" s="22" t="s">
        <v>66</v>
      </c>
      <c r="AB175" s="22" t="s">
        <v>55</v>
      </c>
      <c r="AC175" s="22" t="s">
        <v>55</v>
      </c>
      <c r="AD175" s="22" t="s">
        <v>118</v>
      </c>
      <c r="AE175" s="22" t="s">
        <v>97</v>
      </c>
      <c r="AF175" s="22" t="s">
        <v>69</v>
      </c>
      <c r="AG175" s="22" t="s">
        <v>55</v>
      </c>
      <c r="AH175" s="22" t="s">
        <v>55</v>
      </c>
      <c r="AI175" s="22" t="s">
        <v>55</v>
      </c>
      <c r="AJ175" s="22" t="s">
        <v>55</v>
      </c>
      <c r="AK175" s="22" t="s">
        <v>55</v>
      </c>
      <c r="AL175" s="22" t="s">
        <v>55</v>
      </c>
      <c r="AM175" s="22" t="s">
        <v>55</v>
      </c>
      <c r="AN175" s="22" t="s">
        <v>55</v>
      </c>
      <c r="AO175" s="22" t="s">
        <v>55</v>
      </c>
      <c r="AP175" s="22" t="s">
        <v>55</v>
      </c>
      <c r="AQ175" s="22" t="s">
        <v>55</v>
      </c>
      <c r="AR175" s="22" t="s">
        <v>55</v>
      </c>
      <c r="AS175" s="22" t="s">
        <v>55</v>
      </c>
      <c r="AT175" s="22" t="s">
        <v>55</v>
      </c>
      <c r="AU175" s="22" t="s">
        <v>55</v>
      </c>
      <c r="AV175" s="22" t="s">
        <v>55</v>
      </c>
      <c r="AW175" s="22" t="s">
        <v>55</v>
      </c>
      <c r="AX175" s="22" t="s">
        <v>55</v>
      </c>
      <c r="AY175" s="22" t="s">
        <v>1133</v>
      </c>
    </row>
    <row r="176" spans="1:51" ht="29" x14ac:dyDescent="0.35">
      <c r="A176" s="22" t="s">
        <v>1342</v>
      </c>
      <c r="B176" s="22" t="s">
        <v>347</v>
      </c>
      <c r="C176" s="22" t="s">
        <v>116</v>
      </c>
      <c r="D176" s="22" t="s">
        <v>465</v>
      </c>
      <c r="E176" s="22" t="s">
        <v>52</v>
      </c>
      <c r="F176" s="22" t="s">
        <v>1327</v>
      </c>
      <c r="G176" s="22" t="s">
        <v>126</v>
      </c>
      <c r="H176" s="22" t="s">
        <v>138</v>
      </c>
      <c r="I176" s="22" t="s">
        <v>526</v>
      </c>
      <c r="J176" s="22" t="s">
        <v>1343</v>
      </c>
      <c r="K176" s="22" t="s">
        <v>868</v>
      </c>
      <c r="L176" s="22" t="s">
        <v>55</v>
      </c>
      <c r="M176" s="22" t="s">
        <v>1344</v>
      </c>
      <c r="N176" s="22" t="s">
        <v>55</v>
      </c>
      <c r="O176" s="22" t="s">
        <v>1329</v>
      </c>
      <c r="P176" s="22" t="s">
        <v>1345</v>
      </c>
      <c r="Q176" s="22" t="s">
        <v>1346</v>
      </c>
      <c r="R176" s="22" t="s">
        <v>55</v>
      </c>
      <c r="S176" s="22" t="s">
        <v>55</v>
      </c>
      <c r="T176" s="22" t="s">
        <v>1347</v>
      </c>
      <c r="U176" s="22" t="s">
        <v>63</v>
      </c>
      <c r="V176" s="23">
        <v>45961</v>
      </c>
      <c r="W176" s="22" t="s">
        <v>55</v>
      </c>
      <c r="X176" s="22" t="s">
        <v>1333</v>
      </c>
      <c r="Y176" s="22" t="s">
        <v>65</v>
      </c>
      <c r="Z176" s="22" t="s">
        <v>55</v>
      </c>
      <c r="AA176" s="22" t="s">
        <v>66</v>
      </c>
      <c r="AB176" s="22" t="s">
        <v>55</v>
      </c>
      <c r="AC176" s="22" t="s">
        <v>55</v>
      </c>
      <c r="AD176" s="22" t="s">
        <v>118</v>
      </c>
      <c r="AE176" s="22" t="s">
        <v>97</v>
      </c>
      <c r="AF176" s="22" t="s">
        <v>55</v>
      </c>
      <c r="AG176" s="22" t="s">
        <v>55</v>
      </c>
      <c r="AH176" s="22" t="s">
        <v>55</v>
      </c>
      <c r="AI176" s="22" t="s">
        <v>55</v>
      </c>
      <c r="AJ176" s="22" t="s">
        <v>55</v>
      </c>
      <c r="AK176" s="22" t="s">
        <v>55</v>
      </c>
      <c r="AL176" s="22" t="s">
        <v>55</v>
      </c>
      <c r="AM176" s="22" t="s">
        <v>55</v>
      </c>
      <c r="AN176" s="22" t="s">
        <v>55</v>
      </c>
      <c r="AO176" s="22" t="s">
        <v>55</v>
      </c>
      <c r="AP176" s="22" t="s">
        <v>55</v>
      </c>
      <c r="AQ176" s="22" t="s">
        <v>55</v>
      </c>
      <c r="AR176" s="22" t="s">
        <v>55</v>
      </c>
      <c r="AS176" s="22" t="s">
        <v>55</v>
      </c>
      <c r="AT176" s="22" t="s">
        <v>55</v>
      </c>
      <c r="AU176" s="22" t="s">
        <v>55</v>
      </c>
      <c r="AV176" s="22" t="s">
        <v>55</v>
      </c>
      <c r="AW176" s="22" t="s">
        <v>55</v>
      </c>
      <c r="AX176" s="22" t="s">
        <v>55</v>
      </c>
      <c r="AY176" s="22" t="s">
        <v>1133</v>
      </c>
    </row>
    <row r="177" spans="1:51" ht="58" x14ac:dyDescent="0.35">
      <c r="A177" s="22" t="s">
        <v>1348</v>
      </c>
      <c r="B177" s="22" t="s">
        <v>347</v>
      </c>
      <c r="C177" s="22" t="s">
        <v>116</v>
      </c>
      <c r="D177" s="22" t="s">
        <v>465</v>
      </c>
      <c r="E177" s="22" t="s">
        <v>52</v>
      </c>
      <c r="F177" s="22" t="s">
        <v>1327</v>
      </c>
      <c r="G177" s="22" t="s">
        <v>126</v>
      </c>
      <c r="H177" s="22" t="s">
        <v>138</v>
      </c>
      <c r="I177" s="22" t="s">
        <v>526</v>
      </c>
      <c r="J177" s="22" t="s">
        <v>1343</v>
      </c>
      <c r="K177" s="22" t="s">
        <v>584</v>
      </c>
      <c r="L177" s="22" t="s">
        <v>55</v>
      </c>
      <c r="M177" s="22" t="s">
        <v>1349</v>
      </c>
      <c r="N177" s="22" t="s">
        <v>55</v>
      </c>
      <c r="O177" s="22" t="s">
        <v>1329</v>
      </c>
      <c r="P177" s="22" t="s">
        <v>1330</v>
      </c>
      <c r="Q177" s="22" t="s">
        <v>1350</v>
      </c>
      <c r="R177" s="22" t="s">
        <v>55</v>
      </c>
      <c r="S177" s="22" t="s">
        <v>55</v>
      </c>
      <c r="T177" s="22" t="s">
        <v>1351</v>
      </c>
      <c r="U177" s="22" t="s">
        <v>132</v>
      </c>
      <c r="V177" s="23">
        <v>45961</v>
      </c>
      <c r="W177" s="22" t="s">
        <v>55</v>
      </c>
      <c r="X177" s="22" t="s">
        <v>1333</v>
      </c>
      <c r="Y177" s="22" t="s">
        <v>65</v>
      </c>
      <c r="Z177" s="22" t="s">
        <v>55</v>
      </c>
      <c r="AA177" s="22" t="s">
        <v>66</v>
      </c>
      <c r="AB177" s="22" t="s">
        <v>55</v>
      </c>
      <c r="AC177" s="22" t="s">
        <v>55</v>
      </c>
      <c r="AD177" s="22" t="s">
        <v>118</v>
      </c>
      <c r="AE177" s="22" t="s">
        <v>97</v>
      </c>
      <c r="AF177" s="22" t="s">
        <v>1352</v>
      </c>
      <c r="AG177" s="22" t="s">
        <v>55</v>
      </c>
      <c r="AH177" s="22" t="s">
        <v>55</v>
      </c>
      <c r="AI177" s="22" t="s">
        <v>55</v>
      </c>
      <c r="AJ177" s="22" t="s">
        <v>55</v>
      </c>
      <c r="AK177" s="22" t="s">
        <v>55</v>
      </c>
      <c r="AL177" s="22" t="s">
        <v>55</v>
      </c>
      <c r="AM177" s="22" t="s">
        <v>55</v>
      </c>
      <c r="AN177" s="22" t="s">
        <v>55</v>
      </c>
      <c r="AO177" s="22" t="s">
        <v>55</v>
      </c>
      <c r="AP177" s="22" t="s">
        <v>55</v>
      </c>
      <c r="AQ177" s="22" t="s">
        <v>55</v>
      </c>
      <c r="AR177" s="22" t="s">
        <v>55</v>
      </c>
      <c r="AS177" s="22" t="s">
        <v>55</v>
      </c>
      <c r="AT177" s="22" t="s">
        <v>55</v>
      </c>
      <c r="AU177" s="22" t="s">
        <v>55</v>
      </c>
      <c r="AV177" s="22" t="s">
        <v>55</v>
      </c>
      <c r="AW177" s="22" t="s">
        <v>55</v>
      </c>
      <c r="AX177" s="22" t="s">
        <v>55</v>
      </c>
      <c r="AY177" s="22" t="s">
        <v>1133</v>
      </c>
    </row>
    <row r="178" spans="1:51" ht="43.5" x14ac:dyDescent="0.35">
      <c r="A178" s="22" t="s">
        <v>1353</v>
      </c>
      <c r="B178" s="22" t="s">
        <v>347</v>
      </c>
      <c r="C178" s="22" t="s">
        <v>116</v>
      </c>
      <c r="D178" s="22" t="s">
        <v>465</v>
      </c>
      <c r="E178" s="22" t="s">
        <v>52</v>
      </c>
      <c r="F178" s="22" t="s">
        <v>1327</v>
      </c>
      <c r="G178" s="22" t="s">
        <v>126</v>
      </c>
      <c r="H178" s="22" t="s">
        <v>138</v>
      </c>
      <c r="I178" s="22" t="s">
        <v>526</v>
      </c>
      <c r="J178" s="22" t="s">
        <v>822</v>
      </c>
      <c r="K178" s="22" t="s">
        <v>572</v>
      </c>
      <c r="L178" s="22" t="s">
        <v>55</v>
      </c>
      <c r="M178" s="22" t="s">
        <v>252</v>
      </c>
      <c r="N178" s="22" t="s">
        <v>55</v>
      </c>
      <c r="O178" s="22" t="s">
        <v>1329</v>
      </c>
      <c r="P178" s="22" t="s">
        <v>1330</v>
      </c>
      <c r="Q178" s="22" t="s">
        <v>1354</v>
      </c>
      <c r="R178" s="22" t="s">
        <v>55</v>
      </c>
      <c r="S178" s="22" t="s">
        <v>55</v>
      </c>
      <c r="T178" s="22" t="s">
        <v>1355</v>
      </c>
      <c r="U178" s="22" t="s">
        <v>63</v>
      </c>
      <c r="V178" s="23">
        <v>45961</v>
      </c>
      <c r="W178" s="22" t="s">
        <v>55</v>
      </c>
      <c r="X178" s="22" t="s">
        <v>1333</v>
      </c>
      <c r="Y178" s="22" t="s">
        <v>65</v>
      </c>
      <c r="Z178" s="22" t="s">
        <v>55</v>
      </c>
      <c r="AA178" s="22" t="s">
        <v>66</v>
      </c>
      <c r="AB178" s="22" t="s">
        <v>55</v>
      </c>
      <c r="AC178" s="22" t="s">
        <v>55</v>
      </c>
      <c r="AD178" s="22" t="s">
        <v>118</v>
      </c>
      <c r="AE178" s="22" t="s">
        <v>97</v>
      </c>
      <c r="AF178" s="22" t="s">
        <v>98</v>
      </c>
      <c r="AG178" s="22" t="s">
        <v>55</v>
      </c>
      <c r="AH178" s="22" t="s">
        <v>55</v>
      </c>
      <c r="AI178" s="22" t="s">
        <v>55</v>
      </c>
      <c r="AJ178" s="22" t="s">
        <v>55</v>
      </c>
      <c r="AK178" s="22" t="s">
        <v>55</v>
      </c>
      <c r="AL178" s="22" t="s">
        <v>55</v>
      </c>
      <c r="AM178" s="22" t="s">
        <v>55</v>
      </c>
      <c r="AN178" s="22" t="s">
        <v>55</v>
      </c>
      <c r="AO178" s="22" t="s">
        <v>55</v>
      </c>
      <c r="AP178" s="22" t="s">
        <v>55</v>
      </c>
      <c r="AQ178" s="22" t="s">
        <v>55</v>
      </c>
      <c r="AR178" s="22" t="s">
        <v>55</v>
      </c>
      <c r="AS178" s="22" t="s">
        <v>55</v>
      </c>
      <c r="AT178" s="22" t="s">
        <v>55</v>
      </c>
      <c r="AU178" s="22" t="s">
        <v>55</v>
      </c>
      <c r="AV178" s="22" t="s">
        <v>55</v>
      </c>
      <c r="AW178" s="22" t="s">
        <v>55</v>
      </c>
      <c r="AX178" s="22" t="s">
        <v>55</v>
      </c>
      <c r="AY178" s="22" t="s">
        <v>1133</v>
      </c>
    </row>
    <row r="179" spans="1:51" ht="43.5" x14ac:dyDescent="0.35">
      <c r="A179" s="22" t="s">
        <v>1356</v>
      </c>
      <c r="B179" s="22" t="s">
        <v>347</v>
      </c>
      <c r="C179" s="22" t="s">
        <v>116</v>
      </c>
      <c r="D179" s="22" t="s">
        <v>465</v>
      </c>
      <c r="E179" s="22" t="s">
        <v>52</v>
      </c>
      <c r="F179" s="22" t="s">
        <v>1327</v>
      </c>
      <c r="G179" s="22" t="s">
        <v>126</v>
      </c>
      <c r="H179" s="22" t="s">
        <v>138</v>
      </c>
      <c r="I179" s="22" t="s">
        <v>526</v>
      </c>
      <c r="J179" s="22" t="s">
        <v>993</v>
      </c>
      <c r="K179" s="22" t="s">
        <v>868</v>
      </c>
      <c r="L179" s="22" t="s">
        <v>55</v>
      </c>
      <c r="M179" s="22" t="s">
        <v>777</v>
      </c>
      <c r="N179" s="22" t="s">
        <v>55</v>
      </c>
      <c r="O179" s="22" t="s">
        <v>1329</v>
      </c>
      <c r="P179" s="22" t="s">
        <v>1345</v>
      </c>
      <c r="Q179" s="22" t="s">
        <v>1357</v>
      </c>
      <c r="R179" s="22" t="s">
        <v>55</v>
      </c>
      <c r="S179" s="22" t="s">
        <v>55</v>
      </c>
      <c r="T179" s="22" t="s">
        <v>1358</v>
      </c>
      <c r="U179" s="22" t="s">
        <v>63</v>
      </c>
      <c r="V179" s="23">
        <v>45961</v>
      </c>
      <c r="W179" s="22" t="s">
        <v>55</v>
      </c>
      <c r="X179" s="22" t="s">
        <v>1333</v>
      </c>
      <c r="Y179" s="22" t="s">
        <v>65</v>
      </c>
      <c r="Z179" s="22" t="s">
        <v>55</v>
      </c>
      <c r="AA179" s="22" t="s">
        <v>66</v>
      </c>
      <c r="AB179" s="22" t="s">
        <v>55</v>
      </c>
      <c r="AC179" s="22" t="s">
        <v>55</v>
      </c>
      <c r="AD179" s="22" t="s">
        <v>118</v>
      </c>
      <c r="AE179" s="22" t="s">
        <v>97</v>
      </c>
      <c r="AF179" s="22" t="s">
        <v>779</v>
      </c>
      <c r="AG179" s="22" t="s">
        <v>55</v>
      </c>
      <c r="AH179" s="22" t="s">
        <v>55</v>
      </c>
      <c r="AI179" s="22" t="s">
        <v>55</v>
      </c>
      <c r="AJ179" s="22" t="s">
        <v>55</v>
      </c>
      <c r="AK179" s="22" t="s">
        <v>55</v>
      </c>
      <c r="AL179" s="22" t="s">
        <v>55</v>
      </c>
      <c r="AM179" s="22" t="s">
        <v>55</v>
      </c>
      <c r="AN179" s="22" t="s">
        <v>55</v>
      </c>
      <c r="AO179" s="22" t="s">
        <v>55</v>
      </c>
      <c r="AP179" s="22" t="s">
        <v>55</v>
      </c>
      <c r="AQ179" s="22" t="s">
        <v>55</v>
      </c>
      <c r="AR179" s="22" t="s">
        <v>55</v>
      </c>
      <c r="AS179" s="22" t="s">
        <v>55</v>
      </c>
      <c r="AT179" s="22" t="s">
        <v>55</v>
      </c>
      <c r="AU179" s="22" t="s">
        <v>55</v>
      </c>
      <c r="AV179" s="22" t="s">
        <v>55</v>
      </c>
      <c r="AW179" s="22" t="s">
        <v>55</v>
      </c>
      <c r="AX179" s="22" t="s">
        <v>55</v>
      </c>
      <c r="AY179" s="22" t="s">
        <v>1133</v>
      </c>
    </row>
    <row r="180" spans="1:51" ht="43.5" x14ac:dyDescent="0.35">
      <c r="A180" s="22" t="s">
        <v>1359</v>
      </c>
      <c r="B180" s="22" t="s">
        <v>347</v>
      </c>
      <c r="C180" s="22" t="s">
        <v>116</v>
      </c>
      <c r="D180" s="22" t="s">
        <v>465</v>
      </c>
      <c r="E180" s="22" t="s">
        <v>52</v>
      </c>
      <c r="F180" s="22" t="s">
        <v>1327</v>
      </c>
      <c r="G180" s="22" t="s">
        <v>126</v>
      </c>
      <c r="H180" s="22" t="s">
        <v>138</v>
      </c>
      <c r="I180" s="22" t="s">
        <v>121</v>
      </c>
      <c r="J180" s="22" t="s">
        <v>223</v>
      </c>
      <c r="K180" s="22" t="s">
        <v>572</v>
      </c>
      <c r="L180" s="22" t="s">
        <v>55</v>
      </c>
      <c r="M180" s="22" t="s">
        <v>614</v>
      </c>
      <c r="N180" s="22" t="s">
        <v>55</v>
      </c>
      <c r="O180" s="22" t="s">
        <v>1329</v>
      </c>
      <c r="P180" s="22" t="s">
        <v>1330</v>
      </c>
      <c r="Q180" s="22" t="s">
        <v>1360</v>
      </c>
      <c r="R180" s="22" t="s">
        <v>55</v>
      </c>
      <c r="S180" s="22" t="s">
        <v>55</v>
      </c>
      <c r="T180" s="22" t="s">
        <v>1361</v>
      </c>
      <c r="U180" s="22" t="s">
        <v>132</v>
      </c>
      <c r="V180" s="23">
        <v>45961</v>
      </c>
      <c r="W180" s="22" t="s">
        <v>55</v>
      </c>
      <c r="X180" s="22" t="s">
        <v>1333</v>
      </c>
      <c r="Y180" s="22" t="s">
        <v>65</v>
      </c>
      <c r="Z180" s="22" t="s">
        <v>55</v>
      </c>
      <c r="AA180" s="22" t="s">
        <v>66</v>
      </c>
      <c r="AB180" s="22" t="s">
        <v>55</v>
      </c>
      <c r="AC180" s="22" t="s">
        <v>55</v>
      </c>
      <c r="AD180" s="22" t="s">
        <v>118</v>
      </c>
      <c r="AE180" s="22" t="s">
        <v>97</v>
      </c>
      <c r="AF180" s="22" t="s">
        <v>69</v>
      </c>
      <c r="AG180" s="22" t="s">
        <v>55</v>
      </c>
      <c r="AH180" s="22" t="s">
        <v>55</v>
      </c>
      <c r="AI180" s="22" t="s">
        <v>55</v>
      </c>
      <c r="AJ180" s="22" t="s">
        <v>55</v>
      </c>
      <c r="AK180" s="22" t="s">
        <v>55</v>
      </c>
      <c r="AL180" s="22" t="s">
        <v>55</v>
      </c>
      <c r="AM180" s="22" t="s">
        <v>55</v>
      </c>
      <c r="AN180" s="22" t="s">
        <v>55</v>
      </c>
      <c r="AO180" s="22" t="s">
        <v>55</v>
      </c>
      <c r="AP180" s="22" t="s">
        <v>55</v>
      </c>
      <c r="AQ180" s="22" t="s">
        <v>55</v>
      </c>
      <c r="AR180" s="22" t="s">
        <v>55</v>
      </c>
      <c r="AS180" s="22" t="s">
        <v>55</v>
      </c>
      <c r="AT180" s="22" t="s">
        <v>55</v>
      </c>
      <c r="AU180" s="22" t="s">
        <v>55</v>
      </c>
      <c r="AV180" s="22" t="s">
        <v>55</v>
      </c>
      <c r="AW180" s="22" t="s">
        <v>55</v>
      </c>
      <c r="AX180" s="22" t="s">
        <v>55</v>
      </c>
      <c r="AY180" s="22" t="s">
        <v>1133</v>
      </c>
    </row>
    <row r="181" spans="1:51" ht="43.5" x14ac:dyDescent="0.35">
      <c r="A181" s="22" t="s">
        <v>1362</v>
      </c>
      <c r="B181" s="22" t="s">
        <v>347</v>
      </c>
      <c r="C181" s="22" t="s">
        <v>116</v>
      </c>
      <c r="D181" s="22" t="s">
        <v>465</v>
      </c>
      <c r="E181" s="22" t="s">
        <v>52</v>
      </c>
      <c r="F181" s="22" t="s">
        <v>1327</v>
      </c>
      <c r="G181" s="22" t="s">
        <v>126</v>
      </c>
      <c r="H181" s="22" t="s">
        <v>138</v>
      </c>
      <c r="I181" s="22" t="s">
        <v>121</v>
      </c>
      <c r="J181" s="22" t="s">
        <v>562</v>
      </c>
      <c r="K181" s="22" t="s">
        <v>572</v>
      </c>
      <c r="L181" s="22" t="s">
        <v>55</v>
      </c>
      <c r="M181" s="22" t="s">
        <v>1363</v>
      </c>
      <c r="N181" s="22" t="s">
        <v>55</v>
      </c>
      <c r="O181" s="22" t="s">
        <v>1329</v>
      </c>
      <c r="P181" s="22" t="s">
        <v>1330</v>
      </c>
      <c r="Q181" s="22" t="s">
        <v>1350</v>
      </c>
      <c r="R181" s="22" t="s">
        <v>55</v>
      </c>
      <c r="S181" s="22" t="s">
        <v>55</v>
      </c>
      <c r="T181" s="22" t="s">
        <v>1361</v>
      </c>
      <c r="U181" s="22" t="s">
        <v>132</v>
      </c>
      <c r="V181" s="23">
        <v>45961</v>
      </c>
      <c r="W181" s="22" t="s">
        <v>55</v>
      </c>
      <c r="X181" s="22" t="s">
        <v>1333</v>
      </c>
      <c r="Y181" s="22" t="s">
        <v>65</v>
      </c>
      <c r="Z181" s="22" t="s">
        <v>55</v>
      </c>
      <c r="AA181" s="22" t="s">
        <v>66</v>
      </c>
      <c r="AB181" s="22" t="s">
        <v>55</v>
      </c>
      <c r="AC181" s="22" t="s">
        <v>55</v>
      </c>
      <c r="AD181" s="22" t="s">
        <v>118</v>
      </c>
      <c r="AE181" s="22" t="s">
        <v>97</v>
      </c>
      <c r="AF181" s="22" t="s">
        <v>391</v>
      </c>
      <c r="AG181" s="22" t="s">
        <v>55</v>
      </c>
      <c r="AH181" s="22" t="s">
        <v>55</v>
      </c>
      <c r="AI181" s="22" t="s">
        <v>55</v>
      </c>
      <c r="AJ181" s="22" t="s">
        <v>55</v>
      </c>
      <c r="AK181" s="22" t="s">
        <v>55</v>
      </c>
      <c r="AL181" s="22" t="s">
        <v>55</v>
      </c>
      <c r="AM181" s="22" t="s">
        <v>55</v>
      </c>
      <c r="AN181" s="22" t="s">
        <v>55</v>
      </c>
      <c r="AO181" s="22" t="s">
        <v>55</v>
      </c>
      <c r="AP181" s="22" t="s">
        <v>55</v>
      </c>
      <c r="AQ181" s="22" t="s">
        <v>55</v>
      </c>
      <c r="AR181" s="22" t="s">
        <v>55</v>
      </c>
      <c r="AS181" s="22" t="s">
        <v>55</v>
      </c>
      <c r="AT181" s="22" t="s">
        <v>55</v>
      </c>
      <c r="AU181" s="22" t="s">
        <v>55</v>
      </c>
      <c r="AV181" s="22" t="s">
        <v>55</v>
      </c>
      <c r="AW181" s="22" t="s">
        <v>55</v>
      </c>
      <c r="AX181" s="22" t="s">
        <v>55</v>
      </c>
      <c r="AY181" s="22" t="s">
        <v>1133</v>
      </c>
    </row>
    <row r="182" spans="1:51" ht="116" x14ac:dyDescent="0.35">
      <c r="A182" s="22" t="s">
        <v>1364</v>
      </c>
      <c r="B182" s="22" t="s">
        <v>347</v>
      </c>
      <c r="C182" s="22" t="s">
        <v>116</v>
      </c>
      <c r="D182" s="22" t="s">
        <v>465</v>
      </c>
      <c r="E182" s="22" t="s">
        <v>52</v>
      </c>
      <c r="F182" s="22" t="s">
        <v>1327</v>
      </c>
      <c r="G182" s="22" t="s">
        <v>126</v>
      </c>
      <c r="H182" s="22" t="s">
        <v>138</v>
      </c>
      <c r="I182" s="22" t="s">
        <v>121</v>
      </c>
      <c r="J182" s="22" t="s">
        <v>843</v>
      </c>
      <c r="K182" s="22" t="s">
        <v>584</v>
      </c>
      <c r="L182" s="22" t="s">
        <v>55</v>
      </c>
      <c r="M182" s="22" t="s">
        <v>1316</v>
      </c>
      <c r="N182" s="22" t="s">
        <v>55</v>
      </c>
      <c r="O182" s="22" t="s">
        <v>1329</v>
      </c>
      <c r="P182" s="22" t="s">
        <v>1330</v>
      </c>
      <c r="Q182" s="22" t="s">
        <v>1365</v>
      </c>
      <c r="R182" s="22" t="s">
        <v>55</v>
      </c>
      <c r="S182" s="22" t="s">
        <v>55</v>
      </c>
      <c r="T182" s="22" t="s">
        <v>1366</v>
      </c>
      <c r="U182" s="22" t="s">
        <v>63</v>
      </c>
      <c r="V182" s="23">
        <v>45961</v>
      </c>
      <c r="W182" s="22" t="s">
        <v>55</v>
      </c>
      <c r="X182" s="22" t="s">
        <v>1333</v>
      </c>
      <c r="Y182" s="22" t="s">
        <v>65</v>
      </c>
      <c r="Z182" s="22" t="s">
        <v>55</v>
      </c>
      <c r="AA182" s="22" t="s">
        <v>66</v>
      </c>
      <c r="AB182" s="22" t="s">
        <v>55</v>
      </c>
      <c r="AC182" s="22" t="s">
        <v>55</v>
      </c>
      <c r="AD182" s="22" t="s">
        <v>118</v>
      </c>
      <c r="AE182" s="22" t="s">
        <v>97</v>
      </c>
      <c r="AF182" s="22" t="s">
        <v>98</v>
      </c>
      <c r="AG182" s="22" t="s">
        <v>55</v>
      </c>
      <c r="AH182" s="22" t="s">
        <v>55</v>
      </c>
      <c r="AI182" s="22" t="s">
        <v>55</v>
      </c>
      <c r="AJ182" s="22" t="s">
        <v>55</v>
      </c>
      <c r="AK182" s="22" t="s">
        <v>55</v>
      </c>
      <c r="AL182" s="22" t="s">
        <v>55</v>
      </c>
      <c r="AM182" s="22" t="s">
        <v>55</v>
      </c>
      <c r="AN182" s="22" t="s">
        <v>55</v>
      </c>
      <c r="AO182" s="22" t="s">
        <v>55</v>
      </c>
      <c r="AP182" s="22" t="s">
        <v>55</v>
      </c>
      <c r="AQ182" s="22" t="s">
        <v>55</v>
      </c>
      <c r="AR182" s="22" t="s">
        <v>55</v>
      </c>
      <c r="AS182" s="22" t="s">
        <v>55</v>
      </c>
      <c r="AT182" s="22" t="s">
        <v>55</v>
      </c>
      <c r="AU182" s="22" t="s">
        <v>55</v>
      </c>
      <c r="AV182" s="22" t="s">
        <v>55</v>
      </c>
      <c r="AW182" s="22" t="s">
        <v>55</v>
      </c>
      <c r="AX182" s="22" t="s">
        <v>55</v>
      </c>
      <c r="AY182" s="22" t="s">
        <v>1133</v>
      </c>
    </row>
    <row r="183" spans="1:51" ht="58" x14ac:dyDescent="0.35">
      <c r="A183" s="22" t="s">
        <v>1367</v>
      </c>
      <c r="B183" s="22" t="s">
        <v>347</v>
      </c>
      <c r="C183" s="22" t="s">
        <v>116</v>
      </c>
      <c r="D183" s="22" t="s">
        <v>465</v>
      </c>
      <c r="E183" s="22" t="s">
        <v>52</v>
      </c>
      <c r="F183" s="22" t="s">
        <v>1327</v>
      </c>
      <c r="G183" s="22" t="s">
        <v>126</v>
      </c>
      <c r="H183" s="22" t="s">
        <v>138</v>
      </c>
      <c r="I183" s="22" t="s">
        <v>121</v>
      </c>
      <c r="J183" s="22" t="s">
        <v>223</v>
      </c>
      <c r="K183" s="22" t="s">
        <v>868</v>
      </c>
      <c r="L183" s="22" t="s">
        <v>55</v>
      </c>
      <c r="M183" s="22" t="s">
        <v>1209</v>
      </c>
      <c r="N183" s="22" t="s">
        <v>55</v>
      </c>
      <c r="O183" s="22" t="s">
        <v>1329</v>
      </c>
      <c r="P183" s="22" t="s">
        <v>1368</v>
      </c>
      <c r="Q183" s="22" t="s">
        <v>1368</v>
      </c>
      <c r="R183" s="22" t="s">
        <v>55</v>
      </c>
      <c r="S183" s="22" t="s">
        <v>55</v>
      </c>
      <c r="T183" s="22" t="s">
        <v>1369</v>
      </c>
      <c r="U183" s="22" t="s">
        <v>63</v>
      </c>
      <c r="V183" s="23">
        <v>45961</v>
      </c>
      <c r="W183" s="22" t="s">
        <v>55</v>
      </c>
      <c r="X183" s="22" t="s">
        <v>1333</v>
      </c>
      <c r="Y183" s="22" t="s">
        <v>65</v>
      </c>
      <c r="Z183" s="22" t="s">
        <v>55</v>
      </c>
      <c r="AA183" s="22" t="s">
        <v>66</v>
      </c>
      <c r="AB183" s="22" t="s">
        <v>55</v>
      </c>
      <c r="AC183" s="22" t="s">
        <v>55</v>
      </c>
      <c r="AD183" s="22" t="s">
        <v>118</v>
      </c>
      <c r="AE183" s="22" t="s">
        <v>97</v>
      </c>
      <c r="AF183" s="22" t="s">
        <v>123</v>
      </c>
      <c r="AG183" s="22" t="s">
        <v>55</v>
      </c>
      <c r="AH183" s="22" t="s">
        <v>55</v>
      </c>
      <c r="AI183" s="22" t="s">
        <v>55</v>
      </c>
      <c r="AJ183" s="22" t="s">
        <v>55</v>
      </c>
      <c r="AK183" s="22" t="s">
        <v>55</v>
      </c>
      <c r="AL183" s="22" t="s">
        <v>55</v>
      </c>
      <c r="AM183" s="22" t="s">
        <v>55</v>
      </c>
      <c r="AN183" s="22" t="s">
        <v>55</v>
      </c>
      <c r="AO183" s="22" t="s">
        <v>55</v>
      </c>
      <c r="AP183" s="22" t="s">
        <v>55</v>
      </c>
      <c r="AQ183" s="22" t="s">
        <v>55</v>
      </c>
      <c r="AR183" s="22" t="s">
        <v>55</v>
      </c>
      <c r="AS183" s="22" t="s">
        <v>55</v>
      </c>
      <c r="AT183" s="22" t="s">
        <v>55</v>
      </c>
      <c r="AU183" s="22" t="s">
        <v>55</v>
      </c>
      <c r="AV183" s="22" t="s">
        <v>55</v>
      </c>
      <c r="AW183" s="22" t="s">
        <v>55</v>
      </c>
      <c r="AX183" s="22" t="s">
        <v>55</v>
      </c>
      <c r="AY183" s="22" t="s">
        <v>1133</v>
      </c>
    </row>
    <row r="184" spans="1:51" ht="87" x14ac:dyDescent="0.35">
      <c r="A184" s="22" t="s">
        <v>1370</v>
      </c>
      <c r="B184" s="22" t="s">
        <v>347</v>
      </c>
      <c r="C184" s="22" t="s">
        <v>116</v>
      </c>
      <c r="D184" s="22" t="s">
        <v>465</v>
      </c>
      <c r="E184" s="22" t="s">
        <v>52</v>
      </c>
      <c r="F184" s="22" t="s">
        <v>1327</v>
      </c>
      <c r="G184" s="22" t="s">
        <v>126</v>
      </c>
      <c r="H184" s="22" t="s">
        <v>138</v>
      </c>
      <c r="I184" s="22" t="s">
        <v>121</v>
      </c>
      <c r="J184" s="22" t="s">
        <v>223</v>
      </c>
      <c r="K184" s="22" t="s">
        <v>868</v>
      </c>
      <c r="L184" s="22" t="s">
        <v>55</v>
      </c>
      <c r="M184" s="22" t="s">
        <v>258</v>
      </c>
      <c r="N184" s="22" t="s">
        <v>55</v>
      </c>
      <c r="O184" s="22" t="s">
        <v>1329</v>
      </c>
      <c r="P184" s="22" t="s">
        <v>1371</v>
      </c>
      <c r="Q184" s="22" t="s">
        <v>1371</v>
      </c>
      <c r="R184" s="22" t="s">
        <v>55</v>
      </c>
      <c r="S184" s="22" t="s">
        <v>55</v>
      </c>
      <c r="T184" s="22" t="s">
        <v>1372</v>
      </c>
      <c r="U184" s="22" t="s">
        <v>63</v>
      </c>
      <c r="V184" s="23">
        <v>45961</v>
      </c>
      <c r="W184" s="22" t="s">
        <v>55</v>
      </c>
      <c r="X184" s="22" t="s">
        <v>1373</v>
      </c>
      <c r="Y184" s="22" t="s">
        <v>65</v>
      </c>
      <c r="Z184" s="22" t="s">
        <v>55</v>
      </c>
      <c r="AA184" s="22" t="s">
        <v>66</v>
      </c>
      <c r="AB184" s="22" t="s">
        <v>55</v>
      </c>
      <c r="AC184" s="22" t="s">
        <v>55</v>
      </c>
      <c r="AD184" s="22" t="s">
        <v>118</v>
      </c>
      <c r="AE184" s="22" t="s">
        <v>97</v>
      </c>
      <c r="AF184" s="22" t="s">
        <v>226</v>
      </c>
      <c r="AG184" s="22" t="s">
        <v>55</v>
      </c>
      <c r="AH184" s="22" t="s">
        <v>55</v>
      </c>
      <c r="AI184" s="22" t="s">
        <v>55</v>
      </c>
      <c r="AJ184" s="22" t="s">
        <v>55</v>
      </c>
      <c r="AK184" s="22" t="s">
        <v>55</v>
      </c>
      <c r="AL184" s="22" t="s">
        <v>55</v>
      </c>
      <c r="AM184" s="22" t="s">
        <v>55</v>
      </c>
      <c r="AN184" s="22" t="s">
        <v>55</v>
      </c>
      <c r="AO184" s="22" t="s">
        <v>55</v>
      </c>
      <c r="AP184" s="22" t="s">
        <v>55</v>
      </c>
      <c r="AQ184" s="22" t="s">
        <v>55</v>
      </c>
      <c r="AR184" s="22" t="s">
        <v>55</v>
      </c>
      <c r="AS184" s="22" t="s">
        <v>55</v>
      </c>
      <c r="AT184" s="22" t="s">
        <v>55</v>
      </c>
      <c r="AU184" s="22" t="s">
        <v>55</v>
      </c>
      <c r="AV184" s="22" t="s">
        <v>55</v>
      </c>
      <c r="AW184" s="22" t="s">
        <v>55</v>
      </c>
      <c r="AX184" s="22" t="s">
        <v>55</v>
      </c>
      <c r="AY184" s="22" t="s">
        <v>1133</v>
      </c>
    </row>
    <row r="185" spans="1:51" ht="72.5" x14ac:dyDescent="0.35">
      <c r="A185" s="22" t="s">
        <v>1374</v>
      </c>
      <c r="B185" s="22" t="s">
        <v>347</v>
      </c>
      <c r="C185" s="22" t="s">
        <v>116</v>
      </c>
      <c r="D185" s="22" t="s">
        <v>465</v>
      </c>
      <c r="E185" s="22" t="s">
        <v>52</v>
      </c>
      <c r="F185" s="22" t="s">
        <v>1327</v>
      </c>
      <c r="G185" s="22" t="s">
        <v>126</v>
      </c>
      <c r="H185" s="22" t="s">
        <v>138</v>
      </c>
      <c r="I185" s="22" t="s">
        <v>121</v>
      </c>
      <c r="J185" s="22" t="s">
        <v>843</v>
      </c>
      <c r="K185" s="22" t="s">
        <v>594</v>
      </c>
      <c r="L185" s="22" t="s">
        <v>55</v>
      </c>
      <c r="M185" s="22" t="s">
        <v>998</v>
      </c>
      <c r="N185" s="22" t="s">
        <v>55</v>
      </c>
      <c r="O185" s="22" t="s">
        <v>1329</v>
      </c>
      <c r="P185" s="22" t="s">
        <v>1375</v>
      </c>
      <c r="Q185" s="22" t="s">
        <v>1375</v>
      </c>
      <c r="R185" s="22" t="s">
        <v>55</v>
      </c>
      <c r="S185" s="22" t="s">
        <v>55</v>
      </c>
      <c r="T185" s="22" t="s">
        <v>1376</v>
      </c>
      <c r="U185" s="22" t="s">
        <v>63</v>
      </c>
      <c r="V185" s="23">
        <v>45961</v>
      </c>
      <c r="W185" s="22" t="s">
        <v>55</v>
      </c>
      <c r="X185" s="22" t="s">
        <v>1373</v>
      </c>
      <c r="Y185" s="22" t="s">
        <v>65</v>
      </c>
      <c r="Z185" s="22" t="s">
        <v>55</v>
      </c>
      <c r="AA185" s="22" t="s">
        <v>66</v>
      </c>
      <c r="AB185" s="22" t="s">
        <v>55</v>
      </c>
      <c r="AC185" s="22" t="s">
        <v>55</v>
      </c>
      <c r="AD185" s="22" t="s">
        <v>118</v>
      </c>
      <c r="AE185" s="22" t="s">
        <v>97</v>
      </c>
      <c r="AF185" s="22" t="s">
        <v>1004</v>
      </c>
      <c r="AG185" s="22" t="s">
        <v>55</v>
      </c>
      <c r="AH185" s="22" t="s">
        <v>55</v>
      </c>
      <c r="AI185" s="22" t="s">
        <v>55</v>
      </c>
      <c r="AJ185" s="22" t="s">
        <v>55</v>
      </c>
      <c r="AK185" s="22" t="s">
        <v>55</v>
      </c>
      <c r="AL185" s="22" t="s">
        <v>55</v>
      </c>
      <c r="AM185" s="22" t="s">
        <v>55</v>
      </c>
      <c r="AN185" s="22" t="s">
        <v>55</v>
      </c>
      <c r="AO185" s="22" t="s">
        <v>55</v>
      </c>
      <c r="AP185" s="22" t="s">
        <v>55</v>
      </c>
      <c r="AQ185" s="22" t="s">
        <v>55</v>
      </c>
      <c r="AR185" s="22" t="s">
        <v>55</v>
      </c>
      <c r="AS185" s="22" t="s">
        <v>55</v>
      </c>
      <c r="AT185" s="22" t="s">
        <v>55</v>
      </c>
      <c r="AU185" s="22" t="s">
        <v>55</v>
      </c>
      <c r="AV185" s="22" t="s">
        <v>55</v>
      </c>
      <c r="AW185" s="22" t="s">
        <v>55</v>
      </c>
      <c r="AX185" s="22" t="s">
        <v>55</v>
      </c>
      <c r="AY185" s="22" t="s">
        <v>1133</v>
      </c>
    </row>
    <row r="186" spans="1:51" ht="72.5" x14ac:dyDescent="0.35">
      <c r="A186" s="22" t="s">
        <v>1377</v>
      </c>
      <c r="B186" s="22" t="s">
        <v>347</v>
      </c>
      <c r="C186" s="22" t="s">
        <v>116</v>
      </c>
      <c r="D186" s="22" t="s">
        <v>465</v>
      </c>
      <c r="E186" s="22" t="s">
        <v>52</v>
      </c>
      <c r="F186" s="22" t="s">
        <v>1327</v>
      </c>
      <c r="G186" s="22" t="s">
        <v>126</v>
      </c>
      <c r="H186" s="22" t="s">
        <v>138</v>
      </c>
      <c r="I186" s="22" t="s">
        <v>121</v>
      </c>
      <c r="J186" s="22" t="s">
        <v>843</v>
      </c>
      <c r="K186" s="22" t="s">
        <v>867</v>
      </c>
      <c r="L186" s="22" t="s">
        <v>55</v>
      </c>
      <c r="M186" s="22" t="s">
        <v>1378</v>
      </c>
      <c r="N186" s="22" t="s">
        <v>55</v>
      </c>
      <c r="O186" s="22" t="s">
        <v>1329</v>
      </c>
      <c r="P186" s="22" t="s">
        <v>1379</v>
      </c>
      <c r="Q186" s="22" t="s">
        <v>1379</v>
      </c>
      <c r="R186" s="22" t="s">
        <v>55</v>
      </c>
      <c r="S186" s="22" t="s">
        <v>55</v>
      </c>
      <c r="T186" s="22" t="s">
        <v>1380</v>
      </c>
      <c r="U186" s="22" t="s">
        <v>63</v>
      </c>
      <c r="V186" s="23">
        <v>45962</v>
      </c>
      <c r="W186" s="22" t="s">
        <v>55</v>
      </c>
      <c r="X186" s="22" t="s">
        <v>1381</v>
      </c>
      <c r="Y186" s="22" t="s">
        <v>65</v>
      </c>
      <c r="Z186" s="22" t="s">
        <v>55</v>
      </c>
      <c r="AA186" s="22" t="s">
        <v>66</v>
      </c>
      <c r="AB186" s="22" t="s">
        <v>55</v>
      </c>
      <c r="AC186" s="22" t="s">
        <v>55</v>
      </c>
      <c r="AD186" s="22" t="s">
        <v>118</v>
      </c>
      <c r="AE186" s="22" t="s">
        <v>97</v>
      </c>
      <c r="AF186" s="22" t="s">
        <v>1382</v>
      </c>
      <c r="AG186" s="22" t="s">
        <v>55</v>
      </c>
      <c r="AH186" s="22" t="s">
        <v>55</v>
      </c>
      <c r="AI186" s="22" t="s">
        <v>55</v>
      </c>
      <c r="AJ186" s="22" t="s">
        <v>55</v>
      </c>
      <c r="AK186" s="22" t="s">
        <v>55</v>
      </c>
      <c r="AL186" s="22" t="s">
        <v>55</v>
      </c>
      <c r="AM186" s="22" t="s">
        <v>55</v>
      </c>
      <c r="AN186" s="22" t="s">
        <v>55</v>
      </c>
      <c r="AO186" s="22" t="s">
        <v>55</v>
      </c>
      <c r="AP186" s="22" t="s">
        <v>55</v>
      </c>
      <c r="AQ186" s="22" t="s">
        <v>55</v>
      </c>
      <c r="AR186" s="22" t="s">
        <v>55</v>
      </c>
      <c r="AS186" s="22" t="s">
        <v>55</v>
      </c>
      <c r="AT186" s="22" t="s">
        <v>55</v>
      </c>
      <c r="AU186" s="22" t="s">
        <v>55</v>
      </c>
      <c r="AV186" s="22" t="s">
        <v>55</v>
      </c>
      <c r="AW186" s="22" t="s">
        <v>55</v>
      </c>
      <c r="AX186" s="22" t="s">
        <v>55</v>
      </c>
      <c r="AY186" s="22" t="s">
        <v>1133</v>
      </c>
    </row>
    <row r="187" spans="1:51" ht="43.5" x14ac:dyDescent="0.35">
      <c r="A187" s="22" t="s">
        <v>1383</v>
      </c>
      <c r="B187" s="22" t="s">
        <v>347</v>
      </c>
      <c r="C187" s="22" t="s">
        <v>116</v>
      </c>
      <c r="D187" s="22" t="s">
        <v>465</v>
      </c>
      <c r="E187" s="22" t="s">
        <v>52</v>
      </c>
      <c r="F187" s="22" t="s">
        <v>1327</v>
      </c>
      <c r="G187" s="22" t="s">
        <v>126</v>
      </c>
      <c r="H187" s="22" t="s">
        <v>138</v>
      </c>
      <c r="I187" s="22" t="s">
        <v>119</v>
      </c>
      <c r="J187" s="22" t="s">
        <v>1384</v>
      </c>
      <c r="K187" s="22" t="s">
        <v>1385</v>
      </c>
      <c r="L187" s="22" t="s">
        <v>55</v>
      </c>
      <c r="M187" s="22" t="s">
        <v>1386</v>
      </c>
      <c r="N187" s="22" t="s">
        <v>55</v>
      </c>
      <c r="O187" s="22" t="s">
        <v>1329</v>
      </c>
      <c r="P187" s="22" t="s">
        <v>1345</v>
      </c>
      <c r="Q187" s="22" t="s">
        <v>1387</v>
      </c>
      <c r="R187" s="22" t="s">
        <v>55</v>
      </c>
      <c r="S187" s="22" t="s">
        <v>55</v>
      </c>
      <c r="T187" s="22" t="s">
        <v>1388</v>
      </c>
      <c r="U187" s="22" t="s">
        <v>63</v>
      </c>
      <c r="V187" s="23">
        <v>45976</v>
      </c>
      <c r="W187" s="22" t="s">
        <v>55</v>
      </c>
      <c r="X187" s="22" t="s">
        <v>1381</v>
      </c>
      <c r="Y187" s="22" t="s">
        <v>65</v>
      </c>
      <c r="Z187" s="22" t="s">
        <v>55</v>
      </c>
      <c r="AA187" s="22" t="s">
        <v>66</v>
      </c>
      <c r="AB187" s="22" t="s">
        <v>55</v>
      </c>
      <c r="AC187" s="22" t="s">
        <v>55</v>
      </c>
      <c r="AD187" s="22" t="s">
        <v>118</v>
      </c>
      <c r="AE187" s="22" t="s">
        <v>97</v>
      </c>
      <c r="AF187" s="22" t="s">
        <v>1238</v>
      </c>
      <c r="AG187" s="22" t="s">
        <v>55</v>
      </c>
      <c r="AH187" s="22" t="s">
        <v>55</v>
      </c>
      <c r="AI187" s="22" t="s">
        <v>55</v>
      </c>
      <c r="AJ187" s="22" t="s">
        <v>55</v>
      </c>
      <c r="AK187" s="22" t="s">
        <v>55</v>
      </c>
      <c r="AL187" s="22" t="s">
        <v>55</v>
      </c>
      <c r="AM187" s="22" t="s">
        <v>55</v>
      </c>
      <c r="AN187" s="22" t="s">
        <v>55</v>
      </c>
      <c r="AO187" s="22" t="s">
        <v>55</v>
      </c>
      <c r="AP187" s="22" t="s">
        <v>55</v>
      </c>
      <c r="AQ187" s="22" t="s">
        <v>55</v>
      </c>
      <c r="AR187" s="22" t="s">
        <v>55</v>
      </c>
      <c r="AS187" s="22" t="s">
        <v>55</v>
      </c>
      <c r="AT187" s="22" t="s">
        <v>55</v>
      </c>
      <c r="AU187" s="22" t="s">
        <v>55</v>
      </c>
      <c r="AV187" s="22" t="s">
        <v>55</v>
      </c>
      <c r="AW187" s="22" t="s">
        <v>55</v>
      </c>
      <c r="AX187" s="22" t="s">
        <v>55</v>
      </c>
      <c r="AY187" s="22" t="s">
        <v>1133</v>
      </c>
    </row>
    <row r="188" spans="1:51" ht="43.5" x14ac:dyDescent="0.35">
      <c r="A188" s="22" t="s">
        <v>1389</v>
      </c>
      <c r="B188" s="22" t="s">
        <v>347</v>
      </c>
      <c r="C188" s="22" t="s">
        <v>116</v>
      </c>
      <c r="D188" s="22" t="s">
        <v>465</v>
      </c>
      <c r="E188" s="22" t="s">
        <v>52</v>
      </c>
      <c r="F188" s="22" t="s">
        <v>1327</v>
      </c>
      <c r="G188" s="22" t="s">
        <v>126</v>
      </c>
      <c r="H188" s="22" t="s">
        <v>138</v>
      </c>
      <c r="I188" s="22" t="s">
        <v>361</v>
      </c>
      <c r="J188" s="22" t="s">
        <v>253</v>
      </c>
      <c r="K188" s="22" t="s">
        <v>572</v>
      </c>
      <c r="L188" s="22" t="s">
        <v>55</v>
      </c>
      <c r="M188" s="22" t="s">
        <v>158</v>
      </c>
      <c r="N188" s="22" t="s">
        <v>55</v>
      </c>
      <c r="O188" s="22" t="s">
        <v>1329</v>
      </c>
      <c r="P188" s="22" t="s">
        <v>1330</v>
      </c>
      <c r="Q188" s="22" t="s">
        <v>1331</v>
      </c>
      <c r="R188" s="22" t="s">
        <v>55</v>
      </c>
      <c r="S188" s="22" t="s">
        <v>55</v>
      </c>
      <c r="T188" s="22" t="s">
        <v>1361</v>
      </c>
      <c r="U188" s="22" t="s">
        <v>63</v>
      </c>
      <c r="V188" s="23">
        <v>45961</v>
      </c>
      <c r="W188" s="22" t="s">
        <v>55</v>
      </c>
      <c r="X188" s="22" t="s">
        <v>1381</v>
      </c>
      <c r="Y188" s="22" t="s">
        <v>65</v>
      </c>
      <c r="Z188" s="22" t="s">
        <v>55</v>
      </c>
      <c r="AA188" s="22" t="s">
        <v>66</v>
      </c>
      <c r="AB188" s="22" t="s">
        <v>55</v>
      </c>
      <c r="AC188" s="22" t="s">
        <v>55</v>
      </c>
      <c r="AD188" s="22" t="s">
        <v>118</v>
      </c>
      <c r="AE188" s="22" t="s">
        <v>97</v>
      </c>
      <c r="AF188" s="22" t="s">
        <v>69</v>
      </c>
      <c r="AG188" s="22" t="s">
        <v>55</v>
      </c>
      <c r="AH188" s="22" t="s">
        <v>55</v>
      </c>
      <c r="AI188" s="22" t="s">
        <v>55</v>
      </c>
      <c r="AJ188" s="22" t="s">
        <v>55</v>
      </c>
      <c r="AK188" s="22" t="s">
        <v>55</v>
      </c>
      <c r="AL188" s="22" t="s">
        <v>55</v>
      </c>
      <c r="AM188" s="22" t="s">
        <v>55</v>
      </c>
      <c r="AN188" s="22" t="s">
        <v>55</v>
      </c>
      <c r="AO188" s="22" t="s">
        <v>55</v>
      </c>
      <c r="AP188" s="22" t="s">
        <v>55</v>
      </c>
      <c r="AQ188" s="22" t="s">
        <v>55</v>
      </c>
      <c r="AR188" s="22" t="s">
        <v>55</v>
      </c>
      <c r="AS188" s="22" t="s">
        <v>55</v>
      </c>
      <c r="AT188" s="22" t="s">
        <v>55</v>
      </c>
      <c r="AU188" s="22" t="s">
        <v>55</v>
      </c>
      <c r="AV188" s="22" t="s">
        <v>55</v>
      </c>
      <c r="AW188" s="22" t="s">
        <v>55</v>
      </c>
      <c r="AX188" s="22" t="s">
        <v>55</v>
      </c>
      <c r="AY188" s="22" t="s">
        <v>1133</v>
      </c>
    </row>
    <row r="189" spans="1:51" ht="29" x14ac:dyDescent="0.35">
      <c r="A189" s="22" t="s">
        <v>1390</v>
      </c>
      <c r="B189" s="22" t="s">
        <v>347</v>
      </c>
      <c r="C189" s="22" t="s">
        <v>116</v>
      </c>
      <c r="D189" s="22" t="s">
        <v>465</v>
      </c>
      <c r="E189" s="22" t="s">
        <v>52</v>
      </c>
      <c r="F189" s="22" t="s">
        <v>207</v>
      </c>
      <c r="G189" s="22" t="s">
        <v>54</v>
      </c>
      <c r="H189" s="22" t="s">
        <v>1716</v>
      </c>
      <c r="I189" s="22" t="s">
        <v>119</v>
      </c>
      <c r="J189" s="22" t="s">
        <v>1391</v>
      </c>
      <c r="K189" s="22" t="s">
        <v>544</v>
      </c>
      <c r="L189" s="22" t="s">
        <v>55</v>
      </c>
      <c r="M189" s="22" t="s">
        <v>99</v>
      </c>
      <c r="N189" s="22" t="s">
        <v>55</v>
      </c>
      <c r="O189" s="22" t="s">
        <v>1392</v>
      </c>
      <c r="P189" s="22" t="s">
        <v>1330</v>
      </c>
      <c r="Q189" s="22" t="s">
        <v>1393</v>
      </c>
      <c r="R189" s="22" t="s">
        <v>55</v>
      </c>
      <c r="S189" s="22" t="s">
        <v>55</v>
      </c>
      <c r="T189" s="22" t="s">
        <v>1394</v>
      </c>
      <c r="U189" s="22" t="s">
        <v>63</v>
      </c>
      <c r="V189" s="23">
        <v>45961</v>
      </c>
      <c r="W189" s="22" t="s">
        <v>55</v>
      </c>
      <c r="X189" s="22" t="s">
        <v>1395</v>
      </c>
      <c r="Y189" s="22" t="s">
        <v>65</v>
      </c>
      <c r="Z189" s="22" t="s">
        <v>55</v>
      </c>
      <c r="AA189" s="22" t="s">
        <v>66</v>
      </c>
      <c r="AB189" s="22" t="s">
        <v>55</v>
      </c>
      <c r="AC189" s="22" t="s">
        <v>55</v>
      </c>
      <c r="AD189" s="22" t="s">
        <v>118</v>
      </c>
      <c r="AE189" s="22" t="s">
        <v>97</v>
      </c>
      <c r="AF189" s="22" t="s">
        <v>100</v>
      </c>
      <c r="AG189" s="22" t="s">
        <v>55</v>
      </c>
      <c r="AH189" s="22" t="s">
        <v>55</v>
      </c>
      <c r="AI189" s="22" t="s">
        <v>55</v>
      </c>
      <c r="AJ189" s="22" t="s">
        <v>55</v>
      </c>
      <c r="AK189" s="22" t="s">
        <v>55</v>
      </c>
      <c r="AL189" s="22" t="s">
        <v>55</v>
      </c>
      <c r="AM189" s="22" t="s">
        <v>55</v>
      </c>
      <c r="AN189" s="22" t="s">
        <v>55</v>
      </c>
      <c r="AO189" s="22" t="s">
        <v>55</v>
      </c>
      <c r="AP189" s="22" t="s">
        <v>55</v>
      </c>
      <c r="AQ189" s="22" t="s">
        <v>55</v>
      </c>
      <c r="AR189" s="22" t="s">
        <v>55</v>
      </c>
      <c r="AS189" s="22" t="s">
        <v>55</v>
      </c>
      <c r="AT189" s="22" t="s">
        <v>55</v>
      </c>
      <c r="AU189" s="22" t="s">
        <v>55</v>
      </c>
      <c r="AV189" s="22" t="s">
        <v>55</v>
      </c>
      <c r="AW189" s="22" t="s">
        <v>55</v>
      </c>
      <c r="AX189" s="22" t="s">
        <v>55</v>
      </c>
      <c r="AY189" s="22" t="s">
        <v>1133</v>
      </c>
    </row>
    <row r="190" spans="1:51" ht="43.5" x14ac:dyDescent="0.35">
      <c r="A190" s="22" t="s">
        <v>1396</v>
      </c>
      <c r="B190" s="22" t="s">
        <v>347</v>
      </c>
      <c r="C190" s="22" t="s">
        <v>116</v>
      </c>
      <c r="D190" s="22" t="s">
        <v>465</v>
      </c>
      <c r="E190" s="22" t="s">
        <v>52</v>
      </c>
      <c r="F190" s="22" t="s">
        <v>1147</v>
      </c>
      <c r="G190" s="22" t="s">
        <v>54</v>
      </c>
      <c r="H190" s="22" t="s">
        <v>1713</v>
      </c>
      <c r="I190" s="22" t="s">
        <v>160</v>
      </c>
      <c r="J190" s="22" t="s">
        <v>373</v>
      </c>
      <c r="K190" s="22" t="s">
        <v>558</v>
      </c>
      <c r="L190" s="22" t="s">
        <v>55</v>
      </c>
      <c r="M190" s="22" t="s">
        <v>385</v>
      </c>
      <c r="N190" s="22" t="s">
        <v>55</v>
      </c>
      <c r="O190" s="22" t="s">
        <v>1148</v>
      </c>
      <c r="P190" s="22" t="s">
        <v>1397</v>
      </c>
      <c r="Q190" s="22" t="s">
        <v>1398</v>
      </c>
      <c r="R190" s="22" t="s">
        <v>55</v>
      </c>
      <c r="S190" s="22" t="s">
        <v>55</v>
      </c>
      <c r="T190" s="22" t="s">
        <v>1399</v>
      </c>
      <c r="U190" s="22" t="s">
        <v>63</v>
      </c>
      <c r="V190" s="23">
        <v>45961</v>
      </c>
      <c r="W190" s="22" t="s">
        <v>55</v>
      </c>
      <c r="X190" s="22" t="s">
        <v>1400</v>
      </c>
      <c r="Y190" s="22" t="s">
        <v>65</v>
      </c>
      <c r="Z190" s="22" t="s">
        <v>55</v>
      </c>
      <c r="AA190" s="22" t="s">
        <v>66</v>
      </c>
      <c r="AB190" s="22" t="s">
        <v>55</v>
      </c>
      <c r="AC190" s="22" t="s">
        <v>55</v>
      </c>
      <c r="AD190" s="22" t="s">
        <v>118</v>
      </c>
      <c r="AE190" s="22" t="s">
        <v>97</v>
      </c>
      <c r="AF190" s="22" t="s">
        <v>391</v>
      </c>
      <c r="AG190" s="22" t="s">
        <v>55</v>
      </c>
      <c r="AH190" s="22" t="s">
        <v>55</v>
      </c>
      <c r="AI190" s="22" t="s">
        <v>55</v>
      </c>
      <c r="AJ190" s="22" t="s">
        <v>55</v>
      </c>
      <c r="AK190" s="22" t="s">
        <v>55</v>
      </c>
      <c r="AL190" s="22" t="s">
        <v>55</v>
      </c>
      <c r="AM190" s="22" t="s">
        <v>55</v>
      </c>
      <c r="AN190" s="22" t="s">
        <v>55</v>
      </c>
      <c r="AO190" s="22" t="s">
        <v>55</v>
      </c>
      <c r="AP190" s="22" t="s">
        <v>55</v>
      </c>
      <c r="AQ190" s="22" t="s">
        <v>55</v>
      </c>
      <c r="AR190" s="22" t="s">
        <v>55</v>
      </c>
      <c r="AS190" s="22" t="s">
        <v>55</v>
      </c>
      <c r="AT190" s="22" t="s">
        <v>55</v>
      </c>
      <c r="AU190" s="22" t="s">
        <v>55</v>
      </c>
      <c r="AV190" s="22" t="s">
        <v>55</v>
      </c>
      <c r="AW190" s="22" t="s">
        <v>55</v>
      </c>
      <c r="AX190" s="22" t="s">
        <v>55</v>
      </c>
      <c r="AY190" s="22" t="s">
        <v>1133</v>
      </c>
    </row>
    <row r="191" spans="1:51" ht="58" x14ac:dyDescent="0.35">
      <c r="A191" s="22" t="s">
        <v>1401</v>
      </c>
      <c r="B191" s="22" t="s">
        <v>347</v>
      </c>
      <c r="C191" s="22" t="s">
        <v>116</v>
      </c>
      <c r="D191" s="22" t="s">
        <v>465</v>
      </c>
      <c r="E191" s="22" t="s">
        <v>52</v>
      </c>
      <c r="F191" s="22" t="s">
        <v>1147</v>
      </c>
      <c r="G191" s="22" t="s">
        <v>54</v>
      </c>
      <c r="H191" s="22" t="s">
        <v>1713</v>
      </c>
      <c r="I191" s="22" t="s">
        <v>117</v>
      </c>
      <c r="J191" s="22" t="s">
        <v>842</v>
      </c>
      <c r="K191" s="22" t="s">
        <v>572</v>
      </c>
      <c r="L191" s="22" t="s">
        <v>55</v>
      </c>
      <c r="M191" s="22" t="s">
        <v>128</v>
      </c>
      <c r="N191" s="22" t="s">
        <v>55</v>
      </c>
      <c r="O191" s="22" t="s">
        <v>1148</v>
      </c>
      <c r="P191" s="22" t="s">
        <v>1402</v>
      </c>
      <c r="Q191" s="22" t="s">
        <v>1403</v>
      </c>
      <c r="R191" s="22" t="s">
        <v>55</v>
      </c>
      <c r="S191" s="22" t="s">
        <v>55</v>
      </c>
      <c r="T191" s="22" t="s">
        <v>1404</v>
      </c>
      <c r="U191" s="22" t="s">
        <v>63</v>
      </c>
      <c r="V191" s="23">
        <v>45961</v>
      </c>
      <c r="W191" s="22" t="s">
        <v>55</v>
      </c>
      <c r="X191" s="22" t="s">
        <v>1405</v>
      </c>
      <c r="Y191" s="22" t="s">
        <v>65</v>
      </c>
      <c r="Z191" s="22" t="s">
        <v>55</v>
      </c>
      <c r="AA191" s="22" t="s">
        <v>66</v>
      </c>
      <c r="AB191" s="22" t="s">
        <v>55</v>
      </c>
      <c r="AC191" s="22" t="s">
        <v>55</v>
      </c>
      <c r="AD191" s="22" t="s">
        <v>118</v>
      </c>
      <c r="AE191" s="22" t="s">
        <v>97</v>
      </c>
      <c r="AF191" s="22" t="s">
        <v>69</v>
      </c>
      <c r="AG191" s="22" t="s">
        <v>55</v>
      </c>
      <c r="AH191" s="22" t="s">
        <v>55</v>
      </c>
      <c r="AI191" s="22" t="s">
        <v>55</v>
      </c>
      <c r="AJ191" s="22" t="s">
        <v>55</v>
      </c>
      <c r="AK191" s="22" t="s">
        <v>55</v>
      </c>
      <c r="AL191" s="22" t="s">
        <v>55</v>
      </c>
      <c r="AM191" s="22" t="s">
        <v>55</v>
      </c>
      <c r="AN191" s="22" t="s">
        <v>55</v>
      </c>
      <c r="AO191" s="22" t="s">
        <v>55</v>
      </c>
      <c r="AP191" s="22" t="s">
        <v>55</v>
      </c>
      <c r="AQ191" s="22" t="s">
        <v>55</v>
      </c>
      <c r="AR191" s="22" t="s">
        <v>55</v>
      </c>
      <c r="AS191" s="22" t="s">
        <v>55</v>
      </c>
      <c r="AT191" s="22" t="s">
        <v>55</v>
      </c>
      <c r="AU191" s="22" t="s">
        <v>55</v>
      </c>
      <c r="AV191" s="22" t="s">
        <v>55</v>
      </c>
      <c r="AW191" s="22" t="s">
        <v>55</v>
      </c>
      <c r="AX191" s="22" t="s">
        <v>55</v>
      </c>
      <c r="AY191" s="22" t="s">
        <v>1133</v>
      </c>
    </row>
    <row r="192" spans="1:51" ht="29" x14ac:dyDescent="0.35">
      <c r="A192" s="22" t="s">
        <v>1406</v>
      </c>
      <c r="B192" s="22" t="s">
        <v>347</v>
      </c>
      <c r="C192" s="22" t="s">
        <v>116</v>
      </c>
      <c r="D192" s="22" t="s">
        <v>465</v>
      </c>
      <c r="E192" s="22" t="s">
        <v>52</v>
      </c>
      <c r="F192" s="22" t="s">
        <v>370</v>
      </c>
      <c r="G192" s="22" t="s">
        <v>371</v>
      </c>
      <c r="H192" s="22" t="s">
        <v>372</v>
      </c>
      <c r="I192" s="22" t="s">
        <v>160</v>
      </c>
      <c r="J192" s="22" t="s">
        <v>373</v>
      </c>
      <c r="K192" s="22" t="s">
        <v>1407</v>
      </c>
      <c r="L192" s="22" t="s">
        <v>55</v>
      </c>
      <c r="M192" s="22" t="s">
        <v>385</v>
      </c>
      <c r="N192" s="22" t="s">
        <v>55</v>
      </c>
      <c r="O192" s="22" t="s">
        <v>1278</v>
      </c>
      <c r="P192" s="22" t="s">
        <v>1408</v>
      </c>
      <c r="Q192" s="22" t="s">
        <v>1409</v>
      </c>
      <c r="R192" s="22" t="s">
        <v>55</v>
      </c>
      <c r="S192" s="22" t="s">
        <v>55</v>
      </c>
      <c r="T192" s="22" t="s">
        <v>1410</v>
      </c>
      <c r="U192" s="22" t="s">
        <v>132</v>
      </c>
      <c r="V192" s="23">
        <v>45991</v>
      </c>
      <c r="W192" s="22" t="s">
        <v>55</v>
      </c>
      <c r="X192" s="22" t="s">
        <v>1411</v>
      </c>
      <c r="Y192" s="22" t="s">
        <v>65</v>
      </c>
      <c r="Z192" s="22" t="s">
        <v>55</v>
      </c>
      <c r="AA192" s="22" t="s">
        <v>152</v>
      </c>
      <c r="AB192" s="22" t="s">
        <v>55</v>
      </c>
      <c r="AC192" s="22" t="s">
        <v>55</v>
      </c>
      <c r="AD192" s="22" t="s">
        <v>118</v>
      </c>
      <c r="AE192" s="22" t="s">
        <v>97</v>
      </c>
      <c r="AF192" s="22" t="s">
        <v>391</v>
      </c>
      <c r="AG192" s="22" t="s">
        <v>55</v>
      </c>
      <c r="AH192" s="22" t="s">
        <v>55</v>
      </c>
      <c r="AI192" s="22" t="s">
        <v>55</v>
      </c>
      <c r="AJ192" s="22" t="s">
        <v>55</v>
      </c>
      <c r="AK192" s="22" t="s">
        <v>55</v>
      </c>
      <c r="AL192" s="22" t="s">
        <v>55</v>
      </c>
      <c r="AM192" s="22" t="s">
        <v>55</v>
      </c>
      <c r="AN192" s="22" t="s">
        <v>55</v>
      </c>
      <c r="AO192" s="22" t="s">
        <v>55</v>
      </c>
      <c r="AP192" s="22" t="s">
        <v>55</v>
      </c>
      <c r="AQ192" s="22" t="s">
        <v>55</v>
      </c>
      <c r="AR192" s="22" t="s">
        <v>55</v>
      </c>
      <c r="AS192" s="22" t="s">
        <v>55</v>
      </c>
      <c r="AT192" s="22" t="s">
        <v>55</v>
      </c>
      <c r="AU192" s="22" t="s">
        <v>55</v>
      </c>
      <c r="AV192" s="22" t="s">
        <v>55</v>
      </c>
      <c r="AW192" s="22" t="s">
        <v>55</v>
      </c>
      <c r="AX192" s="22" t="s">
        <v>55</v>
      </c>
      <c r="AY192" s="22" t="s">
        <v>1133</v>
      </c>
    </row>
    <row r="193" spans="1:51" ht="43.5" x14ac:dyDescent="0.35">
      <c r="A193" s="22" t="s">
        <v>1412</v>
      </c>
      <c r="B193" s="22" t="s">
        <v>347</v>
      </c>
      <c r="C193" s="22" t="s">
        <v>116</v>
      </c>
      <c r="D193" s="22" t="s">
        <v>465</v>
      </c>
      <c r="E193" s="22" t="s">
        <v>52</v>
      </c>
      <c r="F193" s="22" t="s">
        <v>1413</v>
      </c>
      <c r="G193" s="22" t="s">
        <v>54</v>
      </c>
      <c r="H193" s="22" t="s">
        <v>1713</v>
      </c>
      <c r="I193" s="22" t="s">
        <v>121</v>
      </c>
      <c r="J193" s="22" t="s">
        <v>223</v>
      </c>
      <c r="K193" s="22" t="s">
        <v>868</v>
      </c>
      <c r="L193" s="22" t="s">
        <v>55</v>
      </c>
      <c r="M193" s="22" t="s">
        <v>224</v>
      </c>
      <c r="N193" s="22" t="s">
        <v>55</v>
      </c>
      <c r="O193" s="22" t="s">
        <v>1414</v>
      </c>
      <c r="P193" s="22" t="s">
        <v>1415</v>
      </c>
      <c r="Q193" s="22" t="s">
        <v>1416</v>
      </c>
      <c r="R193" s="22" t="s">
        <v>55</v>
      </c>
      <c r="S193" s="22" t="s">
        <v>55</v>
      </c>
      <c r="T193" s="22" t="s">
        <v>1417</v>
      </c>
      <c r="U193" s="22" t="s">
        <v>63</v>
      </c>
      <c r="V193" s="23">
        <v>45991</v>
      </c>
      <c r="W193" s="22" t="s">
        <v>55</v>
      </c>
      <c r="X193" s="22" t="s">
        <v>1418</v>
      </c>
      <c r="Y193" s="22" t="s">
        <v>65</v>
      </c>
      <c r="Z193" s="22" t="s">
        <v>55</v>
      </c>
      <c r="AA193" s="22" t="s">
        <v>152</v>
      </c>
      <c r="AB193" s="22" t="s">
        <v>55</v>
      </c>
      <c r="AC193" s="22" t="s">
        <v>55</v>
      </c>
      <c r="AD193" s="22" t="s">
        <v>118</v>
      </c>
      <c r="AE193" s="22" t="s">
        <v>97</v>
      </c>
      <c r="AF193" s="22" t="s">
        <v>226</v>
      </c>
      <c r="AG193" s="22" t="s">
        <v>55</v>
      </c>
      <c r="AH193" s="22" t="s">
        <v>55</v>
      </c>
      <c r="AI193" s="22" t="s">
        <v>55</v>
      </c>
      <c r="AJ193" s="22" t="s">
        <v>55</v>
      </c>
      <c r="AK193" s="22" t="s">
        <v>55</v>
      </c>
      <c r="AL193" s="22" t="s">
        <v>55</v>
      </c>
      <c r="AM193" s="22" t="s">
        <v>55</v>
      </c>
      <c r="AN193" s="22" t="s">
        <v>55</v>
      </c>
      <c r="AO193" s="22" t="s">
        <v>55</v>
      </c>
      <c r="AP193" s="22" t="s">
        <v>55</v>
      </c>
      <c r="AQ193" s="22" t="s">
        <v>55</v>
      </c>
      <c r="AR193" s="22" t="s">
        <v>55</v>
      </c>
      <c r="AS193" s="22" t="s">
        <v>55</v>
      </c>
      <c r="AT193" s="22" t="s">
        <v>55</v>
      </c>
      <c r="AU193" s="22" t="s">
        <v>55</v>
      </c>
      <c r="AV193" s="22" t="s">
        <v>55</v>
      </c>
      <c r="AW193" s="22" t="s">
        <v>55</v>
      </c>
      <c r="AX193" s="22" t="s">
        <v>55</v>
      </c>
      <c r="AY193" s="22" t="s">
        <v>1133</v>
      </c>
    </row>
    <row r="194" spans="1:51" ht="29" x14ac:dyDescent="0.35">
      <c r="A194" s="22" t="s">
        <v>1419</v>
      </c>
      <c r="B194" s="22" t="s">
        <v>347</v>
      </c>
      <c r="C194" s="22" t="s">
        <v>116</v>
      </c>
      <c r="D194" s="22" t="s">
        <v>465</v>
      </c>
      <c r="E194" s="22" t="s">
        <v>52</v>
      </c>
      <c r="F194" s="22" t="s">
        <v>1420</v>
      </c>
      <c r="G194" s="22" t="s">
        <v>54</v>
      </c>
      <c r="H194" s="22" t="s">
        <v>1716</v>
      </c>
      <c r="I194" s="22" t="s">
        <v>160</v>
      </c>
      <c r="J194" s="22" t="s">
        <v>393</v>
      </c>
      <c r="K194" s="22" t="s">
        <v>584</v>
      </c>
      <c r="L194" s="22" t="s">
        <v>55</v>
      </c>
      <c r="M194" s="22" t="s">
        <v>1421</v>
      </c>
      <c r="N194" s="22" t="s">
        <v>55</v>
      </c>
      <c r="O194" s="22" t="s">
        <v>1422</v>
      </c>
      <c r="P194" s="22" t="s">
        <v>1423</v>
      </c>
      <c r="Q194" s="22" t="s">
        <v>1423</v>
      </c>
      <c r="R194" s="22" t="s">
        <v>55</v>
      </c>
      <c r="S194" s="22" t="s">
        <v>55</v>
      </c>
      <c r="T194" s="22" t="s">
        <v>1424</v>
      </c>
      <c r="U194" s="22" t="s">
        <v>63</v>
      </c>
      <c r="V194" s="23">
        <v>45961</v>
      </c>
      <c r="W194" s="22" t="s">
        <v>55</v>
      </c>
      <c r="X194" s="22" t="s">
        <v>1425</v>
      </c>
      <c r="Y194" s="22" t="s">
        <v>65</v>
      </c>
      <c r="Z194" s="22" t="s">
        <v>55</v>
      </c>
      <c r="AA194" s="22" t="s">
        <v>66</v>
      </c>
      <c r="AB194" s="22" t="s">
        <v>55</v>
      </c>
      <c r="AC194" s="22" t="s">
        <v>55</v>
      </c>
      <c r="AD194" s="22" t="s">
        <v>118</v>
      </c>
      <c r="AE194" s="22" t="s">
        <v>97</v>
      </c>
      <c r="AF194" s="22" t="s">
        <v>220</v>
      </c>
      <c r="AG194" s="22" t="s">
        <v>55</v>
      </c>
      <c r="AH194" s="22" t="s">
        <v>55</v>
      </c>
      <c r="AI194" s="22" t="s">
        <v>55</v>
      </c>
      <c r="AJ194" s="22" t="s">
        <v>55</v>
      </c>
      <c r="AK194" s="22" t="s">
        <v>55</v>
      </c>
      <c r="AL194" s="22" t="s">
        <v>55</v>
      </c>
      <c r="AM194" s="22" t="s">
        <v>55</v>
      </c>
      <c r="AN194" s="22" t="s">
        <v>55</v>
      </c>
      <c r="AO194" s="22" t="s">
        <v>55</v>
      </c>
      <c r="AP194" s="22" t="s">
        <v>55</v>
      </c>
      <c r="AQ194" s="22" t="s">
        <v>55</v>
      </c>
      <c r="AR194" s="22" t="s">
        <v>55</v>
      </c>
      <c r="AS194" s="22" t="s">
        <v>55</v>
      </c>
      <c r="AT194" s="22" t="s">
        <v>55</v>
      </c>
      <c r="AU194" s="22" t="s">
        <v>55</v>
      </c>
      <c r="AV194" s="22" t="s">
        <v>55</v>
      </c>
      <c r="AW194" s="22" t="s">
        <v>55</v>
      </c>
      <c r="AX194" s="22" t="s">
        <v>55</v>
      </c>
      <c r="AY194" s="22" t="s">
        <v>1133</v>
      </c>
    </row>
    <row r="195" spans="1:51" ht="43.5" x14ac:dyDescent="0.35">
      <c r="A195" s="22" t="s">
        <v>1426</v>
      </c>
      <c r="B195" s="22" t="s">
        <v>347</v>
      </c>
      <c r="C195" s="22" t="s">
        <v>116</v>
      </c>
      <c r="D195" s="22" t="s">
        <v>465</v>
      </c>
      <c r="E195" s="22" t="s">
        <v>52</v>
      </c>
      <c r="F195" s="22" t="s">
        <v>1420</v>
      </c>
      <c r="G195" s="22" t="s">
        <v>54</v>
      </c>
      <c r="H195" s="22" t="s">
        <v>1716</v>
      </c>
      <c r="I195" s="22" t="s">
        <v>121</v>
      </c>
      <c r="J195" s="22" t="s">
        <v>843</v>
      </c>
      <c r="K195" s="22" t="s">
        <v>594</v>
      </c>
      <c r="L195" s="22" t="s">
        <v>55</v>
      </c>
      <c r="M195" s="22" t="s">
        <v>844</v>
      </c>
      <c r="N195" s="22" t="s">
        <v>55</v>
      </c>
      <c r="O195" s="22" t="s">
        <v>1422</v>
      </c>
      <c r="P195" s="22" t="s">
        <v>1427</v>
      </c>
      <c r="Q195" s="22" t="s">
        <v>1428</v>
      </c>
      <c r="R195" s="22" t="s">
        <v>55</v>
      </c>
      <c r="S195" s="22" t="s">
        <v>55</v>
      </c>
      <c r="T195" s="22" t="s">
        <v>1429</v>
      </c>
      <c r="U195" s="22" t="s">
        <v>63</v>
      </c>
      <c r="V195" s="23">
        <v>45961</v>
      </c>
      <c r="W195" s="22" t="s">
        <v>55</v>
      </c>
      <c r="X195" s="22" t="s">
        <v>1430</v>
      </c>
      <c r="Y195" s="22" t="s">
        <v>65</v>
      </c>
      <c r="Z195" s="22" t="s">
        <v>55</v>
      </c>
      <c r="AA195" s="22" t="s">
        <v>66</v>
      </c>
      <c r="AB195" s="22" t="s">
        <v>55</v>
      </c>
      <c r="AC195" s="22" t="s">
        <v>55</v>
      </c>
      <c r="AD195" s="22" t="s">
        <v>118</v>
      </c>
      <c r="AE195" s="22" t="s">
        <v>97</v>
      </c>
      <c r="AF195" s="22" t="s">
        <v>583</v>
      </c>
      <c r="AG195" s="22" t="s">
        <v>55</v>
      </c>
      <c r="AH195" s="22" t="s">
        <v>55</v>
      </c>
      <c r="AI195" s="22" t="s">
        <v>55</v>
      </c>
      <c r="AJ195" s="22" t="s">
        <v>55</v>
      </c>
      <c r="AK195" s="22" t="s">
        <v>55</v>
      </c>
      <c r="AL195" s="22" t="s">
        <v>55</v>
      </c>
      <c r="AM195" s="22" t="s">
        <v>55</v>
      </c>
      <c r="AN195" s="22" t="s">
        <v>55</v>
      </c>
      <c r="AO195" s="22" t="s">
        <v>55</v>
      </c>
      <c r="AP195" s="22" t="s">
        <v>55</v>
      </c>
      <c r="AQ195" s="22" t="s">
        <v>55</v>
      </c>
      <c r="AR195" s="22" t="s">
        <v>55</v>
      </c>
      <c r="AS195" s="22" t="s">
        <v>55</v>
      </c>
      <c r="AT195" s="22" t="s">
        <v>55</v>
      </c>
      <c r="AU195" s="22" t="s">
        <v>55</v>
      </c>
      <c r="AV195" s="22" t="s">
        <v>55</v>
      </c>
      <c r="AW195" s="22" t="s">
        <v>55</v>
      </c>
      <c r="AX195" s="22" t="s">
        <v>55</v>
      </c>
      <c r="AY195" s="22" t="s">
        <v>1133</v>
      </c>
    </row>
    <row r="196" spans="1:51" ht="43.5" x14ac:dyDescent="0.35">
      <c r="A196" s="22" t="s">
        <v>1431</v>
      </c>
      <c r="B196" s="22" t="s">
        <v>347</v>
      </c>
      <c r="C196" s="22" t="s">
        <v>116</v>
      </c>
      <c r="D196" s="22" t="s">
        <v>465</v>
      </c>
      <c r="E196" s="22" t="s">
        <v>52</v>
      </c>
      <c r="F196" s="22" t="s">
        <v>1420</v>
      </c>
      <c r="G196" s="22" t="s">
        <v>54</v>
      </c>
      <c r="H196" s="22" t="s">
        <v>1716</v>
      </c>
      <c r="I196" s="22" t="s">
        <v>119</v>
      </c>
      <c r="J196" s="22" t="s">
        <v>1391</v>
      </c>
      <c r="K196" s="22" t="s">
        <v>592</v>
      </c>
      <c r="L196" s="22" t="s">
        <v>55</v>
      </c>
      <c r="M196" s="22" t="s">
        <v>1432</v>
      </c>
      <c r="N196" s="22" t="s">
        <v>55</v>
      </c>
      <c r="O196" s="22" t="s">
        <v>1422</v>
      </c>
      <c r="P196" s="22" t="s">
        <v>1433</v>
      </c>
      <c r="Q196" s="22" t="s">
        <v>1434</v>
      </c>
      <c r="R196" s="22" t="s">
        <v>55</v>
      </c>
      <c r="S196" s="22" t="s">
        <v>55</v>
      </c>
      <c r="T196" s="22" t="s">
        <v>1435</v>
      </c>
      <c r="U196" s="22" t="s">
        <v>63</v>
      </c>
      <c r="V196" s="23">
        <v>45961</v>
      </c>
      <c r="W196" s="22" t="s">
        <v>55</v>
      </c>
      <c r="X196" s="22" t="s">
        <v>1436</v>
      </c>
      <c r="Y196" s="22" t="s">
        <v>65</v>
      </c>
      <c r="Z196" s="22" t="s">
        <v>55</v>
      </c>
      <c r="AA196" s="22" t="s">
        <v>66</v>
      </c>
      <c r="AB196" s="22" t="s">
        <v>55</v>
      </c>
      <c r="AC196" s="22" t="s">
        <v>55</v>
      </c>
      <c r="AD196" s="22" t="s">
        <v>118</v>
      </c>
      <c r="AE196" s="22" t="s">
        <v>97</v>
      </c>
      <c r="AF196" s="22" t="s">
        <v>100</v>
      </c>
      <c r="AG196" s="22" t="s">
        <v>55</v>
      </c>
      <c r="AH196" s="22" t="s">
        <v>55</v>
      </c>
      <c r="AI196" s="22" t="s">
        <v>55</v>
      </c>
      <c r="AJ196" s="22" t="s">
        <v>55</v>
      </c>
      <c r="AK196" s="22" t="s">
        <v>55</v>
      </c>
      <c r="AL196" s="22" t="s">
        <v>55</v>
      </c>
      <c r="AM196" s="22" t="s">
        <v>55</v>
      </c>
      <c r="AN196" s="22" t="s">
        <v>55</v>
      </c>
      <c r="AO196" s="22" t="s">
        <v>55</v>
      </c>
      <c r="AP196" s="22" t="s">
        <v>55</v>
      </c>
      <c r="AQ196" s="22" t="s">
        <v>55</v>
      </c>
      <c r="AR196" s="22" t="s">
        <v>55</v>
      </c>
      <c r="AS196" s="22" t="s">
        <v>55</v>
      </c>
      <c r="AT196" s="22" t="s">
        <v>55</v>
      </c>
      <c r="AU196" s="22" t="s">
        <v>55</v>
      </c>
      <c r="AV196" s="22" t="s">
        <v>55</v>
      </c>
      <c r="AW196" s="22" t="s">
        <v>55</v>
      </c>
      <c r="AX196" s="22" t="s">
        <v>55</v>
      </c>
      <c r="AY196" s="22" t="s">
        <v>1133</v>
      </c>
    </row>
    <row r="197" spans="1:51" ht="29" x14ac:dyDescent="0.35">
      <c r="A197" s="22" t="s">
        <v>1437</v>
      </c>
      <c r="B197" s="22" t="s">
        <v>347</v>
      </c>
      <c r="C197" s="22" t="s">
        <v>116</v>
      </c>
      <c r="D197" s="22" t="s">
        <v>465</v>
      </c>
      <c r="E197" s="22" t="s">
        <v>52</v>
      </c>
      <c r="F197" s="22" t="s">
        <v>1438</v>
      </c>
      <c r="G197" s="22" t="s">
        <v>94</v>
      </c>
      <c r="H197" s="22" t="s">
        <v>162</v>
      </c>
      <c r="I197" s="22" t="s">
        <v>119</v>
      </c>
      <c r="J197" s="22" t="s">
        <v>242</v>
      </c>
      <c r="K197" s="22" t="s">
        <v>544</v>
      </c>
      <c r="L197" s="22" t="s">
        <v>55</v>
      </c>
      <c r="M197" s="22" t="s">
        <v>122</v>
      </c>
      <c r="N197" s="22" t="s">
        <v>55</v>
      </c>
      <c r="O197" s="22" t="s">
        <v>1439</v>
      </c>
      <c r="P197" s="22" t="s">
        <v>1440</v>
      </c>
      <c r="Q197" s="22" t="s">
        <v>1440</v>
      </c>
      <c r="R197" s="22" t="s">
        <v>55</v>
      </c>
      <c r="S197" s="22" t="s">
        <v>55</v>
      </c>
      <c r="T197" s="22" t="s">
        <v>1441</v>
      </c>
      <c r="U197" s="22" t="s">
        <v>63</v>
      </c>
      <c r="V197" s="23">
        <v>46006</v>
      </c>
      <c r="W197" s="22" t="s">
        <v>55</v>
      </c>
      <c r="X197" s="22" t="s">
        <v>1442</v>
      </c>
      <c r="Y197" s="22" t="s">
        <v>65</v>
      </c>
      <c r="Z197" s="22" t="s">
        <v>55</v>
      </c>
      <c r="AA197" s="22" t="s">
        <v>152</v>
      </c>
      <c r="AB197" s="22" t="s">
        <v>55</v>
      </c>
      <c r="AC197" s="22" t="s">
        <v>55</v>
      </c>
      <c r="AD197" s="22" t="s">
        <v>118</v>
      </c>
      <c r="AE197" s="22" t="s">
        <v>97</v>
      </c>
      <c r="AF197" s="22" t="s">
        <v>123</v>
      </c>
      <c r="AG197" s="22" t="s">
        <v>55</v>
      </c>
      <c r="AH197" s="22" t="s">
        <v>55</v>
      </c>
      <c r="AI197" s="22" t="s">
        <v>55</v>
      </c>
      <c r="AJ197" s="22" t="s">
        <v>55</v>
      </c>
      <c r="AK197" s="22" t="s">
        <v>55</v>
      </c>
      <c r="AL197" s="22" t="s">
        <v>55</v>
      </c>
      <c r="AM197" s="22" t="s">
        <v>55</v>
      </c>
      <c r="AN197" s="22" t="s">
        <v>55</v>
      </c>
      <c r="AO197" s="22" t="s">
        <v>55</v>
      </c>
      <c r="AP197" s="22" t="s">
        <v>55</v>
      </c>
      <c r="AQ197" s="22" t="s">
        <v>55</v>
      </c>
      <c r="AR197" s="22" t="s">
        <v>55</v>
      </c>
      <c r="AS197" s="22" t="s">
        <v>55</v>
      </c>
      <c r="AT197" s="22" t="s">
        <v>55</v>
      </c>
      <c r="AU197" s="22" t="s">
        <v>55</v>
      </c>
      <c r="AV197" s="22" t="s">
        <v>55</v>
      </c>
      <c r="AW197" s="22" t="s">
        <v>55</v>
      </c>
      <c r="AX197" s="22" t="s">
        <v>55</v>
      </c>
      <c r="AY197" s="22" t="s">
        <v>1133</v>
      </c>
    </row>
    <row r="198" spans="1:51" ht="43.5" x14ac:dyDescent="0.35">
      <c r="A198" s="22" t="s">
        <v>1443</v>
      </c>
      <c r="B198" s="22" t="s">
        <v>347</v>
      </c>
      <c r="C198" s="22" t="s">
        <v>116</v>
      </c>
      <c r="D198" s="22" t="s">
        <v>465</v>
      </c>
      <c r="E198" s="22" t="s">
        <v>52</v>
      </c>
      <c r="F198" s="22" t="s">
        <v>611</v>
      </c>
      <c r="G198" s="22" t="s">
        <v>54</v>
      </c>
      <c r="H198" s="22" t="s">
        <v>1719</v>
      </c>
      <c r="I198" s="22" t="s">
        <v>803</v>
      </c>
      <c r="J198" s="22" t="s">
        <v>815</v>
      </c>
      <c r="K198" s="22" t="s">
        <v>572</v>
      </c>
      <c r="L198" s="22" t="s">
        <v>55</v>
      </c>
      <c r="M198" s="22" t="s">
        <v>816</v>
      </c>
      <c r="N198" s="22" t="s">
        <v>55</v>
      </c>
      <c r="O198" s="22" t="s">
        <v>1444</v>
      </c>
      <c r="P198" s="22" t="s">
        <v>1445</v>
      </c>
      <c r="Q198" s="22" t="s">
        <v>1446</v>
      </c>
      <c r="R198" s="22" t="s">
        <v>55</v>
      </c>
      <c r="S198" s="22" t="s">
        <v>55</v>
      </c>
      <c r="T198" s="22" t="s">
        <v>1447</v>
      </c>
      <c r="U198" s="22" t="s">
        <v>63</v>
      </c>
      <c r="V198" s="23">
        <v>46022</v>
      </c>
      <c r="W198" s="22" t="s">
        <v>55</v>
      </c>
      <c r="X198" s="22" t="s">
        <v>1448</v>
      </c>
      <c r="Y198" s="22" t="s">
        <v>65</v>
      </c>
      <c r="Z198" s="22" t="s">
        <v>55</v>
      </c>
      <c r="AA198" s="22" t="s">
        <v>221</v>
      </c>
      <c r="AB198" s="22" t="s">
        <v>55</v>
      </c>
      <c r="AC198" s="22" t="s">
        <v>55</v>
      </c>
      <c r="AD198" s="22" t="s">
        <v>118</v>
      </c>
      <c r="AE198" s="22" t="s">
        <v>97</v>
      </c>
      <c r="AF198" s="22" t="s">
        <v>69</v>
      </c>
      <c r="AG198" s="22" t="s">
        <v>55</v>
      </c>
      <c r="AH198" s="22" t="s">
        <v>55</v>
      </c>
      <c r="AI198" s="22" t="s">
        <v>55</v>
      </c>
      <c r="AJ198" s="22" t="s">
        <v>55</v>
      </c>
      <c r="AK198" s="22" t="s">
        <v>55</v>
      </c>
      <c r="AL198" s="22" t="s">
        <v>55</v>
      </c>
      <c r="AM198" s="22" t="s">
        <v>55</v>
      </c>
      <c r="AN198" s="22" t="s">
        <v>55</v>
      </c>
      <c r="AO198" s="22" t="s">
        <v>55</v>
      </c>
      <c r="AP198" s="22" t="s">
        <v>55</v>
      </c>
      <c r="AQ198" s="22" t="s">
        <v>55</v>
      </c>
      <c r="AR198" s="22" t="s">
        <v>55</v>
      </c>
      <c r="AS198" s="22" t="s">
        <v>55</v>
      </c>
      <c r="AT198" s="22" t="s">
        <v>55</v>
      </c>
      <c r="AU198" s="22" t="s">
        <v>55</v>
      </c>
      <c r="AV198" s="22" t="s">
        <v>55</v>
      </c>
      <c r="AW198" s="22" t="s">
        <v>55</v>
      </c>
      <c r="AX198" s="22" t="s">
        <v>55</v>
      </c>
      <c r="AY198" s="22" t="s">
        <v>1133</v>
      </c>
    </row>
    <row r="199" spans="1:51" ht="43.5" x14ac:dyDescent="0.35">
      <c r="A199" s="22" t="s">
        <v>1449</v>
      </c>
      <c r="B199" s="22" t="s">
        <v>347</v>
      </c>
      <c r="C199" s="22" t="s">
        <v>116</v>
      </c>
      <c r="D199" s="22" t="s">
        <v>465</v>
      </c>
      <c r="E199" s="22" t="s">
        <v>52</v>
      </c>
      <c r="F199" s="22" t="s">
        <v>611</v>
      </c>
      <c r="G199" s="22" t="s">
        <v>54</v>
      </c>
      <c r="H199" s="22" t="s">
        <v>1719</v>
      </c>
      <c r="I199" s="22" t="s">
        <v>526</v>
      </c>
      <c r="J199" s="22" t="s">
        <v>993</v>
      </c>
      <c r="K199" s="22" t="s">
        <v>572</v>
      </c>
      <c r="L199" s="22" t="s">
        <v>55</v>
      </c>
      <c r="M199" s="22" t="s">
        <v>58</v>
      </c>
      <c r="N199" s="22" t="s">
        <v>55</v>
      </c>
      <c r="O199" s="22" t="s">
        <v>1444</v>
      </c>
      <c r="P199" s="22" t="s">
        <v>1450</v>
      </c>
      <c r="Q199" s="22" t="s">
        <v>1451</v>
      </c>
      <c r="R199" s="22" t="s">
        <v>55</v>
      </c>
      <c r="S199" s="22" t="s">
        <v>55</v>
      </c>
      <c r="T199" s="22" t="s">
        <v>1452</v>
      </c>
      <c r="U199" s="22" t="s">
        <v>63</v>
      </c>
      <c r="V199" s="23">
        <v>45947</v>
      </c>
      <c r="W199" s="22" t="s">
        <v>55</v>
      </c>
      <c r="X199" s="22" t="s">
        <v>1448</v>
      </c>
      <c r="Y199" s="22" t="s">
        <v>65</v>
      </c>
      <c r="Z199" s="22" t="s">
        <v>55</v>
      </c>
      <c r="AA199" s="22" t="s">
        <v>66</v>
      </c>
      <c r="AB199" s="22" t="s">
        <v>55</v>
      </c>
      <c r="AC199" s="22" t="s">
        <v>55</v>
      </c>
      <c r="AD199" s="22" t="s">
        <v>118</v>
      </c>
      <c r="AE199" s="22" t="s">
        <v>97</v>
      </c>
      <c r="AF199" s="22" t="s">
        <v>69</v>
      </c>
      <c r="AG199" s="22" t="s">
        <v>55</v>
      </c>
      <c r="AH199" s="22" t="s">
        <v>55</v>
      </c>
      <c r="AI199" s="22" t="s">
        <v>55</v>
      </c>
      <c r="AJ199" s="22" t="s">
        <v>55</v>
      </c>
      <c r="AK199" s="22" t="s">
        <v>55</v>
      </c>
      <c r="AL199" s="22" t="s">
        <v>55</v>
      </c>
      <c r="AM199" s="22" t="s">
        <v>55</v>
      </c>
      <c r="AN199" s="22" t="s">
        <v>55</v>
      </c>
      <c r="AO199" s="22" t="s">
        <v>55</v>
      </c>
      <c r="AP199" s="22" t="s">
        <v>55</v>
      </c>
      <c r="AQ199" s="22" t="s">
        <v>55</v>
      </c>
      <c r="AR199" s="22" t="s">
        <v>55</v>
      </c>
      <c r="AS199" s="22" t="s">
        <v>55</v>
      </c>
      <c r="AT199" s="22" t="s">
        <v>55</v>
      </c>
      <c r="AU199" s="22" t="s">
        <v>55</v>
      </c>
      <c r="AV199" s="22" t="s">
        <v>55</v>
      </c>
      <c r="AW199" s="22" t="s">
        <v>55</v>
      </c>
      <c r="AX199" s="22" t="s">
        <v>55</v>
      </c>
      <c r="AY199" s="22" t="s">
        <v>1133</v>
      </c>
    </row>
    <row r="200" spans="1:51" ht="43.5" x14ac:dyDescent="0.35">
      <c r="A200" s="22" t="s">
        <v>1453</v>
      </c>
      <c r="B200" s="22" t="s">
        <v>347</v>
      </c>
      <c r="C200" s="22" t="s">
        <v>116</v>
      </c>
      <c r="D200" s="22" t="s">
        <v>465</v>
      </c>
      <c r="E200" s="22" t="s">
        <v>52</v>
      </c>
      <c r="F200" s="22" t="s">
        <v>611</v>
      </c>
      <c r="G200" s="22" t="s">
        <v>54</v>
      </c>
      <c r="H200" s="22" t="s">
        <v>1719</v>
      </c>
      <c r="I200" s="22" t="s">
        <v>526</v>
      </c>
      <c r="J200" s="22" t="s">
        <v>993</v>
      </c>
      <c r="K200" s="22" t="s">
        <v>594</v>
      </c>
      <c r="L200" s="22" t="s">
        <v>55</v>
      </c>
      <c r="M200" s="22" t="s">
        <v>1454</v>
      </c>
      <c r="N200" s="22" t="s">
        <v>55</v>
      </c>
      <c r="O200" s="22" t="s">
        <v>1444</v>
      </c>
      <c r="P200" s="22" t="s">
        <v>1455</v>
      </c>
      <c r="Q200" s="22" t="s">
        <v>1456</v>
      </c>
      <c r="R200" s="22" t="s">
        <v>55</v>
      </c>
      <c r="S200" s="22" t="s">
        <v>55</v>
      </c>
      <c r="T200" s="22" t="s">
        <v>1457</v>
      </c>
      <c r="U200" s="22" t="s">
        <v>63</v>
      </c>
      <c r="V200" s="23">
        <v>45991</v>
      </c>
      <c r="W200" s="22" t="s">
        <v>55</v>
      </c>
      <c r="X200" s="22" t="s">
        <v>1448</v>
      </c>
      <c r="Y200" s="22" t="s">
        <v>65</v>
      </c>
      <c r="Z200" s="22" t="s">
        <v>55</v>
      </c>
      <c r="AA200" s="22" t="s">
        <v>152</v>
      </c>
      <c r="AB200" s="22" t="s">
        <v>55</v>
      </c>
      <c r="AC200" s="22" t="s">
        <v>55</v>
      </c>
      <c r="AD200" s="22" t="s">
        <v>118</v>
      </c>
      <c r="AE200" s="22" t="s">
        <v>97</v>
      </c>
      <c r="AF200" s="22" t="s">
        <v>1458</v>
      </c>
      <c r="AG200" s="22" t="s">
        <v>55</v>
      </c>
      <c r="AH200" s="22" t="s">
        <v>55</v>
      </c>
      <c r="AI200" s="22" t="s">
        <v>55</v>
      </c>
      <c r="AJ200" s="22" t="s">
        <v>55</v>
      </c>
      <c r="AK200" s="22" t="s">
        <v>55</v>
      </c>
      <c r="AL200" s="22" t="s">
        <v>55</v>
      </c>
      <c r="AM200" s="22" t="s">
        <v>55</v>
      </c>
      <c r="AN200" s="22" t="s">
        <v>55</v>
      </c>
      <c r="AO200" s="22" t="s">
        <v>55</v>
      </c>
      <c r="AP200" s="22" t="s">
        <v>55</v>
      </c>
      <c r="AQ200" s="22" t="s">
        <v>55</v>
      </c>
      <c r="AR200" s="22" t="s">
        <v>55</v>
      </c>
      <c r="AS200" s="22" t="s">
        <v>55</v>
      </c>
      <c r="AT200" s="22" t="s">
        <v>55</v>
      </c>
      <c r="AU200" s="22" t="s">
        <v>55</v>
      </c>
      <c r="AV200" s="22" t="s">
        <v>55</v>
      </c>
      <c r="AW200" s="22" t="s">
        <v>55</v>
      </c>
      <c r="AX200" s="22" t="s">
        <v>55</v>
      </c>
      <c r="AY200" s="22" t="s">
        <v>1133</v>
      </c>
    </row>
    <row r="201" spans="1:51" ht="43.5" x14ac:dyDescent="0.35">
      <c r="A201" s="22" t="s">
        <v>1459</v>
      </c>
      <c r="B201" s="22" t="s">
        <v>347</v>
      </c>
      <c r="C201" s="22" t="s">
        <v>116</v>
      </c>
      <c r="D201" s="22" t="s">
        <v>465</v>
      </c>
      <c r="E201" s="22" t="s">
        <v>52</v>
      </c>
      <c r="F201" s="22" t="s">
        <v>611</v>
      </c>
      <c r="G201" s="22" t="s">
        <v>54</v>
      </c>
      <c r="H201" s="22" t="s">
        <v>1719</v>
      </c>
      <c r="I201" s="22" t="s">
        <v>121</v>
      </c>
      <c r="J201" s="22" t="s">
        <v>843</v>
      </c>
      <c r="K201" s="22" t="s">
        <v>594</v>
      </c>
      <c r="L201" s="22" t="s">
        <v>55</v>
      </c>
      <c r="M201" s="22" t="s">
        <v>1316</v>
      </c>
      <c r="N201" s="22" t="s">
        <v>55</v>
      </c>
      <c r="O201" s="22" t="s">
        <v>1444</v>
      </c>
      <c r="P201" s="22" t="s">
        <v>1460</v>
      </c>
      <c r="Q201" s="22" t="s">
        <v>1461</v>
      </c>
      <c r="R201" s="22" t="s">
        <v>55</v>
      </c>
      <c r="S201" s="22" t="s">
        <v>55</v>
      </c>
      <c r="T201" s="22" t="s">
        <v>1462</v>
      </c>
      <c r="U201" s="22" t="s">
        <v>63</v>
      </c>
      <c r="V201" s="23">
        <v>46022</v>
      </c>
      <c r="W201" s="22" t="s">
        <v>55</v>
      </c>
      <c r="X201" s="22" t="s">
        <v>1448</v>
      </c>
      <c r="Y201" s="22" t="s">
        <v>65</v>
      </c>
      <c r="Z201" s="22" t="s">
        <v>55</v>
      </c>
      <c r="AA201" s="22" t="s">
        <v>221</v>
      </c>
      <c r="AB201" s="22" t="s">
        <v>55</v>
      </c>
      <c r="AC201" s="22" t="s">
        <v>55</v>
      </c>
      <c r="AD201" s="22" t="s">
        <v>118</v>
      </c>
      <c r="AE201" s="22" t="s">
        <v>97</v>
      </c>
      <c r="AF201" s="22" t="s">
        <v>98</v>
      </c>
      <c r="AG201" s="22" t="s">
        <v>55</v>
      </c>
      <c r="AH201" s="22" t="s">
        <v>55</v>
      </c>
      <c r="AI201" s="22" t="s">
        <v>55</v>
      </c>
      <c r="AJ201" s="22" t="s">
        <v>55</v>
      </c>
      <c r="AK201" s="22" t="s">
        <v>55</v>
      </c>
      <c r="AL201" s="22" t="s">
        <v>55</v>
      </c>
      <c r="AM201" s="22" t="s">
        <v>55</v>
      </c>
      <c r="AN201" s="22" t="s">
        <v>55</v>
      </c>
      <c r="AO201" s="22" t="s">
        <v>55</v>
      </c>
      <c r="AP201" s="22" t="s">
        <v>55</v>
      </c>
      <c r="AQ201" s="22" t="s">
        <v>55</v>
      </c>
      <c r="AR201" s="22" t="s">
        <v>55</v>
      </c>
      <c r="AS201" s="22" t="s">
        <v>55</v>
      </c>
      <c r="AT201" s="22" t="s">
        <v>55</v>
      </c>
      <c r="AU201" s="22" t="s">
        <v>55</v>
      </c>
      <c r="AV201" s="22" t="s">
        <v>55</v>
      </c>
      <c r="AW201" s="22" t="s">
        <v>55</v>
      </c>
      <c r="AX201" s="22" t="s">
        <v>55</v>
      </c>
      <c r="AY201" s="22" t="s">
        <v>1133</v>
      </c>
    </row>
    <row r="202" spans="1:51" ht="43.5" x14ac:dyDescent="0.35">
      <c r="A202" s="22" t="s">
        <v>1463</v>
      </c>
      <c r="B202" s="22" t="s">
        <v>347</v>
      </c>
      <c r="C202" s="22" t="s">
        <v>116</v>
      </c>
      <c r="D202" s="22" t="s">
        <v>465</v>
      </c>
      <c r="E202" s="22" t="s">
        <v>52</v>
      </c>
      <c r="F202" s="22" t="s">
        <v>611</v>
      </c>
      <c r="G202" s="22" t="s">
        <v>54</v>
      </c>
      <c r="H202" s="22" t="s">
        <v>1719</v>
      </c>
      <c r="I202" s="22" t="s">
        <v>121</v>
      </c>
      <c r="J202" s="22" t="s">
        <v>223</v>
      </c>
      <c r="K202" s="22" t="s">
        <v>564</v>
      </c>
      <c r="L202" s="22" t="s">
        <v>55</v>
      </c>
      <c r="M202" s="22" t="s">
        <v>852</v>
      </c>
      <c r="N202" s="22" t="s">
        <v>55</v>
      </c>
      <c r="O202" s="22" t="s">
        <v>1444</v>
      </c>
      <c r="P202" s="22" t="s">
        <v>1464</v>
      </c>
      <c r="Q202" s="22" t="s">
        <v>1465</v>
      </c>
      <c r="R202" s="22" t="s">
        <v>55</v>
      </c>
      <c r="S202" s="22" t="s">
        <v>55</v>
      </c>
      <c r="T202" s="22" t="s">
        <v>1466</v>
      </c>
      <c r="U202" s="22" t="s">
        <v>63</v>
      </c>
      <c r="V202" s="23">
        <v>46022</v>
      </c>
      <c r="W202" s="22" t="s">
        <v>55</v>
      </c>
      <c r="X202" s="22" t="s">
        <v>1467</v>
      </c>
      <c r="Y202" s="22" t="s">
        <v>65</v>
      </c>
      <c r="Z202" s="22" t="s">
        <v>55</v>
      </c>
      <c r="AA202" s="22" t="s">
        <v>221</v>
      </c>
      <c r="AB202" s="22" t="s">
        <v>55</v>
      </c>
      <c r="AC202" s="22" t="s">
        <v>55</v>
      </c>
      <c r="AD202" s="22" t="s">
        <v>118</v>
      </c>
      <c r="AE202" s="22" t="s">
        <v>97</v>
      </c>
      <c r="AF202" s="22" t="s">
        <v>123</v>
      </c>
      <c r="AG202" s="22" t="s">
        <v>55</v>
      </c>
      <c r="AH202" s="22" t="s">
        <v>55</v>
      </c>
      <c r="AI202" s="22" t="s">
        <v>55</v>
      </c>
      <c r="AJ202" s="22" t="s">
        <v>55</v>
      </c>
      <c r="AK202" s="22" t="s">
        <v>55</v>
      </c>
      <c r="AL202" s="22" t="s">
        <v>55</v>
      </c>
      <c r="AM202" s="22" t="s">
        <v>55</v>
      </c>
      <c r="AN202" s="22" t="s">
        <v>55</v>
      </c>
      <c r="AO202" s="22" t="s">
        <v>55</v>
      </c>
      <c r="AP202" s="22" t="s">
        <v>55</v>
      </c>
      <c r="AQ202" s="22" t="s">
        <v>55</v>
      </c>
      <c r="AR202" s="22" t="s">
        <v>55</v>
      </c>
      <c r="AS202" s="22" t="s">
        <v>55</v>
      </c>
      <c r="AT202" s="22" t="s">
        <v>55</v>
      </c>
      <c r="AU202" s="22" t="s">
        <v>55</v>
      </c>
      <c r="AV202" s="22" t="s">
        <v>55</v>
      </c>
      <c r="AW202" s="22" t="s">
        <v>55</v>
      </c>
      <c r="AX202" s="22" t="s">
        <v>55</v>
      </c>
      <c r="AY202" s="22" t="s">
        <v>1133</v>
      </c>
    </row>
    <row r="203" spans="1:51" ht="43.5" x14ac:dyDescent="0.35">
      <c r="A203" s="22" t="s">
        <v>1468</v>
      </c>
      <c r="B203" s="22" t="s">
        <v>347</v>
      </c>
      <c r="C203" s="22" t="s">
        <v>116</v>
      </c>
      <c r="D203" s="22" t="s">
        <v>465</v>
      </c>
      <c r="E203" s="22" t="s">
        <v>52</v>
      </c>
      <c r="F203" s="22" t="s">
        <v>611</v>
      </c>
      <c r="G203" s="22" t="s">
        <v>54</v>
      </c>
      <c r="H203" s="22" t="s">
        <v>1719</v>
      </c>
      <c r="I203" s="22" t="s">
        <v>119</v>
      </c>
      <c r="J203" s="22" t="s">
        <v>1384</v>
      </c>
      <c r="K203" s="22" t="s">
        <v>603</v>
      </c>
      <c r="L203" s="22" t="s">
        <v>55</v>
      </c>
      <c r="M203" s="22" t="s">
        <v>1469</v>
      </c>
      <c r="N203" s="22" t="s">
        <v>55</v>
      </c>
      <c r="O203" s="22" t="s">
        <v>1444</v>
      </c>
      <c r="P203" s="22" t="s">
        <v>1470</v>
      </c>
      <c r="Q203" s="22" t="s">
        <v>1471</v>
      </c>
      <c r="R203" s="22" t="s">
        <v>55</v>
      </c>
      <c r="S203" s="22" t="s">
        <v>55</v>
      </c>
      <c r="T203" s="22" t="s">
        <v>1472</v>
      </c>
      <c r="U203" s="22" t="s">
        <v>63</v>
      </c>
      <c r="V203" s="23">
        <v>46022</v>
      </c>
      <c r="W203" s="22" t="s">
        <v>55</v>
      </c>
      <c r="X203" s="22" t="s">
        <v>1448</v>
      </c>
      <c r="Y203" s="22" t="s">
        <v>65</v>
      </c>
      <c r="Z203" s="22" t="s">
        <v>55</v>
      </c>
      <c r="AA203" s="22" t="s">
        <v>221</v>
      </c>
      <c r="AB203" s="22" t="s">
        <v>55</v>
      </c>
      <c r="AC203" s="22" t="s">
        <v>55</v>
      </c>
      <c r="AD203" s="22" t="s">
        <v>118</v>
      </c>
      <c r="AE203" s="22" t="s">
        <v>97</v>
      </c>
      <c r="AF203" s="22" t="s">
        <v>1473</v>
      </c>
      <c r="AG203" s="22" t="s">
        <v>55</v>
      </c>
      <c r="AH203" s="22" t="s">
        <v>55</v>
      </c>
      <c r="AI203" s="22" t="s">
        <v>55</v>
      </c>
      <c r="AJ203" s="22" t="s">
        <v>55</v>
      </c>
      <c r="AK203" s="22" t="s">
        <v>55</v>
      </c>
      <c r="AL203" s="22" t="s">
        <v>55</v>
      </c>
      <c r="AM203" s="22" t="s">
        <v>55</v>
      </c>
      <c r="AN203" s="22" t="s">
        <v>55</v>
      </c>
      <c r="AO203" s="22" t="s">
        <v>55</v>
      </c>
      <c r="AP203" s="22" t="s">
        <v>55</v>
      </c>
      <c r="AQ203" s="22" t="s">
        <v>55</v>
      </c>
      <c r="AR203" s="22" t="s">
        <v>55</v>
      </c>
      <c r="AS203" s="22" t="s">
        <v>55</v>
      </c>
      <c r="AT203" s="22" t="s">
        <v>55</v>
      </c>
      <c r="AU203" s="22" t="s">
        <v>55</v>
      </c>
      <c r="AV203" s="22" t="s">
        <v>55</v>
      </c>
      <c r="AW203" s="22" t="s">
        <v>55</v>
      </c>
      <c r="AX203" s="22" t="s">
        <v>55</v>
      </c>
      <c r="AY203" s="22" t="s">
        <v>1133</v>
      </c>
    </row>
    <row r="204" spans="1:51" ht="43.5" x14ac:dyDescent="0.35">
      <c r="A204" s="22" t="s">
        <v>1474</v>
      </c>
      <c r="B204" s="22" t="s">
        <v>347</v>
      </c>
      <c r="C204" s="22" t="s">
        <v>116</v>
      </c>
      <c r="D204" s="22" t="s">
        <v>465</v>
      </c>
      <c r="E204" s="22" t="s">
        <v>52</v>
      </c>
      <c r="F204" s="22" t="s">
        <v>611</v>
      </c>
      <c r="G204" s="22" t="s">
        <v>54</v>
      </c>
      <c r="H204" s="22" t="s">
        <v>1719</v>
      </c>
      <c r="I204" s="22" t="s">
        <v>119</v>
      </c>
      <c r="J204" s="22" t="s">
        <v>242</v>
      </c>
      <c r="K204" s="22" t="s">
        <v>552</v>
      </c>
      <c r="L204" s="22" t="s">
        <v>55</v>
      </c>
      <c r="M204" s="22" t="s">
        <v>243</v>
      </c>
      <c r="N204" s="22" t="s">
        <v>55</v>
      </c>
      <c r="O204" s="22" t="s">
        <v>1444</v>
      </c>
      <c r="P204" s="22" t="s">
        <v>1475</v>
      </c>
      <c r="Q204" s="22" t="s">
        <v>1476</v>
      </c>
      <c r="R204" s="22" t="s">
        <v>55</v>
      </c>
      <c r="S204" s="22" t="s">
        <v>55</v>
      </c>
      <c r="T204" s="22" t="s">
        <v>1477</v>
      </c>
      <c r="U204" s="22" t="s">
        <v>63</v>
      </c>
      <c r="V204" s="23">
        <v>46112</v>
      </c>
      <c r="W204" s="22" t="s">
        <v>55</v>
      </c>
      <c r="X204" s="22" t="s">
        <v>1448</v>
      </c>
      <c r="Y204" s="22" t="s">
        <v>65</v>
      </c>
      <c r="Z204" s="22" t="s">
        <v>55</v>
      </c>
      <c r="AA204" s="22" t="s">
        <v>155</v>
      </c>
      <c r="AB204" s="22" t="s">
        <v>55</v>
      </c>
      <c r="AC204" s="22" t="s">
        <v>55</v>
      </c>
      <c r="AD204" s="22" t="s">
        <v>118</v>
      </c>
      <c r="AE204" s="22" t="s">
        <v>97</v>
      </c>
      <c r="AF204" s="22" t="s">
        <v>92</v>
      </c>
      <c r="AG204" s="22" t="s">
        <v>55</v>
      </c>
      <c r="AH204" s="22" t="s">
        <v>55</v>
      </c>
      <c r="AI204" s="22" t="s">
        <v>55</v>
      </c>
      <c r="AJ204" s="22" t="s">
        <v>55</v>
      </c>
      <c r="AK204" s="22" t="s">
        <v>55</v>
      </c>
      <c r="AL204" s="22" t="s">
        <v>55</v>
      </c>
      <c r="AM204" s="22" t="s">
        <v>55</v>
      </c>
      <c r="AN204" s="22" t="s">
        <v>55</v>
      </c>
      <c r="AO204" s="22" t="s">
        <v>55</v>
      </c>
      <c r="AP204" s="22" t="s">
        <v>55</v>
      </c>
      <c r="AQ204" s="22" t="s">
        <v>55</v>
      </c>
      <c r="AR204" s="22" t="s">
        <v>55</v>
      </c>
      <c r="AS204" s="22" t="s">
        <v>55</v>
      </c>
      <c r="AT204" s="22" t="s">
        <v>55</v>
      </c>
      <c r="AU204" s="22" t="s">
        <v>55</v>
      </c>
      <c r="AV204" s="22" t="s">
        <v>55</v>
      </c>
      <c r="AW204" s="22" t="s">
        <v>55</v>
      </c>
      <c r="AX204" s="22" t="s">
        <v>55</v>
      </c>
      <c r="AY204" s="22" t="s">
        <v>1133</v>
      </c>
    </row>
    <row r="205" spans="1:51" ht="43.5" x14ac:dyDescent="0.35">
      <c r="A205" s="22" t="s">
        <v>1478</v>
      </c>
      <c r="B205" s="22" t="s">
        <v>347</v>
      </c>
      <c r="C205" s="22" t="s">
        <v>116</v>
      </c>
      <c r="D205" s="22" t="s">
        <v>465</v>
      </c>
      <c r="E205" s="22" t="s">
        <v>52</v>
      </c>
      <c r="F205" s="22" t="s">
        <v>611</v>
      </c>
      <c r="G205" s="22" t="s">
        <v>54</v>
      </c>
      <c r="H205" s="22" t="s">
        <v>1719</v>
      </c>
      <c r="I205" s="22" t="s">
        <v>119</v>
      </c>
      <c r="J205" s="22" t="s">
        <v>242</v>
      </c>
      <c r="K205" s="22" t="s">
        <v>544</v>
      </c>
      <c r="L205" s="22" t="s">
        <v>55</v>
      </c>
      <c r="M205" s="22" t="s">
        <v>122</v>
      </c>
      <c r="N205" s="22" t="s">
        <v>55</v>
      </c>
      <c r="O205" s="22" t="s">
        <v>1444</v>
      </c>
      <c r="P205" s="22" t="s">
        <v>1455</v>
      </c>
      <c r="Q205" s="22" t="s">
        <v>1479</v>
      </c>
      <c r="R205" s="22" t="s">
        <v>55</v>
      </c>
      <c r="S205" s="22" t="s">
        <v>55</v>
      </c>
      <c r="T205" s="22" t="s">
        <v>1480</v>
      </c>
      <c r="U205" s="22" t="s">
        <v>63</v>
      </c>
      <c r="V205" s="23">
        <v>45961</v>
      </c>
      <c r="W205" s="22" t="s">
        <v>55</v>
      </c>
      <c r="X205" s="22" t="s">
        <v>1448</v>
      </c>
      <c r="Y205" s="22" t="s">
        <v>65</v>
      </c>
      <c r="Z205" s="22" t="s">
        <v>55</v>
      </c>
      <c r="AA205" s="22" t="s">
        <v>66</v>
      </c>
      <c r="AB205" s="22" t="s">
        <v>55</v>
      </c>
      <c r="AC205" s="22" t="s">
        <v>55</v>
      </c>
      <c r="AD205" s="22" t="s">
        <v>118</v>
      </c>
      <c r="AE205" s="22" t="s">
        <v>97</v>
      </c>
      <c r="AF205" s="22" t="s">
        <v>123</v>
      </c>
      <c r="AG205" s="22" t="s">
        <v>55</v>
      </c>
      <c r="AH205" s="22" t="s">
        <v>55</v>
      </c>
      <c r="AI205" s="22" t="s">
        <v>55</v>
      </c>
      <c r="AJ205" s="22" t="s">
        <v>55</v>
      </c>
      <c r="AK205" s="22" t="s">
        <v>55</v>
      </c>
      <c r="AL205" s="22" t="s">
        <v>55</v>
      </c>
      <c r="AM205" s="22" t="s">
        <v>55</v>
      </c>
      <c r="AN205" s="22" t="s">
        <v>55</v>
      </c>
      <c r="AO205" s="22" t="s">
        <v>55</v>
      </c>
      <c r="AP205" s="22" t="s">
        <v>55</v>
      </c>
      <c r="AQ205" s="22" t="s">
        <v>55</v>
      </c>
      <c r="AR205" s="22" t="s">
        <v>55</v>
      </c>
      <c r="AS205" s="22" t="s">
        <v>55</v>
      </c>
      <c r="AT205" s="22" t="s">
        <v>55</v>
      </c>
      <c r="AU205" s="22" t="s">
        <v>55</v>
      </c>
      <c r="AV205" s="22" t="s">
        <v>55</v>
      </c>
      <c r="AW205" s="22" t="s">
        <v>55</v>
      </c>
      <c r="AX205" s="22" t="s">
        <v>55</v>
      </c>
      <c r="AY205" s="22" t="s">
        <v>1133</v>
      </c>
    </row>
    <row r="206" spans="1:51" ht="43.5" x14ac:dyDescent="0.35">
      <c r="A206" s="22" t="s">
        <v>1481</v>
      </c>
      <c r="B206" s="22" t="s">
        <v>347</v>
      </c>
      <c r="C206" s="22" t="s">
        <v>116</v>
      </c>
      <c r="D206" s="22" t="s">
        <v>465</v>
      </c>
      <c r="E206" s="22" t="s">
        <v>52</v>
      </c>
      <c r="F206" s="22" t="s">
        <v>611</v>
      </c>
      <c r="G206" s="22" t="s">
        <v>54</v>
      </c>
      <c r="H206" s="22" t="s">
        <v>1719</v>
      </c>
      <c r="I206" s="22" t="s">
        <v>119</v>
      </c>
      <c r="J206" s="22" t="s">
        <v>242</v>
      </c>
      <c r="K206" s="22" t="s">
        <v>572</v>
      </c>
      <c r="L206" s="22" t="s">
        <v>55</v>
      </c>
      <c r="M206" s="22" t="s">
        <v>545</v>
      </c>
      <c r="N206" s="22" t="s">
        <v>55</v>
      </c>
      <c r="O206" s="22" t="s">
        <v>1444</v>
      </c>
      <c r="P206" s="22" t="s">
        <v>1482</v>
      </c>
      <c r="Q206" s="22" t="s">
        <v>1483</v>
      </c>
      <c r="R206" s="22" t="s">
        <v>55</v>
      </c>
      <c r="S206" s="22" t="s">
        <v>55</v>
      </c>
      <c r="T206" s="22" t="s">
        <v>1484</v>
      </c>
      <c r="U206" s="22" t="s">
        <v>132</v>
      </c>
      <c r="V206" s="23">
        <v>46022</v>
      </c>
      <c r="W206" s="22" t="s">
        <v>55</v>
      </c>
      <c r="X206" s="22" t="s">
        <v>1485</v>
      </c>
      <c r="Y206" s="22" t="s">
        <v>65</v>
      </c>
      <c r="Z206" s="22" t="s">
        <v>55</v>
      </c>
      <c r="AA206" s="22" t="s">
        <v>221</v>
      </c>
      <c r="AB206" s="22" t="s">
        <v>55</v>
      </c>
      <c r="AC206" s="22" t="s">
        <v>55</v>
      </c>
      <c r="AD206" s="22" t="s">
        <v>118</v>
      </c>
      <c r="AE206" s="22" t="s">
        <v>97</v>
      </c>
      <c r="AF206" s="22" t="s">
        <v>69</v>
      </c>
      <c r="AG206" s="22" t="s">
        <v>55</v>
      </c>
      <c r="AH206" s="22" t="s">
        <v>55</v>
      </c>
      <c r="AI206" s="22" t="s">
        <v>55</v>
      </c>
      <c r="AJ206" s="22" t="s">
        <v>55</v>
      </c>
      <c r="AK206" s="22" t="s">
        <v>55</v>
      </c>
      <c r="AL206" s="22" t="s">
        <v>55</v>
      </c>
      <c r="AM206" s="22" t="s">
        <v>55</v>
      </c>
      <c r="AN206" s="22" t="s">
        <v>55</v>
      </c>
      <c r="AO206" s="22" t="s">
        <v>55</v>
      </c>
      <c r="AP206" s="22" t="s">
        <v>55</v>
      </c>
      <c r="AQ206" s="22" t="s">
        <v>55</v>
      </c>
      <c r="AR206" s="22" t="s">
        <v>55</v>
      </c>
      <c r="AS206" s="22" t="s">
        <v>55</v>
      </c>
      <c r="AT206" s="22" t="s">
        <v>55</v>
      </c>
      <c r="AU206" s="22" t="s">
        <v>55</v>
      </c>
      <c r="AV206" s="22" t="s">
        <v>55</v>
      </c>
      <c r="AW206" s="22" t="s">
        <v>55</v>
      </c>
      <c r="AX206" s="22" t="s">
        <v>55</v>
      </c>
      <c r="AY206" s="22" t="s">
        <v>1133</v>
      </c>
    </row>
    <row r="207" spans="1:51" ht="43.5" x14ac:dyDescent="0.35">
      <c r="A207" s="22" t="s">
        <v>1491</v>
      </c>
      <c r="B207" s="22" t="s">
        <v>347</v>
      </c>
      <c r="C207" s="22" t="s">
        <v>116</v>
      </c>
      <c r="D207" s="22" t="s">
        <v>465</v>
      </c>
      <c r="E207" s="22" t="s">
        <v>52</v>
      </c>
      <c r="F207" s="22" t="s">
        <v>222</v>
      </c>
      <c r="G207" s="22" t="s">
        <v>126</v>
      </c>
      <c r="H207" s="22" t="s">
        <v>157</v>
      </c>
      <c r="I207" s="22" t="s">
        <v>121</v>
      </c>
      <c r="J207" s="22" t="s">
        <v>843</v>
      </c>
      <c r="K207" s="22" t="s">
        <v>584</v>
      </c>
      <c r="L207" s="22" t="s">
        <v>55</v>
      </c>
      <c r="M207" s="22" t="s">
        <v>1492</v>
      </c>
      <c r="N207" s="22" t="s">
        <v>55</v>
      </c>
      <c r="O207" s="22" t="s">
        <v>1486</v>
      </c>
      <c r="P207" s="22" t="s">
        <v>1493</v>
      </c>
      <c r="Q207" s="22" t="s">
        <v>1494</v>
      </c>
      <c r="R207" s="22" t="s">
        <v>55</v>
      </c>
      <c r="S207" s="22" t="s">
        <v>55</v>
      </c>
      <c r="T207" s="22" t="s">
        <v>1495</v>
      </c>
      <c r="U207" s="22" t="s">
        <v>63</v>
      </c>
      <c r="V207" s="23">
        <v>46022</v>
      </c>
      <c r="W207" s="22" t="s">
        <v>55</v>
      </c>
      <c r="X207" s="22" t="s">
        <v>1489</v>
      </c>
      <c r="Y207" s="22" t="s">
        <v>65</v>
      </c>
      <c r="Z207" s="22" t="s">
        <v>55</v>
      </c>
      <c r="AA207" s="22" t="s">
        <v>221</v>
      </c>
      <c r="AB207" s="22" t="s">
        <v>55</v>
      </c>
      <c r="AC207" s="22" t="s">
        <v>55</v>
      </c>
      <c r="AD207" s="22" t="s">
        <v>118</v>
      </c>
      <c r="AE207" s="22" t="s">
        <v>97</v>
      </c>
      <c r="AF207" s="22" t="s">
        <v>98</v>
      </c>
      <c r="AG207" s="22" t="s">
        <v>55</v>
      </c>
      <c r="AH207" s="22" t="s">
        <v>55</v>
      </c>
      <c r="AI207" s="22" t="s">
        <v>55</v>
      </c>
      <c r="AJ207" s="22" t="s">
        <v>55</v>
      </c>
      <c r="AK207" s="22" t="s">
        <v>55</v>
      </c>
      <c r="AL207" s="22" t="s">
        <v>55</v>
      </c>
      <c r="AM207" s="22" t="s">
        <v>55</v>
      </c>
      <c r="AN207" s="22" t="s">
        <v>55</v>
      </c>
      <c r="AO207" s="22" t="s">
        <v>55</v>
      </c>
      <c r="AP207" s="22" t="s">
        <v>55</v>
      </c>
      <c r="AQ207" s="22" t="s">
        <v>55</v>
      </c>
      <c r="AR207" s="22" t="s">
        <v>55</v>
      </c>
      <c r="AS207" s="22" t="s">
        <v>55</v>
      </c>
      <c r="AT207" s="22" t="s">
        <v>55</v>
      </c>
      <c r="AU207" s="22" t="s">
        <v>55</v>
      </c>
      <c r="AV207" s="22" t="s">
        <v>55</v>
      </c>
      <c r="AW207" s="22" t="s">
        <v>55</v>
      </c>
      <c r="AX207" s="22" t="s">
        <v>55</v>
      </c>
      <c r="AY207" s="22" t="s">
        <v>1133</v>
      </c>
    </row>
    <row r="208" spans="1:51" ht="58" x14ac:dyDescent="0.35">
      <c r="A208" s="22" t="s">
        <v>1496</v>
      </c>
      <c r="B208" s="22" t="s">
        <v>347</v>
      </c>
      <c r="C208" s="22" t="s">
        <v>116</v>
      </c>
      <c r="D208" s="22" t="s">
        <v>465</v>
      </c>
      <c r="E208" s="22" t="s">
        <v>52</v>
      </c>
      <c r="F208" s="22" t="s">
        <v>1327</v>
      </c>
      <c r="G208" s="22" t="s">
        <v>126</v>
      </c>
      <c r="H208" s="22" t="s">
        <v>138</v>
      </c>
      <c r="I208" s="22" t="s">
        <v>361</v>
      </c>
      <c r="J208" s="22" t="s">
        <v>974</v>
      </c>
      <c r="K208" s="22" t="s">
        <v>868</v>
      </c>
      <c r="L208" s="22" t="s">
        <v>55</v>
      </c>
      <c r="M208" s="22" t="s">
        <v>1497</v>
      </c>
      <c r="N208" s="22" t="s">
        <v>55</v>
      </c>
      <c r="O208" s="22" t="s">
        <v>1329</v>
      </c>
      <c r="P208" s="22" t="s">
        <v>1498</v>
      </c>
      <c r="Q208" s="22" t="s">
        <v>1499</v>
      </c>
      <c r="R208" s="22" t="s">
        <v>55</v>
      </c>
      <c r="S208" s="22" t="s">
        <v>55</v>
      </c>
      <c r="T208" s="22" t="s">
        <v>1500</v>
      </c>
      <c r="U208" s="22" t="s">
        <v>63</v>
      </c>
      <c r="V208" s="23">
        <v>45961</v>
      </c>
      <c r="W208" s="22" t="s">
        <v>55</v>
      </c>
      <c r="X208" s="22" t="s">
        <v>1381</v>
      </c>
      <c r="Y208" s="22" t="s">
        <v>65</v>
      </c>
      <c r="Z208" s="22" t="s">
        <v>55</v>
      </c>
      <c r="AA208" s="22" t="s">
        <v>66</v>
      </c>
      <c r="AB208" s="22" t="s">
        <v>55</v>
      </c>
      <c r="AC208" s="22" t="s">
        <v>55</v>
      </c>
      <c r="AD208" s="22" t="s">
        <v>118</v>
      </c>
      <c r="AE208" s="22" t="s">
        <v>97</v>
      </c>
      <c r="AF208" s="22" t="s">
        <v>98</v>
      </c>
      <c r="AG208" s="22" t="s">
        <v>55</v>
      </c>
      <c r="AH208" s="22" t="s">
        <v>55</v>
      </c>
      <c r="AI208" s="22" t="s">
        <v>55</v>
      </c>
      <c r="AJ208" s="22" t="s">
        <v>55</v>
      </c>
      <c r="AK208" s="22" t="s">
        <v>55</v>
      </c>
      <c r="AL208" s="22" t="s">
        <v>55</v>
      </c>
      <c r="AM208" s="22" t="s">
        <v>55</v>
      </c>
      <c r="AN208" s="22" t="s">
        <v>55</v>
      </c>
      <c r="AO208" s="22" t="s">
        <v>55</v>
      </c>
      <c r="AP208" s="22" t="s">
        <v>55</v>
      </c>
      <c r="AQ208" s="22" t="s">
        <v>55</v>
      </c>
      <c r="AR208" s="22" t="s">
        <v>55</v>
      </c>
      <c r="AS208" s="22" t="s">
        <v>55</v>
      </c>
      <c r="AT208" s="22" t="s">
        <v>55</v>
      </c>
      <c r="AU208" s="22" t="s">
        <v>55</v>
      </c>
      <c r="AV208" s="22" t="s">
        <v>55</v>
      </c>
      <c r="AW208" s="22" t="s">
        <v>55</v>
      </c>
      <c r="AX208" s="22" t="s">
        <v>55</v>
      </c>
      <c r="AY208" s="22" t="s">
        <v>1133</v>
      </c>
    </row>
    <row r="209" spans="1:51" ht="58" x14ac:dyDescent="0.35">
      <c r="A209" s="22" t="s">
        <v>1501</v>
      </c>
      <c r="B209" s="22" t="s">
        <v>347</v>
      </c>
      <c r="C209" s="22" t="s">
        <v>116</v>
      </c>
      <c r="D209" s="22" t="s">
        <v>465</v>
      </c>
      <c r="E209" s="22" t="s">
        <v>52</v>
      </c>
      <c r="F209" s="22" t="s">
        <v>1327</v>
      </c>
      <c r="G209" s="22" t="s">
        <v>126</v>
      </c>
      <c r="H209" s="22" t="s">
        <v>138</v>
      </c>
      <c r="I209" s="22" t="s">
        <v>361</v>
      </c>
      <c r="J209" s="22" t="s">
        <v>253</v>
      </c>
      <c r="K209" s="22" t="s">
        <v>584</v>
      </c>
      <c r="L209" s="22" t="s">
        <v>55</v>
      </c>
      <c r="M209" s="22" t="s">
        <v>139</v>
      </c>
      <c r="N209" s="22" t="s">
        <v>55</v>
      </c>
      <c r="O209" s="22" t="s">
        <v>1329</v>
      </c>
      <c r="P209" s="22" t="s">
        <v>1345</v>
      </c>
      <c r="Q209" s="22" t="s">
        <v>1502</v>
      </c>
      <c r="R209" s="22" t="s">
        <v>55</v>
      </c>
      <c r="S209" s="22" t="s">
        <v>55</v>
      </c>
      <c r="T209" s="22" t="s">
        <v>1503</v>
      </c>
      <c r="U209" s="22" t="s">
        <v>63</v>
      </c>
      <c r="V209" s="23">
        <v>45961</v>
      </c>
      <c r="W209" s="22" t="s">
        <v>55</v>
      </c>
      <c r="X209" s="22" t="s">
        <v>1381</v>
      </c>
      <c r="Y209" s="22" t="s">
        <v>65</v>
      </c>
      <c r="Z209" s="22" t="s">
        <v>55</v>
      </c>
      <c r="AA209" s="22" t="s">
        <v>66</v>
      </c>
      <c r="AB209" s="22" t="s">
        <v>55</v>
      </c>
      <c r="AC209" s="22" t="s">
        <v>55</v>
      </c>
      <c r="AD209" s="22" t="s">
        <v>118</v>
      </c>
      <c r="AE209" s="22" t="s">
        <v>97</v>
      </c>
      <c r="AF209" s="22" t="s">
        <v>98</v>
      </c>
      <c r="AG209" s="22" t="s">
        <v>55</v>
      </c>
      <c r="AH209" s="22" t="s">
        <v>55</v>
      </c>
      <c r="AI209" s="22" t="s">
        <v>55</v>
      </c>
      <c r="AJ209" s="22" t="s">
        <v>55</v>
      </c>
      <c r="AK209" s="22" t="s">
        <v>55</v>
      </c>
      <c r="AL209" s="22" t="s">
        <v>55</v>
      </c>
      <c r="AM209" s="22" t="s">
        <v>55</v>
      </c>
      <c r="AN209" s="22" t="s">
        <v>55</v>
      </c>
      <c r="AO209" s="22" t="s">
        <v>55</v>
      </c>
      <c r="AP209" s="22" t="s">
        <v>55</v>
      </c>
      <c r="AQ209" s="22" t="s">
        <v>55</v>
      </c>
      <c r="AR209" s="22" t="s">
        <v>55</v>
      </c>
      <c r="AS209" s="22" t="s">
        <v>55</v>
      </c>
      <c r="AT209" s="22" t="s">
        <v>55</v>
      </c>
      <c r="AU209" s="22" t="s">
        <v>55</v>
      </c>
      <c r="AV209" s="22" t="s">
        <v>55</v>
      </c>
      <c r="AW209" s="22" t="s">
        <v>55</v>
      </c>
      <c r="AX209" s="22" t="s">
        <v>55</v>
      </c>
      <c r="AY209" s="22" t="s">
        <v>1133</v>
      </c>
    </row>
    <row r="210" spans="1:51" ht="29" x14ac:dyDescent="0.35">
      <c r="A210" s="22" t="s">
        <v>1504</v>
      </c>
      <c r="B210" s="22" t="s">
        <v>347</v>
      </c>
      <c r="C210" s="22" t="s">
        <v>116</v>
      </c>
      <c r="D210" s="22" t="s">
        <v>465</v>
      </c>
      <c r="E210" s="22" t="s">
        <v>52</v>
      </c>
      <c r="F210" s="22" t="s">
        <v>1505</v>
      </c>
      <c r="G210" s="22" t="s">
        <v>54</v>
      </c>
      <c r="H210" s="22" t="s">
        <v>1506</v>
      </c>
      <c r="I210" s="22" t="s">
        <v>361</v>
      </c>
      <c r="J210" s="22" t="s">
        <v>1045</v>
      </c>
      <c r="K210" s="22" t="s">
        <v>594</v>
      </c>
      <c r="L210" s="22" t="s">
        <v>55</v>
      </c>
      <c r="M210" s="22" t="s">
        <v>1507</v>
      </c>
      <c r="N210" s="22" t="s">
        <v>55</v>
      </c>
      <c r="O210" s="22" t="s">
        <v>1508</v>
      </c>
      <c r="P210" s="22" t="s">
        <v>1509</v>
      </c>
      <c r="Q210" s="22" t="s">
        <v>1510</v>
      </c>
      <c r="R210" s="22" t="s">
        <v>55</v>
      </c>
      <c r="S210" s="22" t="s">
        <v>55</v>
      </c>
      <c r="T210" s="22" t="s">
        <v>1511</v>
      </c>
      <c r="U210" s="22" t="s">
        <v>63</v>
      </c>
      <c r="V210" s="23">
        <v>45961</v>
      </c>
      <c r="W210" s="22" t="s">
        <v>55</v>
      </c>
      <c r="X210" s="22" t="s">
        <v>1512</v>
      </c>
      <c r="Y210" s="22" t="s">
        <v>65</v>
      </c>
      <c r="Z210" s="22" t="s">
        <v>55</v>
      </c>
      <c r="AA210" s="22" t="s">
        <v>66</v>
      </c>
      <c r="AB210" s="22" t="s">
        <v>55</v>
      </c>
      <c r="AC210" s="22" t="s">
        <v>55</v>
      </c>
      <c r="AD210" s="22" t="s">
        <v>118</v>
      </c>
      <c r="AE210" s="22" t="s">
        <v>97</v>
      </c>
      <c r="AF210" s="22" t="s">
        <v>98</v>
      </c>
      <c r="AG210" s="22" t="s">
        <v>55</v>
      </c>
      <c r="AH210" s="22" t="s">
        <v>55</v>
      </c>
      <c r="AI210" s="22" t="s">
        <v>55</v>
      </c>
      <c r="AJ210" s="22" t="s">
        <v>55</v>
      </c>
      <c r="AK210" s="22" t="s">
        <v>55</v>
      </c>
      <c r="AL210" s="22" t="s">
        <v>55</v>
      </c>
      <c r="AM210" s="22" t="s">
        <v>55</v>
      </c>
      <c r="AN210" s="22" t="s">
        <v>55</v>
      </c>
      <c r="AO210" s="22" t="s">
        <v>55</v>
      </c>
      <c r="AP210" s="22" t="s">
        <v>55</v>
      </c>
      <c r="AQ210" s="22" t="s">
        <v>55</v>
      </c>
      <c r="AR210" s="22" t="s">
        <v>55</v>
      </c>
      <c r="AS210" s="22" t="s">
        <v>55</v>
      </c>
      <c r="AT210" s="22" t="s">
        <v>55</v>
      </c>
      <c r="AU210" s="22" t="s">
        <v>55</v>
      </c>
      <c r="AV210" s="22" t="s">
        <v>55</v>
      </c>
      <c r="AW210" s="22" t="s">
        <v>55</v>
      </c>
      <c r="AX210" s="22" t="s">
        <v>55</v>
      </c>
      <c r="AY210" s="22" t="s">
        <v>1133</v>
      </c>
    </row>
    <row r="211" spans="1:51" ht="29" x14ac:dyDescent="0.35">
      <c r="A211" s="22" t="s">
        <v>1513</v>
      </c>
      <c r="B211" s="22" t="s">
        <v>347</v>
      </c>
      <c r="C211" s="22" t="s">
        <v>116</v>
      </c>
      <c r="D211" s="22" t="s">
        <v>465</v>
      </c>
      <c r="E211" s="22" t="s">
        <v>52</v>
      </c>
      <c r="F211" s="22" t="s">
        <v>1505</v>
      </c>
      <c r="G211" s="22" t="s">
        <v>54</v>
      </c>
      <c r="H211" s="22" t="s">
        <v>1506</v>
      </c>
      <c r="I211" s="22" t="s">
        <v>361</v>
      </c>
      <c r="J211" s="22" t="s">
        <v>1045</v>
      </c>
      <c r="K211" s="22" t="s">
        <v>584</v>
      </c>
      <c r="L211" s="22" t="s">
        <v>55</v>
      </c>
      <c r="M211" s="22" t="s">
        <v>1046</v>
      </c>
      <c r="N211" s="22" t="s">
        <v>55</v>
      </c>
      <c r="O211" s="22" t="s">
        <v>1508</v>
      </c>
      <c r="P211" s="22" t="s">
        <v>1330</v>
      </c>
      <c r="Q211" s="22" t="s">
        <v>1514</v>
      </c>
      <c r="R211" s="22" t="s">
        <v>55</v>
      </c>
      <c r="S211" s="22" t="s">
        <v>55</v>
      </c>
      <c r="T211" s="22" t="s">
        <v>1515</v>
      </c>
      <c r="U211" s="22" t="s">
        <v>63</v>
      </c>
      <c r="V211" s="23">
        <v>45961</v>
      </c>
      <c r="W211" s="22" t="s">
        <v>55</v>
      </c>
      <c r="X211" s="22" t="s">
        <v>1512</v>
      </c>
      <c r="Y211" s="22" t="s">
        <v>65</v>
      </c>
      <c r="Z211" s="22" t="s">
        <v>55</v>
      </c>
      <c r="AA211" s="22" t="s">
        <v>66</v>
      </c>
      <c r="AB211" s="22" t="s">
        <v>55</v>
      </c>
      <c r="AC211" s="22" t="s">
        <v>55</v>
      </c>
      <c r="AD211" s="22" t="s">
        <v>118</v>
      </c>
      <c r="AE211" s="22" t="s">
        <v>97</v>
      </c>
      <c r="AF211" s="22" t="s">
        <v>1052</v>
      </c>
      <c r="AG211" s="22" t="s">
        <v>55</v>
      </c>
      <c r="AH211" s="22" t="s">
        <v>55</v>
      </c>
      <c r="AI211" s="22" t="s">
        <v>55</v>
      </c>
      <c r="AJ211" s="22" t="s">
        <v>55</v>
      </c>
      <c r="AK211" s="22" t="s">
        <v>55</v>
      </c>
      <c r="AL211" s="22" t="s">
        <v>55</v>
      </c>
      <c r="AM211" s="22" t="s">
        <v>55</v>
      </c>
      <c r="AN211" s="22" t="s">
        <v>55</v>
      </c>
      <c r="AO211" s="22" t="s">
        <v>55</v>
      </c>
      <c r="AP211" s="22" t="s">
        <v>55</v>
      </c>
      <c r="AQ211" s="22" t="s">
        <v>55</v>
      </c>
      <c r="AR211" s="22" t="s">
        <v>55</v>
      </c>
      <c r="AS211" s="22" t="s">
        <v>55</v>
      </c>
      <c r="AT211" s="22" t="s">
        <v>55</v>
      </c>
      <c r="AU211" s="22" t="s">
        <v>55</v>
      </c>
      <c r="AV211" s="22" t="s">
        <v>55</v>
      </c>
      <c r="AW211" s="22" t="s">
        <v>55</v>
      </c>
      <c r="AX211" s="22" t="s">
        <v>55</v>
      </c>
      <c r="AY211" s="22" t="s">
        <v>1133</v>
      </c>
    </row>
    <row r="212" spans="1:51" ht="29" x14ac:dyDescent="0.35">
      <c r="A212" s="22" t="s">
        <v>1516</v>
      </c>
      <c r="B212" s="22" t="s">
        <v>347</v>
      </c>
      <c r="C212" s="22" t="s">
        <v>116</v>
      </c>
      <c r="D212" s="22" t="s">
        <v>465</v>
      </c>
      <c r="E212" s="22" t="s">
        <v>52</v>
      </c>
      <c r="F212" s="22" t="s">
        <v>1505</v>
      </c>
      <c r="G212" s="22" t="s">
        <v>54</v>
      </c>
      <c r="H212" s="22" t="s">
        <v>1506</v>
      </c>
      <c r="I212" s="22" t="s">
        <v>361</v>
      </c>
      <c r="J212" s="22" t="s">
        <v>1517</v>
      </c>
      <c r="K212" s="22" t="s">
        <v>594</v>
      </c>
      <c r="L212" s="22" t="s">
        <v>55</v>
      </c>
      <c r="M212" s="22" t="s">
        <v>1518</v>
      </c>
      <c r="N212" s="22" t="s">
        <v>55</v>
      </c>
      <c r="O212" s="22" t="s">
        <v>1508</v>
      </c>
      <c r="P212" s="22" t="s">
        <v>1475</v>
      </c>
      <c r="Q212" s="22" t="s">
        <v>1519</v>
      </c>
      <c r="R212" s="22" t="s">
        <v>55</v>
      </c>
      <c r="S212" s="22" t="s">
        <v>55</v>
      </c>
      <c r="T212" s="22" t="s">
        <v>1520</v>
      </c>
      <c r="U212" s="22" t="s">
        <v>63</v>
      </c>
      <c r="V212" s="23">
        <v>45961</v>
      </c>
      <c r="W212" s="22" t="s">
        <v>55</v>
      </c>
      <c r="X212" s="22" t="s">
        <v>1521</v>
      </c>
      <c r="Y212" s="22" t="s">
        <v>65</v>
      </c>
      <c r="Z212" s="22" t="s">
        <v>55</v>
      </c>
      <c r="AA212" s="22" t="s">
        <v>66</v>
      </c>
      <c r="AB212" s="22" t="s">
        <v>55</v>
      </c>
      <c r="AC212" s="22" t="s">
        <v>55</v>
      </c>
      <c r="AD212" s="22" t="s">
        <v>118</v>
      </c>
      <c r="AE212" s="22" t="s">
        <v>97</v>
      </c>
      <c r="AF212" s="22" t="s">
        <v>123</v>
      </c>
      <c r="AG212" s="22" t="s">
        <v>55</v>
      </c>
      <c r="AH212" s="22" t="s">
        <v>55</v>
      </c>
      <c r="AI212" s="22" t="s">
        <v>55</v>
      </c>
      <c r="AJ212" s="22" t="s">
        <v>55</v>
      </c>
      <c r="AK212" s="22" t="s">
        <v>55</v>
      </c>
      <c r="AL212" s="22" t="s">
        <v>55</v>
      </c>
      <c r="AM212" s="22" t="s">
        <v>55</v>
      </c>
      <c r="AN212" s="22" t="s">
        <v>55</v>
      </c>
      <c r="AO212" s="22" t="s">
        <v>55</v>
      </c>
      <c r="AP212" s="22" t="s">
        <v>55</v>
      </c>
      <c r="AQ212" s="22" t="s">
        <v>55</v>
      </c>
      <c r="AR212" s="22" t="s">
        <v>55</v>
      </c>
      <c r="AS212" s="22" t="s">
        <v>55</v>
      </c>
      <c r="AT212" s="22" t="s">
        <v>55</v>
      </c>
      <c r="AU212" s="22" t="s">
        <v>55</v>
      </c>
      <c r="AV212" s="22" t="s">
        <v>55</v>
      </c>
      <c r="AW212" s="22" t="s">
        <v>55</v>
      </c>
      <c r="AX212" s="22" t="s">
        <v>55</v>
      </c>
      <c r="AY212" s="22" t="s">
        <v>1133</v>
      </c>
    </row>
    <row r="213" spans="1:51" ht="29" x14ac:dyDescent="0.35">
      <c r="A213" s="22" t="s">
        <v>1522</v>
      </c>
      <c r="B213" s="22" t="s">
        <v>347</v>
      </c>
      <c r="C213" s="22" t="s">
        <v>116</v>
      </c>
      <c r="D213" s="22" t="s">
        <v>465</v>
      </c>
      <c r="E213" s="22" t="s">
        <v>52</v>
      </c>
      <c r="F213" s="22" t="s">
        <v>1505</v>
      </c>
      <c r="G213" s="22" t="s">
        <v>54</v>
      </c>
      <c r="H213" s="22" t="s">
        <v>1506</v>
      </c>
      <c r="I213" s="22" t="s">
        <v>361</v>
      </c>
      <c r="J213" s="22" t="s">
        <v>253</v>
      </c>
      <c r="K213" s="22" t="s">
        <v>584</v>
      </c>
      <c r="L213" s="22" t="s">
        <v>55</v>
      </c>
      <c r="M213" s="22" t="s">
        <v>136</v>
      </c>
      <c r="N213" s="22" t="s">
        <v>55</v>
      </c>
      <c r="O213" s="22" t="s">
        <v>1508</v>
      </c>
      <c r="P213" s="22" t="s">
        <v>1523</v>
      </c>
      <c r="Q213" s="22" t="s">
        <v>1523</v>
      </c>
      <c r="R213" s="22" t="s">
        <v>55</v>
      </c>
      <c r="S213" s="22" t="s">
        <v>55</v>
      </c>
      <c r="T213" s="22" t="s">
        <v>1298</v>
      </c>
      <c r="U213" s="22" t="s">
        <v>63</v>
      </c>
      <c r="V213" s="23">
        <v>45961</v>
      </c>
      <c r="W213" s="22" t="s">
        <v>55</v>
      </c>
      <c r="X213" s="22" t="s">
        <v>1524</v>
      </c>
      <c r="Y213" s="22" t="s">
        <v>65</v>
      </c>
      <c r="Z213" s="22" t="s">
        <v>55</v>
      </c>
      <c r="AA213" s="22" t="s">
        <v>66</v>
      </c>
      <c r="AB213" s="22" t="s">
        <v>55</v>
      </c>
      <c r="AC213" s="22" t="s">
        <v>55</v>
      </c>
      <c r="AD213" s="22" t="s">
        <v>118</v>
      </c>
      <c r="AE213" s="22" t="s">
        <v>97</v>
      </c>
      <c r="AF213" s="22" t="s">
        <v>98</v>
      </c>
      <c r="AG213" s="22" t="s">
        <v>55</v>
      </c>
      <c r="AH213" s="22" t="s">
        <v>55</v>
      </c>
      <c r="AI213" s="22" t="s">
        <v>55</v>
      </c>
      <c r="AJ213" s="22" t="s">
        <v>55</v>
      </c>
      <c r="AK213" s="22" t="s">
        <v>55</v>
      </c>
      <c r="AL213" s="22" t="s">
        <v>55</v>
      </c>
      <c r="AM213" s="22" t="s">
        <v>55</v>
      </c>
      <c r="AN213" s="22" t="s">
        <v>55</v>
      </c>
      <c r="AO213" s="22" t="s">
        <v>55</v>
      </c>
      <c r="AP213" s="22" t="s">
        <v>55</v>
      </c>
      <c r="AQ213" s="22" t="s">
        <v>55</v>
      </c>
      <c r="AR213" s="22" t="s">
        <v>55</v>
      </c>
      <c r="AS213" s="22" t="s">
        <v>55</v>
      </c>
      <c r="AT213" s="22" t="s">
        <v>55</v>
      </c>
      <c r="AU213" s="22" t="s">
        <v>55</v>
      </c>
      <c r="AV213" s="22" t="s">
        <v>55</v>
      </c>
      <c r="AW213" s="22" t="s">
        <v>55</v>
      </c>
      <c r="AX213" s="22" t="s">
        <v>55</v>
      </c>
      <c r="AY213" s="22" t="s">
        <v>1133</v>
      </c>
    </row>
    <row r="214" spans="1:51" ht="58" x14ac:dyDescent="0.35">
      <c r="A214" s="22" t="s">
        <v>1525</v>
      </c>
      <c r="B214" s="22" t="s">
        <v>347</v>
      </c>
      <c r="C214" s="22" t="s">
        <v>588</v>
      </c>
      <c r="D214" s="22" t="s">
        <v>465</v>
      </c>
      <c r="E214" s="22" t="s">
        <v>52</v>
      </c>
      <c r="F214" s="22" t="s">
        <v>1526</v>
      </c>
      <c r="G214" s="22" t="s">
        <v>126</v>
      </c>
      <c r="H214" s="22" t="s">
        <v>138</v>
      </c>
      <c r="I214" s="22" t="s">
        <v>149</v>
      </c>
      <c r="J214" s="22" t="s">
        <v>55</v>
      </c>
      <c r="K214" s="22" t="s">
        <v>1720</v>
      </c>
      <c r="L214" s="22" t="s">
        <v>103</v>
      </c>
      <c r="M214" s="22" t="s">
        <v>55</v>
      </c>
      <c r="N214" s="22" t="s">
        <v>55</v>
      </c>
      <c r="O214" s="22" t="s">
        <v>1721</v>
      </c>
      <c r="P214" s="22" t="s">
        <v>151</v>
      </c>
      <c r="Q214" s="22" t="s">
        <v>1527</v>
      </c>
      <c r="R214" s="22" t="s">
        <v>63</v>
      </c>
      <c r="S214" s="22" t="s">
        <v>150</v>
      </c>
      <c r="T214" s="22" t="s">
        <v>794</v>
      </c>
      <c r="U214" s="22" t="s">
        <v>63</v>
      </c>
      <c r="V214" s="23">
        <v>46022</v>
      </c>
      <c r="W214" s="22" t="s">
        <v>55</v>
      </c>
      <c r="X214" s="22" t="s">
        <v>1528</v>
      </c>
      <c r="Y214" s="22" t="s">
        <v>65</v>
      </c>
      <c r="Z214" s="22" t="s">
        <v>55</v>
      </c>
      <c r="AA214" s="22" t="s">
        <v>221</v>
      </c>
      <c r="AB214" s="22" t="s">
        <v>55</v>
      </c>
      <c r="AC214" s="22" t="s">
        <v>55</v>
      </c>
      <c r="AD214" s="22" t="s">
        <v>118</v>
      </c>
      <c r="AE214" s="22" t="s">
        <v>97</v>
      </c>
      <c r="AF214" s="22" t="s">
        <v>55</v>
      </c>
      <c r="AG214" s="22" t="s">
        <v>55</v>
      </c>
      <c r="AH214" s="22" t="s">
        <v>55</v>
      </c>
      <c r="AI214" s="22" t="s">
        <v>55</v>
      </c>
      <c r="AJ214" s="22" t="s">
        <v>55</v>
      </c>
      <c r="AK214" s="22" t="s">
        <v>55</v>
      </c>
      <c r="AL214" s="22" t="s">
        <v>55</v>
      </c>
      <c r="AM214" s="22" t="s">
        <v>55</v>
      </c>
      <c r="AN214" s="22" t="s">
        <v>55</v>
      </c>
      <c r="AO214" s="22" t="s">
        <v>55</v>
      </c>
      <c r="AP214" s="22" t="s">
        <v>55</v>
      </c>
      <c r="AQ214" s="22" t="s">
        <v>55</v>
      </c>
      <c r="AR214" s="22" t="s">
        <v>55</v>
      </c>
      <c r="AS214" s="22" t="s">
        <v>55</v>
      </c>
      <c r="AT214" s="22" t="s">
        <v>55</v>
      </c>
      <c r="AU214" s="22" t="s">
        <v>55</v>
      </c>
      <c r="AV214" s="22" t="s">
        <v>55</v>
      </c>
      <c r="AW214" s="23">
        <v>45930</v>
      </c>
      <c r="AX214" s="23">
        <v>45940</v>
      </c>
      <c r="AY214" s="22" t="s">
        <v>1133</v>
      </c>
    </row>
    <row r="215" spans="1:51" ht="58" x14ac:dyDescent="0.35">
      <c r="A215" s="22" t="s">
        <v>1529</v>
      </c>
      <c r="B215" s="22" t="s">
        <v>347</v>
      </c>
      <c r="C215" s="22" t="s">
        <v>588</v>
      </c>
      <c r="D215" s="22" t="s">
        <v>465</v>
      </c>
      <c r="E215" s="22" t="s">
        <v>52</v>
      </c>
      <c r="F215" s="22" t="s">
        <v>1530</v>
      </c>
      <c r="G215" s="22" t="s">
        <v>126</v>
      </c>
      <c r="H215" s="22" t="s">
        <v>138</v>
      </c>
      <c r="I215" s="22" t="s">
        <v>149</v>
      </c>
      <c r="J215" s="22" t="s">
        <v>55</v>
      </c>
      <c r="K215" s="22" t="s">
        <v>1720</v>
      </c>
      <c r="L215" s="22" t="s">
        <v>103</v>
      </c>
      <c r="M215" s="22" t="s">
        <v>55</v>
      </c>
      <c r="N215" s="22" t="s">
        <v>55</v>
      </c>
      <c r="O215" s="22" t="s">
        <v>1722</v>
      </c>
      <c r="P215" s="22" t="s">
        <v>151</v>
      </c>
      <c r="Q215" s="22" t="s">
        <v>1527</v>
      </c>
      <c r="R215" s="22" t="s">
        <v>63</v>
      </c>
      <c r="S215" s="22" t="s">
        <v>150</v>
      </c>
      <c r="T215" s="22" t="s">
        <v>794</v>
      </c>
      <c r="U215" s="22" t="s">
        <v>63</v>
      </c>
      <c r="V215" s="23">
        <v>46022</v>
      </c>
      <c r="W215" s="22" t="s">
        <v>55</v>
      </c>
      <c r="X215" s="22" t="s">
        <v>1528</v>
      </c>
      <c r="Y215" s="22" t="s">
        <v>65</v>
      </c>
      <c r="Z215" s="22" t="s">
        <v>55</v>
      </c>
      <c r="AA215" s="22" t="s">
        <v>221</v>
      </c>
      <c r="AB215" s="22" t="s">
        <v>55</v>
      </c>
      <c r="AC215" s="22" t="s">
        <v>55</v>
      </c>
      <c r="AD215" s="22" t="s">
        <v>118</v>
      </c>
      <c r="AE215" s="22" t="s">
        <v>97</v>
      </c>
      <c r="AF215" s="22" t="s">
        <v>55</v>
      </c>
      <c r="AG215" s="22" t="s">
        <v>55</v>
      </c>
      <c r="AH215" s="22" t="s">
        <v>55</v>
      </c>
      <c r="AI215" s="22" t="s">
        <v>55</v>
      </c>
      <c r="AJ215" s="22" t="s">
        <v>55</v>
      </c>
      <c r="AK215" s="22" t="s">
        <v>55</v>
      </c>
      <c r="AL215" s="22" t="s">
        <v>55</v>
      </c>
      <c r="AM215" s="22" t="s">
        <v>55</v>
      </c>
      <c r="AN215" s="22" t="s">
        <v>55</v>
      </c>
      <c r="AO215" s="22" t="s">
        <v>55</v>
      </c>
      <c r="AP215" s="22" t="s">
        <v>55</v>
      </c>
      <c r="AQ215" s="22" t="s">
        <v>55</v>
      </c>
      <c r="AR215" s="22" t="s">
        <v>55</v>
      </c>
      <c r="AS215" s="22" t="s">
        <v>55</v>
      </c>
      <c r="AT215" s="22" t="s">
        <v>55</v>
      </c>
      <c r="AU215" s="22" t="s">
        <v>55</v>
      </c>
      <c r="AV215" s="22" t="s">
        <v>55</v>
      </c>
      <c r="AW215" s="23">
        <v>45930</v>
      </c>
      <c r="AX215" s="23">
        <v>45940</v>
      </c>
      <c r="AY215" s="22" t="s">
        <v>1133</v>
      </c>
    </row>
    <row r="216" spans="1:51" ht="29" x14ac:dyDescent="0.35">
      <c r="A216" s="22" t="s">
        <v>1531</v>
      </c>
      <c r="B216" s="22" t="s">
        <v>347</v>
      </c>
      <c r="C216" s="22" t="s">
        <v>116</v>
      </c>
      <c r="D216" s="22" t="s">
        <v>465</v>
      </c>
      <c r="E216" s="22" t="s">
        <v>52</v>
      </c>
      <c r="F216" s="22" t="s">
        <v>1532</v>
      </c>
      <c r="G216" s="22" t="s">
        <v>126</v>
      </c>
      <c r="H216" s="22" t="s">
        <v>138</v>
      </c>
      <c r="I216" s="22" t="s">
        <v>160</v>
      </c>
      <c r="J216" s="22" t="s">
        <v>373</v>
      </c>
      <c r="K216" s="22" t="s">
        <v>558</v>
      </c>
      <c r="L216" s="22" t="s">
        <v>55</v>
      </c>
      <c r="M216" s="22" t="s">
        <v>385</v>
      </c>
      <c r="N216" s="22" t="s">
        <v>55</v>
      </c>
      <c r="O216" s="22" t="s">
        <v>1533</v>
      </c>
      <c r="P216" s="22" t="s">
        <v>1534</v>
      </c>
      <c r="Q216" s="22" t="s">
        <v>1535</v>
      </c>
      <c r="R216" s="22" t="s">
        <v>55</v>
      </c>
      <c r="S216" s="22" t="s">
        <v>55</v>
      </c>
      <c r="T216" s="22" t="s">
        <v>1536</v>
      </c>
      <c r="U216" s="22" t="s">
        <v>63</v>
      </c>
      <c r="V216" s="23">
        <v>45961</v>
      </c>
      <c r="W216" s="22" t="s">
        <v>55</v>
      </c>
      <c r="X216" s="22" t="s">
        <v>1537</v>
      </c>
      <c r="Y216" s="22" t="s">
        <v>65</v>
      </c>
      <c r="Z216" s="22" t="s">
        <v>55</v>
      </c>
      <c r="AA216" s="22" t="s">
        <v>66</v>
      </c>
      <c r="AB216" s="22" t="s">
        <v>55</v>
      </c>
      <c r="AC216" s="22" t="s">
        <v>55</v>
      </c>
      <c r="AD216" s="22" t="s">
        <v>118</v>
      </c>
      <c r="AE216" s="22" t="s">
        <v>97</v>
      </c>
      <c r="AF216" s="22" t="s">
        <v>391</v>
      </c>
      <c r="AG216" s="22" t="s">
        <v>55</v>
      </c>
      <c r="AH216" s="22" t="s">
        <v>55</v>
      </c>
      <c r="AI216" s="22" t="s">
        <v>55</v>
      </c>
      <c r="AJ216" s="22" t="s">
        <v>55</v>
      </c>
      <c r="AK216" s="22" t="s">
        <v>55</v>
      </c>
      <c r="AL216" s="22" t="s">
        <v>55</v>
      </c>
      <c r="AM216" s="22" t="s">
        <v>55</v>
      </c>
      <c r="AN216" s="22" t="s">
        <v>55</v>
      </c>
      <c r="AO216" s="22" t="s">
        <v>55</v>
      </c>
      <c r="AP216" s="22" t="s">
        <v>55</v>
      </c>
      <c r="AQ216" s="22" t="s">
        <v>55</v>
      </c>
      <c r="AR216" s="22" t="s">
        <v>55</v>
      </c>
      <c r="AS216" s="22" t="s">
        <v>55</v>
      </c>
      <c r="AT216" s="22" t="s">
        <v>55</v>
      </c>
      <c r="AU216" s="22" t="s">
        <v>55</v>
      </c>
      <c r="AV216" s="22" t="s">
        <v>55</v>
      </c>
      <c r="AW216" s="22" t="s">
        <v>55</v>
      </c>
      <c r="AX216" s="22" t="s">
        <v>55</v>
      </c>
      <c r="AY216" s="22" t="s">
        <v>1538</v>
      </c>
    </row>
    <row r="217" spans="1:51" ht="72.5" x14ac:dyDescent="0.35">
      <c r="A217" s="22" t="s">
        <v>1539</v>
      </c>
      <c r="B217" s="22" t="s">
        <v>347</v>
      </c>
      <c r="C217" s="22" t="s">
        <v>116</v>
      </c>
      <c r="D217" s="22" t="s">
        <v>465</v>
      </c>
      <c r="E217" s="22" t="s">
        <v>52</v>
      </c>
      <c r="F217" s="22" t="s">
        <v>1532</v>
      </c>
      <c r="G217" s="22" t="s">
        <v>126</v>
      </c>
      <c r="H217" s="22" t="s">
        <v>138</v>
      </c>
      <c r="I217" s="22" t="s">
        <v>160</v>
      </c>
      <c r="J217" s="22" t="s">
        <v>393</v>
      </c>
      <c r="K217" s="22" t="s">
        <v>558</v>
      </c>
      <c r="L217" s="22" t="s">
        <v>55</v>
      </c>
      <c r="M217" s="22" t="s">
        <v>1540</v>
      </c>
      <c r="N217" s="22" t="s">
        <v>55</v>
      </c>
      <c r="O217" s="22" t="s">
        <v>1533</v>
      </c>
      <c r="P217" s="22" t="s">
        <v>1541</v>
      </c>
      <c r="Q217" s="22" t="s">
        <v>1542</v>
      </c>
      <c r="R217" s="22" t="s">
        <v>55</v>
      </c>
      <c r="S217" s="22" t="s">
        <v>55</v>
      </c>
      <c r="T217" s="22" t="s">
        <v>1543</v>
      </c>
      <c r="U217" s="22" t="s">
        <v>63</v>
      </c>
      <c r="V217" s="23">
        <v>45961</v>
      </c>
      <c r="W217" s="22" t="s">
        <v>55</v>
      </c>
      <c r="X217" s="22" t="s">
        <v>1544</v>
      </c>
      <c r="Y217" s="22" t="s">
        <v>65</v>
      </c>
      <c r="Z217" s="22" t="s">
        <v>55</v>
      </c>
      <c r="AA217" s="22" t="s">
        <v>66</v>
      </c>
      <c r="AB217" s="22" t="s">
        <v>55</v>
      </c>
      <c r="AC217" s="22" t="s">
        <v>55</v>
      </c>
      <c r="AD217" s="22" t="s">
        <v>118</v>
      </c>
      <c r="AE217" s="22" t="s">
        <v>97</v>
      </c>
      <c r="AF217" s="22" t="s">
        <v>156</v>
      </c>
      <c r="AG217" s="22" t="s">
        <v>55</v>
      </c>
      <c r="AH217" s="22" t="s">
        <v>55</v>
      </c>
      <c r="AI217" s="22" t="s">
        <v>55</v>
      </c>
      <c r="AJ217" s="22" t="s">
        <v>55</v>
      </c>
      <c r="AK217" s="22" t="s">
        <v>55</v>
      </c>
      <c r="AL217" s="22" t="s">
        <v>55</v>
      </c>
      <c r="AM217" s="22" t="s">
        <v>55</v>
      </c>
      <c r="AN217" s="22" t="s">
        <v>55</v>
      </c>
      <c r="AO217" s="22" t="s">
        <v>55</v>
      </c>
      <c r="AP217" s="22" t="s">
        <v>55</v>
      </c>
      <c r="AQ217" s="22" t="s">
        <v>55</v>
      </c>
      <c r="AR217" s="22" t="s">
        <v>55</v>
      </c>
      <c r="AS217" s="22" t="s">
        <v>55</v>
      </c>
      <c r="AT217" s="22" t="s">
        <v>55</v>
      </c>
      <c r="AU217" s="22" t="s">
        <v>55</v>
      </c>
      <c r="AV217" s="22" t="s">
        <v>55</v>
      </c>
      <c r="AW217" s="22" t="s">
        <v>55</v>
      </c>
      <c r="AX217" s="22" t="s">
        <v>55</v>
      </c>
      <c r="AY217" s="22" t="s">
        <v>1538</v>
      </c>
    </row>
    <row r="218" spans="1:51" ht="43.5" x14ac:dyDescent="0.35">
      <c r="A218" s="22" t="s">
        <v>1545</v>
      </c>
      <c r="B218" s="22" t="s">
        <v>347</v>
      </c>
      <c r="C218" s="22" t="s">
        <v>116</v>
      </c>
      <c r="D218" s="22" t="s">
        <v>465</v>
      </c>
      <c r="E218" s="22" t="s">
        <v>52</v>
      </c>
      <c r="F218" s="22" t="s">
        <v>1532</v>
      </c>
      <c r="G218" s="22" t="s">
        <v>126</v>
      </c>
      <c r="H218" s="22" t="s">
        <v>138</v>
      </c>
      <c r="I218" s="22" t="s">
        <v>160</v>
      </c>
      <c r="J218" s="22" t="s">
        <v>857</v>
      </c>
      <c r="K218" s="22" t="s">
        <v>572</v>
      </c>
      <c r="L218" s="22" t="s">
        <v>55</v>
      </c>
      <c r="M218" s="22" t="s">
        <v>161</v>
      </c>
      <c r="N218" s="22" t="s">
        <v>55</v>
      </c>
      <c r="O218" s="22" t="s">
        <v>1533</v>
      </c>
      <c r="P218" s="22" t="s">
        <v>1546</v>
      </c>
      <c r="Q218" s="22" t="s">
        <v>1547</v>
      </c>
      <c r="R218" s="22" t="s">
        <v>55</v>
      </c>
      <c r="S218" s="22" t="s">
        <v>55</v>
      </c>
      <c r="T218" s="22" t="s">
        <v>1548</v>
      </c>
      <c r="U218" s="22" t="s">
        <v>63</v>
      </c>
      <c r="V218" s="23">
        <v>45961</v>
      </c>
      <c r="W218" s="22" t="s">
        <v>55</v>
      </c>
      <c r="X218" s="22" t="s">
        <v>1549</v>
      </c>
      <c r="Y218" s="22" t="s">
        <v>65</v>
      </c>
      <c r="Z218" s="22" t="s">
        <v>55</v>
      </c>
      <c r="AA218" s="22" t="s">
        <v>66</v>
      </c>
      <c r="AB218" s="22" t="s">
        <v>55</v>
      </c>
      <c r="AC218" s="22" t="s">
        <v>55</v>
      </c>
      <c r="AD218" s="22" t="s">
        <v>118</v>
      </c>
      <c r="AE218" s="22" t="s">
        <v>97</v>
      </c>
      <c r="AF218" s="22" t="s">
        <v>69</v>
      </c>
      <c r="AG218" s="22" t="s">
        <v>55</v>
      </c>
      <c r="AH218" s="22" t="s">
        <v>55</v>
      </c>
      <c r="AI218" s="22" t="s">
        <v>55</v>
      </c>
      <c r="AJ218" s="22" t="s">
        <v>55</v>
      </c>
      <c r="AK218" s="22" t="s">
        <v>55</v>
      </c>
      <c r="AL218" s="22" t="s">
        <v>55</v>
      </c>
      <c r="AM218" s="22" t="s">
        <v>55</v>
      </c>
      <c r="AN218" s="22" t="s">
        <v>55</v>
      </c>
      <c r="AO218" s="22" t="s">
        <v>55</v>
      </c>
      <c r="AP218" s="22" t="s">
        <v>55</v>
      </c>
      <c r="AQ218" s="22" t="s">
        <v>55</v>
      </c>
      <c r="AR218" s="22" t="s">
        <v>55</v>
      </c>
      <c r="AS218" s="22" t="s">
        <v>55</v>
      </c>
      <c r="AT218" s="22" t="s">
        <v>55</v>
      </c>
      <c r="AU218" s="22" t="s">
        <v>55</v>
      </c>
      <c r="AV218" s="22" t="s">
        <v>55</v>
      </c>
      <c r="AW218" s="22" t="s">
        <v>55</v>
      </c>
      <c r="AX218" s="22" t="s">
        <v>55</v>
      </c>
      <c r="AY218" s="22" t="s">
        <v>1538</v>
      </c>
    </row>
    <row r="219" spans="1:51" ht="43.5" x14ac:dyDescent="0.35">
      <c r="A219" s="22" t="s">
        <v>1550</v>
      </c>
      <c r="B219" s="22" t="s">
        <v>347</v>
      </c>
      <c r="C219" s="22" t="s">
        <v>116</v>
      </c>
      <c r="D219" s="22" t="s">
        <v>465</v>
      </c>
      <c r="E219" s="22" t="s">
        <v>52</v>
      </c>
      <c r="F219" s="22" t="s">
        <v>1532</v>
      </c>
      <c r="G219" s="22" t="s">
        <v>126</v>
      </c>
      <c r="H219" s="22" t="s">
        <v>138</v>
      </c>
      <c r="I219" s="22" t="s">
        <v>121</v>
      </c>
      <c r="J219" s="22" t="s">
        <v>843</v>
      </c>
      <c r="K219" s="22" t="s">
        <v>561</v>
      </c>
      <c r="L219" s="22" t="s">
        <v>55</v>
      </c>
      <c r="M219" s="22" t="s">
        <v>1316</v>
      </c>
      <c r="N219" s="22" t="s">
        <v>55</v>
      </c>
      <c r="O219" s="22" t="s">
        <v>1533</v>
      </c>
      <c r="P219" s="22" t="s">
        <v>1551</v>
      </c>
      <c r="Q219" s="22" t="s">
        <v>1552</v>
      </c>
      <c r="R219" s="22" t="s">
        <v>55</v>
      </c>
      <c r="S219" s="22" t="s">
        <v>55</v>
      </c>
      <c r="T219" s="22" t="s">
        <v>1553</v>
      </c>
      <c r="U219" s="22" t="s">
        <v>63</v>
      </c>
      <c r="V219" s="23">
        <v>45961</v>
      </c>
      <c r="W219" s="22" t="s">
        <v>55</v>
      </c>
      <c r="X219" s="22" t="s">
        <v>1554</v>
      </c>
      <c r="Y219" s="22" t="s">
        <v>65</v>
      </c>
      <c r="Z219" s="22" t="s">
        <v>55</v>
      </c>
      <c r="AA219" s="22" t="s">
        <v>66</v>
      </c>
      <c r="AB219" s="22" t="s">
        <v>55</v>
      </c>
      <c r="AC219" s="22" t="s">
        <v>55</v>
      </c>
      <c r="AD219" s="22" t="s">
        <v>118</v>
      </c>
      <c r="AE219" s="22" t="s">
        <v>97</v>
      </c>
      <c r="AF219" s="22" t="s">
        <v>98</v>
      </c>
      <c r="AG219" s="22" t="s">
        <v>55</v>
      </c>
      <c r="AH219" s="22" t="s">
        <v>55</v>
      </c>
      <c r="AI219" s="22" t="s">
        <v>55</v>
      </c>
      <c r="AJ219" s="22" t="s">
        <v>55</v>
      </c>
      <c r="AK219" s="22" t="s">
        <v>55</v>
      </c>
      <c r="AL219" s="22" t="s">
        <v>55</v>
      </c>
      <c r="AM219" s="22" t="s">
        <v>55</v>
      </c>
      <c r="AN219" s="22" t="s">
        <v>55</v>
      </c>
      <c r="AO219" s="22" t="s">
        <v>55</v>
      </c>
      <c r="AP219" s="22" t="s">
        <v>55</v>
      </c>
      <c r="AQ219" s="22" t="s">
        <v>55</v>
      </c>
      <c r="AR219" s="22" t="s">
        <v>55</v>
      </c>
      <c r="AS219" s="22" t="s">
        <v>55</v>
      </c>
      <c r="AT219" s="22" t="s">
        <v>55</v>
      </c>
      <c r="AU219" s="22" t="s">
        <v>55</v>
      </c>
      <c r="AV219" s="22" t="s">
        <v>55</v>
      </c>
      <c r="AW219" s="22" t="s">
        <v>55</v>
      </c>
      <c r="AX219" s="22" t="s">
        <v>55</v>
      </c>
      <c r="AY219" s="22" t="s">
        <v>1538</v>
      </c>
    </row>
    <row r="220" spans="1:51" ht="29" x14ac:dyDescent="0.35">
      <c r="A220" s="22" t="s">
        <v>1555</v>
      </c>
      <c r="B220" s="22" t="s">
        <v>347</v>
      </c>
      <c r="C220" s="22" t="s">
        <v>116</v>
      </c>
      <c r="D220" s="22" t="s">
        <v>465</v>
      </c>
      <c r="E220" s="22" t="s">
        <v>52</v>
      </c>
      <c r="F220" s="22" t="s">
        <v>1532</v>
      </c>
      <c r="G220" s="22" t="s">
        <v>126</v>
      </c>
      <c r="H220" s="22" t="s">
        <v>138</v>
      </c>
      <c r="I220" s="22" t="s">
        <v>119</v>
      </c>
      <c r="J220" s="22" t="s">
        <v>242</v>
      </c>
      <c r="K220" s="22" t="s">
        <v>544</v>
      </c>
      <c r="L220" s="22" t="s">
        <v>55</v>
      </c>
      <c r="M220" s="22" t="s">
        <v>122</v>
      </c>
      <c r="N220" s="22" t="s">
        <v>55</v>
      </c>
      <c r="O220" s="22" t="s">
        <v>1533</v>
      </c>
      <c r="P220" s="22" t="s">
        <v>1556</v>
      </c>
      <c r="Q220" s="22" t="s">
        <v>1557</v>
      </c>
      <c r="R220" s="22" t="s">
        <v>55</v>
      </c>
      <c r="S220" s="22" t="s">
        <v>55</v>
      </c>
      <c r="T220" s="22" t="s">
        <v>1558</v>
      </c>
      <c r="U220" s="22" t="s">
        <v>63</v>
      </c>
      <c r="V220" s="23">
        <v>46022</v>
      </c>
      <c r="W220" s="22" t="s">
        <v>55</v>
      </c>
      <c r="X220" s="22" t="s">
        <v>1559</v>
      </c>
      <c r="Y220" s="22" t="s">
        <v>65</v>
      </c>
      <c r="Z220" s="22" t="s">
        <v>55</v>
      </c>
      <c r="AA220" s="22" t="s">
        <v>221</v>
      </c>
      <c r="AB220" s="22" t="s">
        <v>55</v>
      </c>
      <c r="AC220" s="22" t="s">
        <v>55</v>
      </c>
      <c r="AD220" s="22" t="s">
        <v>118</v>
      </c>
      <c r="AE220" s="22" t="s">
        <v>97</v>
      </c>
      <c r="AF220" s="22" t="s">
        <v>123</v>
      </c>
      <c r="AG220" s="22" t="s">
        <v>55</v>
      </c>
      <c r="AH220" s="22" t="s">
        <v>55</v>
      </c>
      <c r="AI220" s="22" t="s">
        <v>55</v>
      </c>
      <c r="AJ220" s="22" t="s">
        <v>55</v>
      </c>
      <c r="AK220" s="22" t="s">
        <v>55</v>
      </c>
      <c r="AL220" s="22" t="s">
        <v>55</v>
      </c>
      <c r="AM220" s="22" t="s">
        <v>55</v>
      </c>
      <c r="AN220" s="22" t="s">
        <v>55</v>
      </c>
      <c r="AO220" s="22" t="s">
        <v>55</v>
      </c>
      <c r="AP220" s="22" t="s">
        <v>55</v>
      </c>
      <c r="AQ220" s="22" t="s">
        <v>55</v>
      </c>
      <c r="AR220" s="22" t="s">
        <v>55</v>
      </c>
      <c r="AS220" s="22" t="s">
        <v>55</v>
      </c>
      <c r="AT220" s="22" t="s">
        <v>55</v>
      </c>
      <c r="AU220" s="22" t="s">
        <v>55</v>
      </c>
      <c r="AV220" s="22" t="s">
        <v>55</v>
      </c>
      <c r="AW220" s="22" t="s">
        <v>55</v>
      </c>
      <c r="AX220" s="22" t="s">
        <v>55</v>
      </c>
      <c r="AY220" s="22" t="s">
        <v>1538</v>
      </c>
    </row>
    <row r="221" spans="1:51" ht="43.5" x14ac:dyDescent="0.35">
      <c r="A221" s="22" t="s">
        <v>1560</v>
      </c>
      <c r="B221" s="22" t="s">
        <v>347</v>
      </c>
      <c r="C221" s="22" t="s">
        <v>116</v>
      </c>
      <c r="D221" s="22" t="s">
        <v>465</v>
      </c>
      <c r="E221" s="22" t="s">
        <v>52</v>
      </c>
      <c r="F221" s="22" t="s">
        <v>1561</v>
      </c>
      <c r="G221" s="22" t="s">
        <v>54</v>
      </c>
      <c r="H221" s="22" t="s">
        <v>1711</v>
      </c>
      <c r="I221" s="22" t="s">
        <v>119</v>
      </c>
      <c r="J221" s="22" t="s">
        <v>1384</v>
      </c>
      <c r="K221" s="22" t="s">
        <v>603</v>
      </c>
      <c r="L221" s="22" t="s">
        <v>55</v>
      </c>
      <c r="M221" s="22" t="s">
        <v>1386</v>
      </c>
      <c r="N221" s="22" t="s">
        <v>55</v>
      </c>
      <c r="O221" s="22" t="s">
        <v>1562</v>
      </c>
      <c r="P221" s="22" t="s">
        <v>1563</v>
      </c>
      <c r="Q221" s="22" t="s">
        <v>1564</v>
      </c>
      <c r="R221" s="22" t="s">
        <v>55</v>
      </c>
      <c r="S221" s="22" t="s">
        <v>55</v>
      </c>
      <c r="T221" s="22" t="s">
        <v>1565</v>
      </c>
      <c r="U221" s="22" t="s">
        <v>63</v>
      </c>
      <c r="V221" s="23">
        <v>46022</v>
      </c>
      <c r="W221" s="22" t="s">
        <v>55</v>
      </c>
      <c r="X221" s="22" t="s">
        <v>1566</v>
      </c>
      <c r="Y221" s="22" t="s">
        <v>65</v>
      </c>
      <c r="Z221" s="22" t="s">
        <v>55</v>
      </c>
      <c r="AA221" s="22" t="s">
        <v>221</v>
      </c>
      <c r="AB221" s="22" t="s">
        <v>55</v>
      </c>
      <c r="AC221" s="22" t="s">
        <v>55</v>
      </c>
      <c r="AD221" s="22" t="s">
        <v>118</v>
      </c>
      <c r="AE221" s="22" t="s">
        <v>97</v>
      </c>
      <c r="AF221" s="22" t="s">
        <v>1238</v>
      </c>
      <c r="AG221" s="22" t="s">
        <v>55</v>
      </c>
      <c r="AH221" s="22" t="s">
        <v>55</v>
      </c>
      <c r="AI221" s="22" t="s">
        <v>55</v>
      </c>
      <c r="AJ221" s="22" t="s">
        <v>55</v>
      </c>
      <c r="AK221" s="22" t="s">
        <v>55</v>
      </c>
      <c r="AL221" s="22" t="s">
        <v>55</v>
      </c>
      <c r="AM221" s="22" t="s">
        <v>55</v>
      </c>
      <c r="AN221" s="22" t="s">
        <v>55</v>
      </c>
      <c r="AO221" s="22" t="s">
        <v>55</v>
      </c>
      <c r="AP221" s="22" t="s">
        <v>55</v>
      </c>
      <c r="AQ221" s="22" t="s">
        <v>55</v>
      </c>
      <c r="AR221" s="22" t="s">
        <v>55</v>
      </c>
      <c r="AS221" s="22" t="s">
        <v>55</v>
      </c>
      <c r="AT221" s="22" t="s">
        <v>55</v>
      </c>
      <c r="AU221" s="22" t="s">
        <v>55</v>
      </c>
      <c r="AV221" s="22" t="s">
        <v>55</v>
      </c>
      <c r="AW221" s="22" t="s">
        <v>55</v>
      </c>
      <c r="AX221" s="22" t="s">
        <v>55</v>
      </c>
      <c r="AY221" s="22" t="s">
        <v>1538</v>
      </c>
    </row>
    <row r="222" spans="1:51" ht="43.5" x14ac:dyDescent="0.35">
      <c r="A222" s="22" t="s">
        <v>1567</v>
      </c>
      <c r="B222" s="22" t="s">
        <v>347</v>
      </c>
      <c r="C222" s="22" t="s">
        <v>116</v>
      </c>
      <c r="D222" s="22" t="s">
        <v>465</v>
      </c>
      <c r="E222" s="22" t="s">
        <v>52</v>
      </c>
      <c r="F222" s="22" t="s">
        <v>611</v>
      </c>
      <c r="G222" s="22" t="s">
        <v>54</v>
      </c>
      <c r="H222" s="22" t="s">
        <v>1719</v>
      </c>
      <c r="I222" s="22" t="s">
        <v>121</v>
      </c>
      <c r="J222" s="22" t="s">
        <v>223</v>
      </c>
      <c r="K222" s="22" t="s">
        <v>868</v>
      </c>
      <c r="L222" s="22" t="s">
        <v>55</v>
      </c>
      <c r="M222" s="22" t="s">
        <v>1233</v>
      </c>
      <c r="N222" s="22" t="s">
        <v>55</v>
      </c>
      <c r="O222" s="22" t="s">
        <v>1444</v>
      </c>
      <c r="P222" s="22" t="s">
        <v>1568</v>
      </c>
      <c r="Q222" s="22" t="s">
        <v>1569</v>
      </c>
      <c r="R222" s="22" t="s">
        <v>55</v>
      </c>
      <c r="S222" s="22" t="s">
        <v>55</v>
      </c>
      <c r="T222" s="22" t="s">
        <v>1570</v>
      </c>
      <c r="U222" s="22" t="s">
        <v>63</v>
      </c>
      <c r="V222" s="23">
        <v>46022</v>
      </c>
      <c r="W222" s="22" t="s">
        <v>55</v>
      </c>
      <c r="X222" s="22" t="s">
        <v>1571</v>
      </c>
      <c r="Y222" s="22" t="s">
        <v>65</v>
      </c>
      <c r="Z222" s="22" t="s">
        <v>55</v>
      </c>
      <c r="AA222" s="22" t="s">
        <v>221</v>
      </c>
      <c r="AB222" s="22" t="s">
        <v>55</v>
      </c>
      <c r="AC222" s="22" t="s">
        <v>55</v>
      </c>
      <c r="AD222" s="22" t="s">
        <v>118</v>
      </c>
      <c r="AE222" s="22" t="s">
        <v>97</v>
      </c>
      <c r="AF222" s="22" t="s">
        <v>1238</v>
      </c>
      <c r="AG222" s="22" t="s">
        <v>55</v>
      </c>
      <c r="AH222" s="22" t="s">
        <v>55</v>
      </c>
      <c r="AI222" s="22" t="s">
        <v>55</v>
      </c>
      <c r="AJ222" s="22" t="s">
        <v>55</v>
      </c>
      <c r="AK222" s="22" t="s">
        <v>55</v>
      </c>
      <c r="AL222" s="22" t="s">
        <v>55</v>
      </c>
      <c r="AM222" s="22" t="s">
        <v>55</v>
      </c>
      <c r="AN222" s="22" t="s">
        <v>55</v>
      </c>
      <c r="AO222" s="22" t="s">
        <v>55</v>
      </c>
      <c r="AP222" s="22" t="s">
        <v>55</v>
      </c>
      <c r="AQ222" s="22" t="s">
        <v>55</v>
      </c>
      <c r="AR222" s="22" t="s">
        <v>55</v>
      </c>
      <c r="AS222" s="22" t="s">
        <v>55</v>
      </c>
      <c r="AT222" s="22" t="s">
        <v>55</v>
      </c>
      <c r="AU222" s="22" t="s">
        <v>55</v>
      </c>
      <c r="AV222" s="22" t="s">
        <v>55</v>
      </c>
      <c r="AW222" s="22" t="s">
        <v>55</v>
      </c>
      <c r="AX222" s="22" t="s">
        <v>55</v>
      </c>
      <c r="AY222" s="22" t="s">
        <v>1538</v>
      </c>
    </row>
    <row r="223" spans="1:51" ht="72.5" x14ac:dyDescent="0.35">
      <c r="A223" s="22" t="s">
        <v>1572</v>
      </c>
      <c r="B223" s="22" t="s">
        <v>347</v>
      </c>
      <c r="C223" s="22" t="s">
        <v>116</v>
      </c>
      <c r="D223" s="22" t="s">
        <v>465</v>
      </c>
      <c r="E223" s="22" t="s">
        <v>52</v>
      </c>
      <c r="F223" s="22" t="s">
        <v>1413</v>
      </c>
      <c r="G223" s="22" t="s">
        <v>54</v>
      </c>
      <c r="H223" s="22" t="s">
        <v>1713</v>
      </c>
      <c r="I223" s="22" t="s">
        <v>117</v>
      </c>
      <c r="J223" s="22" t="s">
        <v>842</v>
      </c>
      <c r="K223" s="22" t="s">
        <v>576</v>
      </c>
      <c r="L223" s="22" t="s">
        <v>55</v>
      </c>
      <c r="M223" s="22" t="s">
        <v>1573</v>
      </c>
      <c r="N223" s="22" t="s">
        <v>55</v>
      </c>
      <c r="O223" s="22" t="s">
        <v>1574</v>
      </c>
      <c r="P223" s="22" t="s">
        <v>1575</v>
      </c>
      <c r="Q223" s="22" t="s">
        <v>1575</v>
      </c>
      <c r="R223" s="22" t="s">
        <v>55</v>
      </c>
      <c r="S223" s="22" t="s">
        <v>55</v>
      </c>
      <c r="T223" s="22" t="s">
        <v>1576</v>
      </c>
      <c r="U223" s="22" t="s">
        <v>63</v>
      </c>
      <c r="V223" s="23">
        <v>45961</v>
      </c>
      <c r="W223" s="22" t="s">
        <v>55</v>
      </c>
      <c r="X223" s="22" t="s">
        <v>1577</v>
      </c>
      <c r="Y223" s="22" t="s">
        <v>65</v>
      </c>
      <c r="Z223" s="22" t="s">
        <v>55</v>
      </c>
      <c r="AA223" s="22" t="s">
        <v>66</v>
      </c>
      <c r="AB223" s="22" t="s">
        <v>55</v>
      </c>
      <c r="AC223" s="22" t="s">
        <v>55</v>
      </c>
      <c r="AD223" s="22" t="s">
        <v>118</v>
      </c>
      <c r="AE223" s="22" t="s">
        <v>97</v>
      </c>
      <c r="AF223" s="22" t="s">
        <v>1578</v>
      </c>
      <c r="AG223" s="22" t="s">
        <v>55</v>
      </c>
      <c r="AH223" s="22" t="s">
        <v>55</v>
      </c>
      <c r="AI223" s="22" t="s">
        <v>55</v>
      </c>
      <c r="AJ223" s="22" t="s">
        <v>55</v>
      </c>
      <c r="AK223" s="22" t="s">
        <v>55</v>
      </c>
      <c r="AL223" s="22" t="s">
        <v>55</v>
      </c>
      <c r="AM223" s="22" t="s">
        <v>55</v>
      </c>
      <c r="AN223" s="22" t="s">
        <v>55</v>
      </c>
      <c r="AO223" s="22" t="s">
        <v>55</v>
      </c>
      <c r="AP223" s="22" t="s">
        <v>55</v>
      </c>
      <c r="AQ223" s="22" t="s">
        <v>55</v>
      </c>
      <c r="AR223" s="22" t="s">
        <v>55</v>
      </c>
      <c r="AS223" s="22" t="s">
        <v>55</v>
      </c>
      <c r="AT223" s="22" t="s">
        <v>55</v>
      </c>
      <c r="AU223" s="22" t="s">
        <v>55</v>
      </c>
      <c r="AV223" s="22" t="s">
        <v>55</v>
      </c>
      <c r="AW223" s="22" t="s">
        <v>55</v>
      </c>
      <c r="AX223" s="22" t="s">
        <v>55</v>
      </c>
      <c r="AY223" s="22" t="s">
        <v>1538</v>
      </c>
    </row>
    <row r="224" spans="1:51" ht="72.5" x14ac:dyDescent="0.35">
      <c r="A224" s="22" t="s">
        <v>1579</v>
      </c>
      <c r="B224" s="22" t="s">
        <v>347</v>
      </c>
      <c r="C224" s="22" t="s">
        <v>116</v>
      </c>
      <c r="D224" s="22" t="s">
        <v>465</v>
      </c>
      <c r="E224" s="22" t="s">
        <v>52</v>
      </c>
      <c r="F224" s="22" t="s">
        <v>1413</v>
      </c>
      <c r="G224" s="22" t="s">
        <v>54</v>
      </c>
      <c r="H224" s="22" t="s">
        <v>1713</v>
      </c>
      <c r="I224" s="22" t="s">
        <v>119</v>
      </c>
      <c r="J224" s="22" t="s">
        <v>242</v>
      </c>
      <c r="K224" s="22" t="s">
        <v>552</v>
      </c>
      <c r="L224" s="22" t="s">
        <v>55</v>
      </c>
      <c r="M224" s="22" t="s">
        <v>243</v>
      </c>
      <c r="N224" s="22" t="s">
        <v>55</v>
      </c>
      <c r="O224" s="22" t="s">
        <v>1574</v>
      </c>
      <c r="P224" s="22" t="s">
        <v>1580</v>
      </c>
      <c r="Q224" s="22" t="s">
        <v>1581</v>
      </c>
      <c r="R224" s="22" t="s">
        <v>55</v>
      </c>
      <c r="S224" s="22" t="s">
        <v>55</v>
      </c>
      <c r="T224" s="22" t="s">
        <v>1582</v>
      </c>
      <c r="U224" s="22" t="s">
        <v>63</v>
      </c>
      <c r="V224" s="23">
        <v>46006</v>
      </c>
      <c r="W224" s="22" t="s">
        <v>55</v>
      </c>
      <c r="X224" s="22" t="s">
        <v>1583</v>
      </c>
      <c r="Y224" s="22" t="s">
        <v>65</v>
      </c>
      <c r="Z224" s="22" t="s">
        <v>55</v>
      </c>
      <c r="AA224" s="22" t="s">
        <v>152</v>
      </c>
      <c r="AB224" s="22" t="s">
        <v>55</v>
      </c>
      <c r="AC224" s="22" t="s">
        <v>55</v>
      </c>
      <c r="AD224" s="22" t="s">
        <v>118</v>
      </c>
      <c r="AE224" s="22" t="s">
        <v>97</v>
      </c>
      <c r="AF224" s="22" t="s">
        <v>92</v>
      </c>
      <c r="AG224" s="22" t="s">
        <v>55</v>
      </c>
      <c r="AH224" s="22" t="s">
        <v>55</v>
      </c>
      <c r="AI224" s="22" t="s">
        <v>55</v>
      </c>
      <c r="AJ224" s="22" t="s">
        <v>55</v>
      </c>
      <c r="AK224" s="22" t="s">
        <v>55</v>
      </c>
      <c r="AL224" s="22" t="s">
        <v>55</v>
      </c>
      <c r="AM224" s="22" t="s">
        <v>55</v>
      </c>
      <c r="AN224" s="22" t="s">
        <v>55</v>
      </c>
      <c r="AO224" s="22" t="s">
        <v>55</v>
      </c>
      <c r="AP224" s="22" t="s">
        <v>55</v>
      </c>
      <c r="AQ224" s="22" t="s">
        <v>55</v>
      </c>
      <c r="AR224" s="22" t="s">
        <v>55</v>
      </c>
      <c r="AS224" s="22" t="s">
        <v>55</v>
      </c>
      <c r="AT224" s="22" t="s">
        <v>55</v>
      </c>
      <c r="AU224" s="22" t="s">
        <v>55</v>
      </c>
      <c r="AV224" s="22" t="s">
        <v>55</v>
      </c>
      <c r="AW224" s="22" t="s">
        <v>55</v>
      </c>
      <c r="AX224" s="22" t="s">
        <v>55</v>
      </c>
      <c r="AY224" s="22" t="s">
        <v>1584</v>
      </c>
    </row>
    <row r="225" spans="1:51" ht="29" x14ac:dyDescent="0.35">
      <c r="A225" s="22" t="s">
        <v>1586</v>
      </c>
      <c r="B225" s="22" t="s">
        <v>347</v>
      </c>
      <c r="C225" s="22" t="s">
        <v>116</v>
      </c>
      <c r="D225" s="22" t="s">
        <v>465</v>
      </c>
      <c r="E225" s="22" t="s">
        <v>52</v>
      </c>
      <c r="F225" s="22" t="s">
        <v>300</v>
      </c>
      <c r="G225" s="22" t="s">
        <v>126</v>
      </c>
      <c r="H225" s="22" t="s">
        <v>157</v>
      </c>
      <c r="I225" s="22" t="s">
        <v>160</v>
      </c>
      <c r="J225" s="22" t="s">
        <v>160</v>
      </c>
      <c r="K225" s="22" t="s">
        <v>600</v>
      </c>
      <c r="L225" s="22" t="s">
        <v>55</v>
      </c>
      <c r="M225" s="22" t="s">
        <v>161</v>
      </c>
      <c r="N225" s="22" t="s">
        <v>55</v>
      </c>
      <c r="O225" s="22" t="s">
        <v>1587</v>
      </c>
      <c r="P225" s="22" t="s">
        <v>1588</v>
      </c>
      <c r="Q225" s="22" t="s">
        <v>1589</v>
      </c>
      <c r="R225" s="22" t="s">
        <v>55</v>
      </c>
      <c r="S225" s="22" t="s">
        <v>55</v>
      </c>
      <c r="T225" s="22" t="s">
        <v>1590</v>
      </c>
      <c r="U225" s="22" t="s">
        <v>132</v>
      </c>
      <c r="V225" s="23">
        <v>46081</v>
      </c>
      <c r="W225" s="22" t="s">
        <v>55</v>
      </c>
      <c r="X225" s="22" t="s">
        <v>1591</v>
      </c>
      <c r="Y225" s="22" t="s">
        <v>65</v>
      </c>
      <c r="Z225" s="22" t="s">
        <v>55</v>
      </c>
      <c r="AA225" s="22" t="s">
        <v>155</v>
      </c>
      <c r="AB225" s="22" t="s">
        <v>55</v>
      </c>
      <c r="AC225" s="22" t="s">
        <v>55</v>
      </c>
      <c r="AD225" s="22" t="s">
        <v>118</v>
      </c>
      <c r="AE225" s="22" t="s">
        <v>97</v>
      </c>
      <c r="AF225" s="22" t="s">
        <v>69</v>
      </c>
      <c r="AG225" s="22" t="s">
        <v>55</v>
      </c>
      <c r="AH225" s="22" t="s">
        <v>55</v>
      </c>
      <c r="AI225" s="22" t="s">
        <v>55</v>
      </c>
      <c r="AJ225" s="22" t="s">
        <v>55</v>
      </c>
      <c r="AK225" s="22" t="s">
        <v>55</v>
      </c>
      <c r="AL225" s="22" t="s">
        <v>55</v>
      </c>
      <c r="AM225" s="22" t="s">
        <v>55</v>
      </c>
      <c r="AN225" s="22" t="s">
        <v>55</v>
      </c>
      <c r="AO225" s="22" t="s">
        <v>55</v>
      </c>
      <c r="AP225" s="22" t="s">
        <v>55</v>
      </c>
      <c r="AQ225" s="22" t="s">
        <v>55</v>
      </c>
      <c r="AR225" s="22" t="s">
        <v>55</v>
      </c>
      <c r="AS225" s="22" t="s">
        <v>55</v>
      </c>
      <c r="AT225" s="22" t="s">
        <v>55</v>
      </c>
      <c r="AU225" s="22" t="s">
        <v>55</v>
      </c>
      <c r="AV225" s="22" t="s">
        <v>55</v>
      </c>
      <c r="AW225" s="22" t="s">
        <v>55</v>
      </c>
      <c r="AX225" s="22" t="s">
        <v>55</v>
      </c>
      <c r="AY225" s="22" t="s">
        <v>1584</v>
      </c>
    </row>
    <row r="226" spans="1:51" ht="58" x14ac:dyDescent="0.35">
      <c r="A226" s="22" t="s">
        <v>1592</v>
      </c>
      <c r="B226" s="22" t="s">
        <v>347</v>
      </c>
      <c r="C226" s="22" t="s">
        <v>116</v>
      </c>
      <c r="D226" s="22" t="s">
        <v>465</v>
      </c>
      <c r="E226" s="22" t="s">
        <v>52</v>
      </c>
      <c r="F226" s="22" t="s">
        <v>1420</v>
      </c>
      <c r="G226" s="22" t="s">
        <v>54</v>
      </c>
      <c r="H226" s="22" t="s">
        <v>1716</v>
      </c>
      <c r="I226" s="22" t="s">
        <v>117</v>
      </c>
      <c r="J226" s="22" t="s">
        <v>819</v>
      </c>
      <c r="K226" s="22" t="s">
        <v>576</v>
      </c>
      <c r="L226" s="22" t="s">
        <v>55</v>
      </c>
      <c r="M226" s="22" t="s">
        <v>577</v>
      </c>
      <c r="N226" s="22" t="s">
        <v>55</v>
      </c>
      <c r="O226" s="22" t="s">
        <v>1593</v>
      </c>
      <c r="P226" s="22" t="s">
        <v>1594</v>
      </c>
      <c r="Q226" s="22" t="s">
        <v>1594</v>
      </c>
      <c r="R226" s="22" t="s">
        <v>55</v>
      </c>
      <c r="S226" s="22" t="s">
        <v>55</v>
      </c>
      <c r="T226" s="22" t="s">
        <v>1595</v>
      </c>
      <c r="U226" s="22" t="s">
        <v>63</v>
      </c>
      <c r="V226" s="23">
        <v>45961</v>
      </c>
      <c r="W226" s="22" t="s">
        <v>55</v>
      </c>
      <c r="X226" s="22" t="s">
        <v>1430</v>
      </c>
      <c r="Y226" s="22" t="s">
        <v>65</v>
      </c>
      <c r="Z226" s="22" t="s">
        <v>55</v>
      </c>
      <c r="AA226" s="22" t="s">
        <v>66</v>
      </c>
      <c r="AB226" s="22" t="s">
        <v>55</v>
      </c>
      <c r="AC226" s="22" t="s">
        <v>55</v>
      </c>
      <c r="AD226" s="22" t="s">
        <v>118</v>
      </c>
      <c r="AE226" s="22" t="s">
        <v>97</v>
      </c>
      <c r="AF226" s="22" t="s">
        <v>583</v>
      </c>
      <c r="AG226" s="22" t="s">
        <v>55</v>
      </c>
      <c r="AH226" s="22" t="s">
        <v>55</v>
      </c>
      <c r="AI226" s="22" t="s">
        <v>55</v>
      </c>
      <c r="AJ226" s="22" t="s">
        <v>55</v>
      </c>
      <c r="AK226" s="22" t="s">
        <v>55</v>
      </c>
      <c r="AL226" s="22" t="s">
        <v>55</v>
      </c>
      <c r="AM226" s="22" t="s">
        <v>55</v>
      </c>
      <c r="AN226" s="22" t="s">
        <v>55</v>
      </c>
      <c r="AO226" s="22" t="s">
        <v>55</v>
      </c>
      <c r="AP226" s="22" t="s">
        <v>55</v>
      </c>
      <c r="AQ226" s="22" t="s">
        <v>55</v>
      </c>
      <c r="AR226" s="22" t="s">
        <v>55</v>
      </c>
      <c r="AS226" s="22" t="s">
        <v>55</v>
      </c>
      <c r="AT226" s="22" t="s">
        <v>55</v>
      </c>
      <c r="AU226" s="22" t="s">
        <v>55</v>
      </c>
      <c r="AV226" s="22" t="s">
        <v>55</v>
      </c>
      <c r="AW226" s="22" t="s">
        <v>55</v>
      </c>
      <c r="AX226" s="22" t="s">
        <v>55</v>
      </c>
      <c r="AY226" s="22" t="s">
        <v>1584</v>
      </c>
    </row>
    <row r="227" spans="1:51" ht="43.5" x14ac:dyDescent="0.35">
      <c r="A227" s="22" t="s">
        <v>1596</v>
      </c>
      <c r="B227" s="22" t="s">
        <v>347</v>
      </c>
      <c r="C227" s="22" t="s">
        <v>116</v>
      </c>
      <c r="D227" s="22" t="s">
        <v>465</v>
      </c>
      <c r="E227" s="22" t="s">
        <v>52</v>
      </c>
      <c r="F227" s="22" t="s">
        <v>1420</v>
      </c>
      <c r="G227" s="22" t="s">
        <v>54</v>
      </c>
      <c r="H227" s="22" t="s">
        <v>1716</v>
      </c>
      <c r="I227" s="22" t="s">
        <v>121</v>
      </c>
      <c r="J227" s="22" t="s">
        <v>843</v>
      </c>
      <c r="K227" s="22" t="s">
        <v>561</v>
      </c>
      <c r="L227" s="22" t="s">
        <v>55</v>
      </c>
      <c r="M227" s="22" t="s">
        <v>1316</v>
      </c>
      <c r="N227" s="22" t="s">
        <v>55</v>
      </c>
      <c r="O227" s="22" t="s">
        <v>1593</v>
      </c>
      <c r="P227" s="22" t="s">
        <v>1597</v>
      </c>
      <c r="Q227" s="22" t="s">
        <v>1597</v>
      </c>
      <c r="R227" s="22" t="s">
        <v>55</v>
      </c>
      <c r="S227" s="22" t="s">
        <v>55</v>
      </c>
      <c r="T227" s="22" t="s">
        <v>1598</v>
      </c>
      <c r="U227" s="22" t="s">
        <v>63</v>
      </c>
      <c r="V227" s="23">
        <v>46022</v>
      </c>
      <c r="W227" s="22" t="s">
        <v>55</v>
      </c>
      <c r="X227" s="22" t="s">
        <v>1599</v>
      </c>
      <c r="Y227" s="22" t="s">
        <v>65</v>
      </c>
      <c r="Z227" s="22" t="s">
        <v>55</v>
      </c>
      <c r="AA227" s="22" t="s">
        <v>221</v>
      </c>
      <c r="AB227" s="22" t="s">
        <v>55</v>
      </c>
      <c r="AC227" s="22" t="s">
        <v>55</v>
      </c>
      <c r="AD227" s="22" t="s">
        <v>118</v>
      </c>
      <c r="AE227" s="22" t="s">
        <v>97</v>
      </c>
      <c r="AF227" s="22" t="s">
        <v>98</v>
      </c>
      <c r="AG227" s="22" t="s">
        <v>55</v>
      </c>
      <c r="AH227" s="22" t="s">
        <v>55</v>
      </c>
      <c r="AI227" s="22" t="s">
        <v>55</v>
      </c>
      <c r="AJ227" s="22" t="s">
        <v>55</v>
      </c>
      <c r="AK227" s="22" t="s">
        <v>55</v>
      </c>
      <c r="AL227" s="22" t="s">
        <v>55</v>
      </c>
      <c r="AM227" s="22" t="s">
        <v>55</v>
      </c>
      <c r="AN227" s="22" t="s">
        <v>55</v>
      </c>
      <c r="AO227" s="22" t="s">
        <v>55</v>
      </c>
      <c r="AP227" s="22" t="s">
        <v>55</v>
      </c>
      <c r="AQ227" s="22" t="s">
        <v>55</v>
      </c>
      <c r="AR227" s="22" t="s">
        <v>55</v>
      </c>
      <c r="AS227" s="22" t="s">
        <v>55</v>
      </c>
      <c r="AT227" s="22" t="s">
        <v>55</v>
      </c>
      <c r="AU227" s="22" t="s">
        <v>55</v>
      </c>
      <c r="AV227" s="22" t="s">
        <v>55</v>
      </c>
      <c r="AW227" s="22" t="s">
        <v>55</v>
      </c>
      <c r="AX227" s="22" t="s">
        <v>55</v>
      </c>
      <c r="AY227" s="22" t="s">
        <v>1584</v>
      </c>
    </row>
    <row r="228" spans="1:51" ht="58" x14ac:dyDescent="0.35">
      <c r="A228" s="22" t="s">
        <v>1600</v>
      </c>
      <c r="B228" s="22" t="s">
        <v>347</v>
      </c>
      <c r="C228" s="22" t="s">
        <v>116</v>
      </c>
      <c r="D228" s="22" t="s">
        <v>465</v>
      </c>
      <c r="E228" s="22" t="s">
        <v>52</v>
      </c>
      <c r="F228" s="22" t="s">
        <v>1420</v>
      </c>
      <c r="G228" s="22" t="s">
        <v>54</v>
      </c>
      <c r="H228" s="22" t="s">
        <v>1716</v>
      </c>
      <c r="I228" s="22" t="s">
        <v>119</v>
      </c>
      <c r="J228" s="22" t="s">
        <v>242</v>
      </c>
      <c r="K228" s="22" t="s">
        <v>552</v>
      </c>
      <c r="L228" s="22" t="s">
        <v>55</v>
      </c>
      <c r="M228" s="22" t="s">
        <v>243</v>
      </c>
      <c r="N228" s="22" t="s">
        <v>55</v>
      </c>
      <c r="O228" s="22" t="s">
        <v>1593</v>
      </c>
      <c r="P228" s="22" t="s">
        <v>1601</v>
      </c>
      <c r="Q228" s="22" t="s">
        <v>1601</v>
      </c>
      <c r="R228" s="22" t="s">
        <v>55</v>
      </c>
      <c r="S228" s="22" t="s">
        <v>55</v>
      </c>
      <c r="T228" s="22" t="s">
        <v>1602</v>
      </c>
      <c r="U228" s="22" t="s">
        <v>63</v>
      </c>
      <c r="V228" s="23">
        <v>46022</v>
      </c>
      <c r="W228" s="22" t="s">
        <v>55</v>
      </c>
      <c r="X228" s="22" t="s">
        <v>1436</v>
      </c>
      <c r="Y228" s="22" t="s">
        <v>65</v>
      </c>
      <c r="Z228" s="22" t="s">
        <v>55</v>
      </c>
      <c r="AA228" s="22" t="s">
        <v>221</v>
      </c>
      <c r="AB228" s="22" t="s">
        <v>55</v>
      </c>
      <c r="AC228" s="22" t="s">
        <v>55</v>
      </c>
      <c r="AD228" s="22" t="s">
        <v>118</v>
      </c>
      <c r="AE228" s="22" t="s">
        <v>97</v>
      </c>
      <c r="AF228" s="22" t="s">
        <v>92</v>
      </c>
      <c r="AG228" s="22" t="s">
        <v>55</v>
      </c>
      <c r="AH228" s="22" t="s">
        <v>55</v>
      </c>
      <c r="AI228" s="22" t="s">
        <v>55</v>
      </c>
      <c r="AJ228" s="22" t="s">
        <v>55</v>
      </c>
      <c r="AK228" s="22" t="s">
        <v>55</v>
      </c>
      <c r="AL228" s="22" t="s">
        <v>55</v>
      </c>
      <c r="AM228" s="22" t="s">
        <v>55</v>
      </c>
      <c r="AN228" s="22" t="s">
        <v>55</v>
      </c>
      <c r="AO228" s="22" t="s">
        <v>55</v>
      </c>
      <c r="AP228" s="22" t="s">
        <v>55</v>
      </c>
      <c r="AQ228" s="22" t="s">
        <v>55</v>
      </c>
      <c r="AR228" s="22" t="s">
        <v>55</v>
      </c>
      <c r="AS228" s="22" t="s">
        <v>55</v>
      </c>
      <c r="AT228" s="22" t="s">
        <v>55</v>
      </c>
      <c r="AU228" s="22" t="s">
        <v>55</v>
      </c>
      <c r="AV228" s="22" t="s">
        <v>55</v>
      </c>
      <c r="AW228" s="22" t="s">
        <v>55</v>
      </c>
      <c r="AX228" s="22" t="s">
        <v>55</v>
      </c>
      <c r="AY228" s="22" t="s">
        <v>1584</v>
      </c>
    </row>
    <row r="229" spans="1:51" ht="29" x14ac:dyDescent="0.35">
      <c r="A229" s="22" t="s">
        <v>1603</v>
      </c>
      <c r="B229" s="22" t="s">
        <v>347</v>
      </c>
      <c r="C229" s="22" t="s">
        <v>116</v>
      </c>
      <c r="D229" s="22" t="s">
        <v>465</v>
      </c>
      <c r="E229" s="22" t="s">
        <v>52</v>
      </c>
      <c r="F229" s="22" t="s">
        <v>1604</v>
      </c>
      <c r="G229" s="22" t="s">
        <v>606</v>
      </c>
      <c r="H229" s="22" t="s">
        <v>607</v>
      </c>
      <c r="I229" s="22" t="s">
        <v>117</v>
      </c>
      <c r="J229" s="22" t="s">
        <v>842</v>
      </c>
      <c r="K229" s="22" t="s">
        <v>868</v>
      </c>
      <c r="L229" s="22" t="s">
        <v>55</v>
      </c>
      <c r="M229" s="22" t="s">
        <v>703</v>
      </c>
      <c r="N229" s="22" t="s">
        <v>55</v>
      </c>
      <c r="O229" s="22" t="s">
        <v>1605</v>
      </c>
      <c r="P229" s="22" t="s">
        <v>1606</v>
      </c>
      <c r="Q229" s="22" t="s">
        <v>1607</v>
      </c>
      <c r="R229" s="22" t="s">
        <v>55</v>
      </c>
      <c r="S229" s="22" t="s">
        <v>55</v>
      </c>
      <c r="T229" s="22" t="s">
        <v>1608</v>
      </c>
      <c r="U229" s="22" t="s">
        <v>63</v>
      </c>
      <c r="V229" s="23">
        <v>45991</v>
      </c>
      <c r="W229" s="22" t="s">
        <v>55</v>
      </c>
      <c r="X229" s="22" t="s">
        <v>1609</v>
      </c>
      <c r="Y229" s="22" t="s">
        <v>65</v>
      </c>
      <c r="Z229" s="22" t="s">
        <v>55</v>
      </c>
      <c r="AA229" s="22" t="s">
        <v>152</v>
      </c>
      <c r="AB229" s="22" t="s">
        <v>55</v>
      </c>
      <c r="AC229" s="22" t="s">
        <v>55</v>
      </c>
      <c r="AD229" s="22" t="s">
        <v>118</v>
      </c>
      <c r="AE229" s="22" t="s">
        <v>97</v>
      </c>
      <c r="AF229" s="22" t="s">
        <v>98</v>
      </c>
      <c r="AG229" s="22" t="s">
        <v>55</v>
      </c>
      <c r="AH229" s="22" t="s">
        <v>55</v>
      </c>
      <c r="AI229" s="22" t="s">
        <v>55</v>
      </c>
      <c r="AJ229" s="22" t="s">
        <v>55</v>
      </c>
      <c r="AK229" s="22" t="s">
        <v>55</v>
      </c>
      <c r="AL229" s="22" t="s">
        <v>55</v>
      </c>
      <c r="AM229" s="22" t="s">
        <v>55</v>
      </c>
      <c r="AN229" s="22" t="s">
        <v>55</v>
      </c>
      <c r="AO229" s="22" t="s">
        <v>55</v>
      </c>
      <c r="AP229" s="22" t="s">
        <v>55</v>
      </c>
      <c r="AQ229" s="22" t="s">
        <v>55</v>
      </c>
      <c r="AR229" s="22" t="s">
        <v>55</v>
      </c>
      <c r="AS229" s="22" t="s">
        <v>55</v>
      </c>
      <c r="AT229" s="22" t="s">
        <v>55</v>
      </c>
      <c r="AU229" s="22" t="s">
        <v>55</v>
      </c>
      <c r="AV229" s="22" t="s">
        <v>55</v>
      </c>
      <c r="AW229" s="22" t="s">
        <v>55</v>
      </c>
      <c r="AX229" s="22" t="s">
        <v>55</v>
      </c>
      <c r="AY229" s="22" t="s">
        <v>1584</v>
      </c>
    </row>
    <row r="230" spans="1:51" ht="29" x14ac:dyDescent="0.35">
      <c r="A230" s="22" t="s">
        <v>1610</v>
      </c>
      <c r="B230" s="22" t="s">
        <v>347</v>
      </c>
      <c r="C230" s="22" t="s">
        <v>116</v>
      </c>
      <c r="D230" s="22" t="s">
        <v>465</v>
      </c>
      <c r="E230" s="22" t="s">
        <v>52</v>
      </c>
      <c r="F230" s="22" t="s">
        <v>1611</v>
      </c>
      <c r="G230" s="22" t="s">
        <v>54</v>
      </c>
      <c r="H230" s="22" t="s">
        <v>1728</v>
      </c>
      <c r="I230" s="22" t="s">
        <v>803</v>
      </c>
      <c r="J230" s="22" t="s">
        <v>815</v>
      </c>
      <c r="K230" s="22" t="s">
        <v>584</v>
      </c>
      <c r="L230" s="22" t="s">
        <v>55</v>
      </c>
      <c r="M230" s="22" t="s">
        <v>816</v>
      </c>
      <c r="N230" s="22" t="s">
        <v>55</v>
      </c>
      <c r="O230" s="22" t="s">
        <v>1612</v>
      </c>
      <c r="P230" s="22" t="s">
        <v>1585</v>
      </c>
      <c r="Q230" s="22" t="s">
        <v>1613</v>
      </c>
      <c r="R230" s="22" t="s">
        <v>55</v>
      </c>
      <c r="S230" s="22" t="s">
        <v>55</v>
      </c>
      <c r="T230" s="22" t="s">
        <v>1614</v>
      </c>
      <c r="U230" s="22" t="s">
        <v>63</v>
      </c>
      <c r="V230" s="23">
        <v>46003</v>
      </c>
      <c r="W230" s="22" t="s">
        <v>55</v>
      </c>
      <c r="X230" s="22" t="s">
        <v>1615</v>
      </c>
      <c r="Y230" s="22" t="s">
        <v>65</v>
      </c>
      <c r="Z230" s="22" t="s">
        <v>55</v>
      </c>
      <c r="AA230" s="22" t="s">
        <v>152</v>
      </c>
      <c r="AB230" s="22" t="s">
        <v>55</v>
      </c>
      <c r="AC230" s="22" t="s">
        <v>55</v>
      </c>
      <c r="AD230" s="22" t="s">
        <v>118</v>
      </c>
      <c r="AE230" s="22" t="s">
        <v>97</v>
      </c>
      <c r="AF230" s="22" t="s">
        <v>69</v>
      </c>
      <c r="AG230" s="22" t="s">
        <v>55</v>
      </c>
      <c r="AH230" s="22" t="s">
        <v>55</v>
      </c>
      <c r="AI230" s="22" t="s">
        <v>55</v>
      </c>
      <c r="AJ230" s="22" t="s">
        <v>55</v>
      </c>
      <c r="AK230" s="22" t="s">
        <v>55</v>
      </c>
      <c r="AL230" s="22" t="s">
        <v>55</v>
      </c>
      <c r="AM230" s="22" t="s">
        <v>55</v>
      </c>
      <c r="AN230" s="22" t="s">
        <v>55</v>
      </c>
      <c r="AO230" s="22" t="s">
        <v>55</v>
      </c>
      <c r="AP230" s="22" t="s">
        <v>55</v>
      </c>
      <c r="AQ230" s="22" t="s">
        <v>55</v>
      </c>
      <c r="AR230" s="22" t="s">
        <v>55</v>
      </c>
      <c r="AS230" s="22" t="s">
        <v>55</v>
      </c>
      <c r="AT230" s="22" t="s">
        <v>55</v>
      </c>
      <c r="AU230" s="22" t="s">
        <v>55</v>
      </c>
      <c r="AV230" s="22" t="s">
        <v>55</v>
      </c>
      <c r="AW230" s="22" t="s">
        <v>55</v>
      </c>
      <c r="AX230" s="22" t="s">
        <v>55</v>
      </c>
      <c r="AY230" s="22" t="s">
        <v>1584</v>
      </c>
    </row>
    <row r="231" spans="1:51" ht="29" x14ac:dyDescent="0.35">
      <c r="A231" s="22" t="s">
        <v>1616</v>
      </c>
      <c r="B231" s="22" t="s">
        <v>347</v>
      </c>
      <c r="C231" s="22" t="s">
        <v>116</v>
      </c>
      <c r="D231" s="22" t="s">
        <v>465</v>
      </c>
      <c r="E231" s="22" t="s">
        <v>52</v>
      </c>
      <c r="F231" s="22" t="s">
        <v>1611</v>
      </c>
      <c r="G231" s="22" t="s">
        <v>54</v>
      </c>
      <c r="H231" s="22" t="s">
        <v>1728</v>
      </c>
      <c r="I231" s="22" t="s">
        <v>160</v>
      </c>
      <c r="J231" s="22" t="s">
        <v>857</v>
      </c>
      <c r="K231" s="22" t="s">
        <v>594</v>
      </c>
      <c r="L231" s="22" t="s">
        <v>55</v>
      </c>
      <c r="M231" s="22" t="s">
        <v>1328</v>
      </c>
      <c r="N231" s="22" t="s">
        <v>55</v>
      </c>
      <c r="O231" s="22" t="s">
        <v>1612</v>
      </c>
      <c r="P231" s="22" t="s">
        <v>1617</v>
      </c>
      <c r="Q231" s="22" t="s">
        <v>1618</v>
      </c>
      <c r="R231" s="22" t="s">
        <v>55</v>
      </c>
      <c r="S231" s="22" t="s">
        <v>55</v>
      </c>
      <c r="T231" s="22" t="s">
        <v>1619</v>
      </c>
      <c r="U231" s="22" t="s">
        <v>63</v>
      </c>
      <c r="V231" s="23">
        <v>45975</v>
      </c>
      <c r="W231" s="22" t="s">
        <v>55</v>
      </c>
      <c r="X231" s="22" t="s">
        <v>1615</v>
      </c>
      <c r="Y231" s="22" t="s">
        <v>65</v>
      </c>
      <c r="Z231" s="22" t="s">
        <v>55</v>
      </c>
      <c r="AA231" s="22" t="s">
        <v>66</v>
      </c>
      <c r="AB231" s="22" t="s">
        <v>55</v>
      </c>
      <c r="AC231" s="22" t="s">
        <v>55</v>
      </c>
      <c r="AD231" s="22" t="s">
        <v>118</v>
      </c>
      <c r="AE231" s="22" t="s">
        <v>97</v>
      </c>
      <c r="AF231" s="22" t="s">
        <v>779</v>
      </c>
      <c r="AG231" s="22" t="s">
        <v>55</v>
      </c>
      <c r="AH231" s="22" t="s">
        <v>55</v>
      </c>
      <c r="AI231" s="22" t="s">
        <v>55</v>
      </c>
      <c r="AJ231" s="22" t="s">
        <v>55</v>
      </c>
      <c r="AK231" s="22" t="s">
        <v>55</v>
      </c>
      <c r="AL231" s="22" t="s">
        <v>55</v>
      </c>
      <c r="AM231" s="22" t="s">
        <v>55</v>
      </c>
      <c r="AN231" s="22" t="s">
        <v>55</v>
      </c>
      <c r="AO231" s="22" t="s">
        <v>55</v>
      </c>
      <c r="AP231" s="22" t="s">
        <v>55</v>
      </c>
      <c r="AQ231" s="22" t="s">
        <v>55</v>
      </c>
      <c r="AR231" s="22" t="s">
        <v>55</v>
      </c>
      <c r="AS231" s="22" t="s">
        <v>55</v>
      </c>
      <c r="AT231" s="22" t="s">
        <v>55</v>
      </c>
      <c r="AU231" s="22" t="s">
        <v>55</v>
      </c>
      <c r="AV231" s="22" t="s">
        <v>55</v>
      </c>
      <c r="AW231" s="22" t="s">
        <v>55</v>
      </c>
      <c r="AX231" s="22" t="s">
        <v>55</v>
      </c>
      <c r="AY231" s="22" t="s">
        <v>1584</v>
      </c>
    </row>
    <row r="232" spans="1:51" ht="29" x14ac:dyDescent="0.35">
      <c r="A232" s="22" t="s">
        <v>1620</v>
      </c>
      <c r="B232" s="22" t="s">
        <v>347</v>
      </c>
      <c r="C232" s="22" t="s">
        <v>116</v>
      </c>
      <c r="D232" s="22" t="s">
        <v>465</v>
      </c>
      <c r="E232" s="22" t="s">
        <v>52</v>
      </c>
      <c r="F232" s="22" t="s">
        <v>1611</v>
      </c>
      <c r="G232" s="22" t="s">
        <v>54</v>
      </c>
      <c r="H232" s="22" t="s">
        <v>1728</v>
      </c>
      <c r="I232" s="22" t="s">
        <v>160</v>
      </c>
      <c r="J232" s="22" t="s">
        <v>857</v>
      </c>
      <c r="K232" s="22" t="s">
        <v>594</v>
      </c>
      <c r="L232" s="22" t="s">
        <v>55</v>
      </c>
      <c r="M232" s="22" t="s">
        <v>161</v>
      </c>
      <c r="N232" s="22" t="s">
        <v>55</v>
      </c>
      <c r="O232" s="22" t="s">
        <v>1612</v>
      </c>
      <c r="P232" s="22" t="s">
        <v>1617</v>
      </c>
      <c r="Q232" s="22" t="s">
        <v>1618</v>
      </c>
      <c r="R232" s="22" t="s">
        <v>55</v>
      </c>
      <c r="S232" s="22" t="s">
        <v>55</v>
      </c>
      <c r="T232" s="22" t="s">
        <v>1619</v>
      </c>
      <c r="U232" s="22" t="s">
        <v>63</v>
      </c>
      <c r="V232" s="23">
        <v>45975</v>
      </c>
      <c r="W232" s="22" t="s">
        <v>55</v>
      </c>
      <c r="X232" s="22" t="s">
        <v>1615</v>
      </c>
      <c r="Y232" s="22" t="s">
        <v>65</v>
      </c>
      <c r="Z232" s="22" t="s">
        <v>55</v>
      </c>
      <c r="AA232" s="22" t="s">
        <v>66</v>
      </c>
      <c r="AB232" s="22" t="s">
        <v>55</v>
      </c>
      <c r="AC232" s="22" t="s">
        <v>55</v>
      </c>
      <c r="AD232" s="22" t="s">
        <v>118</v>
      </c>
      <c r="AE232" s="22" t="s">
        <v>97</v>
      </c>
      <c r="AF232" s="22" t="s">
        <v>69</v>
      </c>
      <c r="AG232" s="22" t="s">
        <v>55</v>
      </c>
      <c r="AH232" s="22" t="s">
        <v>55</v>
      </c>
      <c r="AI232" s="22" t="s">
        <v>55</v>
      </c>
      <c r="AJ232" s="22" t="s">
        <v>55</v>
      </c>
      <c r="AK232" s="22" t="s">
        <v>55</v>
      </c>
      <c r="AL232" s="22" t="s">
        <v>55</v>
      </c>
      <c r="AM232" s="22" t="s">
        <v>55</v>
      </c>
      <c r="AN232" s="22" t="s">
        <v>55</v>
      </c>
      <c r="AO232" s="22" t="s">
        <v>55</v>
      </c>
      <c r="AP232" s="22" t="s">
        <v>55</v>
      </c>
      <c r="AQ232" s="22" t="s">
        <v>55</v>
      </c>
      <c r="AR232" s="22" t="s">
        <v>55</v>
      </c>
      <c r="AS232" s="22" t="s">
        <v>55</v>
      </c>
      <c r="AT232" s="22" t="s">
        <v>55</v>
      </c>
      <c r="AU232" s="22" t="s">
        <v>55</v>
      </c>
      <c r="AV232" s="22" t="s">
        <v>55</v>
      </c>
      <c r="AW232" s="22" t="s">
        <v>55</v>
      </c>
      <c r="AX232" s="22" t="s">
        <v>55</v>
      </c>
      <c r="AY232" s="22" t="s">
        <v>1584</v>
      </c>
    </row>
    <row r="233" spans="1:51" ht="29" x14ac:dyDescent="0.35">
      <c r="A233" s="22" t="s">
        <v>1621</v>
      </c>
      <c r="B233" s="22" t="s">
        <v>347</v>
      </c>
      <c r="C233" s="22" t="s">
        <v>116</v>
      </c>
      <c r="D233" s="22" t="s">
        <v>465</v>
      </c>
      <c r="E233" s="22" t="s">
        <v>52</v>
      </c>
      <c r="F233" s="22" t="s">
        <v>1611</v>
      </c>
      <c r="G233" s="22" t="s">
        <v>54</v>
      </c>
      <c r="H233" s="22" t="s">
        <v>1728</v>
      </c>
      <c r="I233" s="22" t="s">
        <v>526</v>
      </c>
      <c r="J233" s="22" t="s">
        <v>822</v>
      </c>
      <c r="K233" s="22" t="s">
        <v>594</v>
      </c>
      <c r="L233" s="22" t="s">
        <v>55</v>
      </c>
      <c r="M233" s="22" t="s">
        <v>252</v>
      </c>
      <c r="N233" s="22" t="s">
        <v>55</v>
      </c>
      <c r="O233" s="22" t="s">
        <v>1612</v>
      </c>
      <c r="P233" s="22" t="s">
        <v>1617</v>
      </c>
      <c r="Q233" s="22" t="s">
        <v>1618</v>
      </c>
      <c r="R233" s="22" t="s">
        <v>55</v>
      </c>
      <c r="S233" s="22" t="s">
        <v>55</v>
      </c>
      <c r="T233" s="22" t="s">
        <v>1619</v>
      </c>
      <c r="U233" s="22" t="s">
        <v>63</v>
      </c>
      <c r="V233" s="23">
        <v>45975</v>
      </c>
      <c r="W233" s="22" t="s">
        <v>55</v>
      </c>
      <c r="X233" s="22" t="s">
        <v>1615</v>
      </c>
      <c r="Y233" s="22" t="s">
        <v>65</v>
      </c>
      <c r="Z233" s="22" t="s">
        <v>55</v>
      </c>
      <c r="AA233" s="22" t="s">
        <v>66</v>
      </c>
      <c r="AB233" s="22" t="s">
        <v>55</v>
      </c>
      <c r="AC233" s="22" t="s">
        <v>55</v>
      </c>
      <c r="AD233" s="22" t="s">
        <v>118</v>
      </c>
      <c r="AE233" s="22" t="s">
        <v>97</v>
      </c>
      <c r="AF233" s="22" t="s">
        <v>98</v>
      </c>
      <c r="AG233" s="22" t="s">
        <v>55</v>
      </c>
      <c r="AH233" s="22" t="s">
        <v>55</v>
      </c>
      <c r="AI233" s="22" t="s">
        <v>55</v>
      </c>
      <c r="AJ233" s="22" t="s">
        <v>55</v>
      </c>
      <c r="AK233" s="22" t="s">
        <v>55</v>
      </c>
      <c r="AL233" s="22" t="s">
        <v>55</v>
      </c>
      <c r="AM233" s="22" t="s">
        <v>55</v>
      </c>
      <c r="AN233" s="22" t="s">
        <v>55</v>
      </c>
      <c r="AO233" s="22" t="s">
        <v>55</v>
      </c>
      <c r="AP233" s="22" t="s">
        <v>55</v>
      </c>
      <c r="AQ233" s="22" t="s">
        <v>55</v>
      </c>
      <c r="AR233" s="22" t="s">
        <v>55</v>
      </c>
      <c r="AS233" s="22" t="s">
        <v>55</v>
      </c>
      <c r="AT233" s="22" t="s">
        <v>55</v>
      </c>
      <c r="AU233" s="22" t="s">
        <v>55</v>
      </c>
      <c r="AV233" s="22" t="s">
        <v>55</v>
      </c>
      <c r="AW233" s="22" t="s">
        <v>55</v>
      </c>
      <c r="AX233" s="22" t="s">
        <v>55</v>
      </c>
      <c r="AY233" s="22" t="s">
        <v>1584</v>
      </c>
    </row>
    <row r="234" spans="1:51" ht="29" x14ac:dyDescent="0.35">
      <c r="A234" s="22" t="s">
        <v>1622</v>
      </c>
      <c r="B234" s="22" t="s">
        <v>347</v>
      </c>
      <c r="C234" s="22" t="s">
        <v>116</v>
      </c>
      <c r="D234" s="22" t="s">
        <v>465</v>
      </c>
      <c r="E234" s="22" t="s">
        <v>52</v>
      </c>
      <c r="F234" s="22" t="s">
        <v>1611</v>
      </c>
      <c r="G234" s="22" t="s">
        <v>54</v>
      </c>
      <c r="H234" s="22" t="s">
        <v>1728</v>
      </c>
      <c r="I234" s="22" t="s">
        <v>526</v>
      </c>
      <c r="J234" s="22" t="s">
        <v>993</v>
      </c>
      <c r="K234" s="22" t="s">
        <v>594</v>
      </c>
      <c r="L234" s="22" t="s">
        <v>55</v>
      </c>
      <c r="M234" s="22" t="s">
        <v>58</v>
      </c>
      <c r="N234" s="22" t="s">
        <v>55</v>
      </c>
      <c r="O234" s="22" t="s">
        <v>1612</v>
      </c>
      <c r="P234" s="22" t="s">
        <v>1617</v>
      </c>
      <c r="Q234" s="22" t="s">
        <v>1618</v>
      </c>
      <c r="R234" s="22" t="s">
        <v>55</v>
      </c>
      <c r="S234" s="22" t="s">
        <v>55</v>
      </c>
      <c r="T234" s="22" t="s">
        <v>1619</v>
      </c>
      <c r="U234" s="22" t="s">
        <v>63</v>
      </c>
      <c r="V234" s="23">
        <v>45975</v>
      </c>
      <c r="W234" s="22" t="s">
        <v>55</v>
      </c>
      <c r="X234" s="22" t="s">
        <v>1615</v>
      </c>
      <c r="Y234" s="22" t="s">
        <v>65</v>
      </c>
      <c r="Z234" s="22" t="s">
        <v>55</v>
      </c>
      <c r="AA234" s="22" t="s">
        <v>66</v>
      </c>
      <c r="AB234" s="22" t="s">
        <v>55</v>
      </c>
      <c r="AC234" s="22" t="s">
        <v>55</v>
      </c>
      <c r="AD234" s="22" t="s">
        <v>118</v>
      </c>
      <c r="AE234" s="22" t="s">
        <v>97</v>
      </c>
      <c r="AF234" s="22" t="s">
        <v>69</v>
      </c>
      <c r="AG234" s="22" t="s">
        <v>55</v>
      </c>
      <c r="AH234" s="22" t="s">
        <v>55</v>
      </c>
      <c r="AI234" s="22" t="s">
        <v>55</v>
      </c>
      <c r="AJ234" s="22" t="s">
        <v>55</v>
      </c>
      <c r="AK234" s="22" t="s">
        <v>55</v>
      </c>
      <c r="AL234" s="22" t="s">
        <v>55</v>
      </c>
      <c r="AM234" s="22" t="s">
        <v>55</v>
      </c>
      <c r="AN234" s="22" t="s">
        <v>55</v>
      </c>
      <c r="AO234" s="22" t="s">
        <v>55</v>
      </c>
      <c r="AP234" s="22" t="s">
        <v>55</v>
      </c>
      <c r="AQ234" s="22" t="s">
        <v>55</v>
      </c>
      <c r="AR234" s="22" t="s">
        <v>55</v>
      </c>
      <c r="AS234" s="22" t="s">
        <v>55</v>
      </c>
      <c r="AT234" s="22" t="s">
        <v>55</v>
      </c>
      <c r="AU234" s="22" t="s">
        <v>55</v>
      </c>
      <c r="AV234" s="22" t="s">
        <v>55</v>
      </c>
      <c r="AW234" s="22" t="s">
        <v>55</v>
      </c>
      <c r="AX234" s="22" t="s">
        <v>55</v>
      </c>
      <c r="AY234" s="22" t="s">
        <v>1584</v>
      </c>
    </row>
    <row r="235" spans="1:51" ht="72.5" x14ac:dyDescent="0.35">
      <c r="A235" s="22" t="s">
        <v>1623</v>
      </c>
      <c r="B235" s="22" t="s">
        <v>347</v>
      </c>
      <c r="C235" s="22" t="s">
        <v>116</v>
      </c>
      <c r="D235" s="22" t="s">
        <v>465</v>
      </c>
      <c r="E235" s="22" t="s">
        <v>52</v>
      </c>
      <c r="F235" s="22" t="s">
        <v>1128</v>
      </c>
      <c r="G235" s="22" t="s">
        <v>606</v>
      </c>
      <c r="H235" s="22" t="s">
        <v>607</v>
      </c>
      <c r="I235" s="22" t="s">
        <v>803</v>
      </c>
      <c r="J235" s="22" t="s">
        <v>812</v>
      </c>
      <c r="K235" s="22" t="s">
        <v>868</v>
      </c>
      <c r="L235" s="22" t="s">
        <v>55</v>
      </c>
      <c r="M235" s="22" t="s">
        <v>813</v>
      </c>
      <c r="N235" s="22" t="s">
        <v>55</v>
      </c>
      <c r="O235" s="22" t="s">
        <v>1624</v>
      </c>
      <c r="P235" s="22" t="s">
        <v>1625</v>
      </c>
      <c r="Q235" s="22" t="s">
        <v>1626</v>
      </c>
      <c r="R235" s="22" t="s">
        <v>55</v>
      </c>
      <c r="S235" s="22" t="s">
        <v>55</v>
      </c>
      <c r="T235" s="22" t="s">
        <v>1627</v>
      </c>
      <c r="U235" s="22" t="s">
        <v>63</v>
      </c>
      <c r="V235" s="23">
        <v>46022</v>
      </c>
      <c r="W235" s="22" t="s">
        <v>55</v>
      </c>
      <c r="X235" s="22" t="s">
        <v>1628</v>
      </c>
      <c r="Y235" s="22" t="s">
        <v>65</v>
      </c>
      <c r="Z235" s="22" t="s">
        <v>55</v>
      </c>
      <c r="AA235" s="22" t="s">
        <v>221</v>
      </c>
      <c r="AB235" s="22" t="s">
        <v>55</v>
      </c>
      <c r="AC235" s="22" t="s">
        <v>55</v>
      </c>
      <c r="AD235" s="22" t="s">
        <v>118</v>
      </c>
      <c r="AE235" s="22" t="s">
        <v>97</v>
      </c>
      <c r="AF235" s="22" t="s">
        <v>814</v>
      </c>
      <c r="AG235" s="22" t="s">
        <v>55</v>
      </c>
      <c r="AH235" s="22" t="s">
        <v>55</v>
      </c>
      <c r="AI235" s="22" t="s">
        <v>55</v>
      </c>
      <c r="AJ235" s="22" t="s">
        <v>55</v>
      </c>
      <c r="AK235" s="22" t="s">
        <v>55</v>
      </c>
      <c r="AL235" s="22" t="s">
        <v>55</v>
      </c>
      <c r="AM235" s="22" t="s">
        <v>55</v>
      </c>
      <c r="AN235" s="22" t="s">
        <v>55</v>
      </c>
      <c r="AO235" s="22" t="s">
        <v>55</v>
      </c>
      <c r="AP235" s="22" t="s">
        <v>55</v>
      </c>
      <c r="AQ235" s="22" t="s">
        <v>55</v>
      </c>
      <c r="AR235" s="22" t="s">
        <v>55</v>
      </c>
      <c r="AS235" s="22" t="s">
        <v>55</v>
      </c>
      <c r="AT235" s="22" t="s">
        <v>55</v>
      </c>
      <c r="AU235" s="22" t="s">
        <v>55</v>
      </c>
      <c r="AV235" s="22" t="s">
        <v>55</v>
      </c>
      <c r="AW235" s="22" t="s">
        <v>55</v>
      </c>
      <c r="AX235" s="22" t="s">
        <v>55</v>
      </c>
      <c r="AY235" s="22" t="s">
        <v>1584</v>
      </c>
    </row>
    <row r="236" spans="1:51" ht="72.5" x14ac:dyDescent="0.35">
      <c r="A236" s="22" t="s">
        <v>1629</v>
      </c>
      <c r="B236" s="22" t="s">
        <v>347</v>
      </c>
      <c r="C236" s="22" t="s">
        <v>116</v>
      </c>
      <c r="D236" s="22" t="s">
        <v>465</v>
      </c>
      <c r="E236" s="22" t="s">
        <v>52</v>
      </c>
      <c r="F236" s="22" t="s">
        <v>1128</v>
      </c>
      <c r="G236" s="22" t="s">
        <v>606</v>
      </c>
      <c r="H236" s="22" t="s">
        <v>607</v>
      </c>
      <c r="I236" s="22" t="s">
        <v>803</v>
      </c>
      <c r="J236" s="22" t="s">
        <v>812</v>
      </c>
      <c r="K236" s="22" t="s">
        <v>868</v>
      </c>
      <c r="L236" s="22" t="s">
        <v>55</v>
      </c>
      <c r="M236" s="22" t="s">
        <v>476</v>
      </c>
      <c r="N236" s="22" t="s">
        <v>55</v>
      </c>
      <c r="O236" s="22" t="s">
        <v>1624</v>
      </c>
      <c r="P236" s="22" t="s">
        <v>1630</v>
      </c>
      <c r="Q236" s="22" t="s">
        <v>1631</v>
      </c>
      <c r="R236" s="22" t="s">
        <v>55</v>
      </c>
      <c r="S236" s="22" t="s">
        <v>55</v>
      </c>
      <c r="T236" s="22" t="s">
        <v>1627</v>
      </c>
      <c r="U236" s="22" t="s">
        <v>63</v>
      </c>
      <c r="V236" s="23">
        <v>46022</v>
      </c>
      <c r="W236" s="22" t="s">
        <v>55</v>
      </c>
      <c r="X236" s="22" t="s">
        <v>1628</v>
      </c>
      <c r="Y236" s="22" t="s">
        <v>65</v>
      </c>
      <c r="Z236" s="22" t="s">
        <v>55</v>
      </c>
      <c r="AA236" s="22" t="s">
        <v>221</v>
      </c>
      <c r="AB236" s="22" t="s">
        <v>55</v>
      </c>
      <c r="AC236" s="22" t="s">
        <v>55</v>
      </c>
      <c r="AD236" s="22" t="s">
        <v>118</v>
      </c>
      <c r="AE236" s="22" t="s">
        <v>97</v>
      </c>
      <c r="AF236" s="22" t="s">
        <v>477</v>
      </c>
      <c r="AG236" s="22" t="s">
        <v>55</v>
      </c>
      <c r="AH236" s="22" t="s">
        <v>55</v>
      </c>
      <c r="AI236" s="22" t="s">
        <v>55</v>
      </c>
      <c r="AJ236" s="22" t="s">
        <v>55</v>
      </c>
      <c r="AK236" s="22" t="s">
        <v>55</v>
      </c>
      <c r="AL236" s="22" t="s">
        <v>55</v>
      </c>
      <c r="AM236" s="22" t="s">
        <v>55</v>
      </c>
      <c r="AN236" s="22" t="s">
        <v>55</v>
      </c>
      <c r="AO236" s="22" t="s">
        <v>55</v>
      </c>
      <c r="AP236" s="22" t="s">
        <v>55</v>
      </c>
      <c r="AQ236" s="22" t="s">
        <v>55</v>
      </c>
      <c r="AR236" s="22" t="s">
        <v>55</v>
      </c>
      <c r="AS236" s="22" t="s">
        <v>55</v>
      </c>
      <c r="AT236" s="22" t="s">
        <v>55</v>
      </c>
      <c r="AU236" s="22" t="s">
        <v>55</v>
      </c>
      <c r="AV236" s="22" t="s">
        <v>55</v>
      </c>
      <c r="AW236" s="22" t="s">
        <v>55</v>
      </c>
      <c r="AX236" s="22" t="s">
        <v>55</v>
      </c>
      <c r="AY236" s="22" t="s">
        <v>1584</v>
      </c>
    </row>
    <row r="237" spans="1:51" ht="72.5" x14ac:dyDescent="0.35">
      <c r="A237" s="22" t="s">
        <v>1632</v>
      </c>
      <c r="B237" s="22" t="s">
        <v>347</v>
      </c>
      <c r="C237" s="22" t="s">
        <v>116</v>
      </c>
      <c r="D237" s="22" t="s">
        <v>465</v>
      </c>
      <c r="E237" s="22" t="s">
        <v>52</v>
      </c>
      <c r="F237" s="22" t="s">
        <v>1128</v>
      </c>
      <c r="G237" s="22" t="s">
        <v>606</v>
      </c>
      <c r="H237" s="22" t="s">
        <v>607</v>
      </c>
      <c r="I237" s="22" t="s">
        <v>803</v>
      </c>
      <c r="J237" s="22" t="s">
        <v>815</v>
      </c>
      <c r="K237" s="22" t="s">
        <v>868</v>
      </c>
      <c r="L237" s="22" t="s">
        <v>55</v>
      </c>
      <c r="M237" s="22" t="s">
        <v>816</v>
      </c>
      <c r="N237" s="22" t="s">
        <v>55</v>
      </c>
      <c r="O237" s="22" t="s">
        <v>1624</v>
      </c>
      <c r="P237" s="22" t="s">
        <v>1633</v>
      </c>
      <c r="Q237" s="22" t="s">
        <v>1634</v>
      </c>
      <c r="R237" s="22" t="s">
        <v>55</v>
      </c>
      <c r="S237" s="22" t="s">
        <v>55</v>
      </c>
      <c r="T237" s="22" t="s">
        <v>1627</v>
      </c>
      <c r="U237" s="22" t="s">
        <v>63</v>
      </c>
      <c r="V237" s="23">
        <v>46022</v>
      </c>
      <c r="W237" s="22" t="s">
        <v>55</v>
      </c>
      <c r="X237" s="22" t="s">
        <v>1628</v>
      </c>
      <c r="Y237" s="22" t="s">
        <v>65</v>
      </c>
      <c r="Z237" s="22" t="s">
        <v>55</v>
      </c>
      <c r="AA237" s="22" t="s">
        <v>221</v>
      </c>
      <c r="AB237" s="22" t="s">
        <v>55</v>
      </c>
      <c r="AC237" s="22" t="s">
        <v>55</v>
      </c>
      <c r="AD237" s="22" t="s">
        <v>118</v>
      </c>
      <c r="AE237" s="22" t="s">
        <v>97</v>
      </c>
      <c r="AF237" s="22" t="s">
        <v>69</v>
      </c>
      <c r="AG237" s="22" t="s">
        <v>55</v>
      </c>
      <c r="AH237" s="22" t="s">
        <v>55</v>
      </c>
      <c r="AI237" s="22" t="s">
        <v>55</v>
      </c>
      <c r="AJ237" s="22" t="s">
        <v>55</v>
      </c>
      <c r="AK237" s="22" t="s">
        <v>55</v>
      </c>
      <c r="AL237" s="22" t="s">
        <v>55</v>
      </c>
      <c r="AM237" s="22" t="s">
        <v>55</v>
      </c>
      <c r="AN237" s="22" t="s">
        <v>55</v>
      </c>
      <c r="AO237" s="22" t="s">
        <v>55</v>
      </c>
      <c r="AP237" s="22" t="s">
        <v>55</v>
      </c>
      <c r="AQ237" s="22" t="s">
        <v>55</v>
      </c>
      <c r="AR237" s="22" t="s">
        <v>55</v>
      </c>
      <c r="AS237" s="22" t="s">
        <v>55</v>
      </c>
      <c r="AT237" s="22" t="s">
        <v>55</v>
      </c>
      <c r="AU237" s="22" t="s">
        <v>55</v>
      </c>
      <c r="AV237" s="22" t="s">
        <v>55</v>
      </c>
      <c r="AW237" s="22" t="s">
        <v>55</v>
      </c>
      <c r="AX237" s="22" t="s">
        <v>55</v>
      </c>
      <c r="AY237" s="22" t="s">
        <v>1584</v>
      </c>
    </row>
    <row r="238" spans="1:51" ht="43.5" x14ac:dyDescent="0.35">
      <c r="A238" s="22" t="s">
        <v>1635</v>
      </c>
      <c r="B238" s="22" t="s">
        <v>347</v>
      </c>
      <c r="C238" s="22" t="s">
        <v>116</v>
      </c>
      <c r="D238" s="22" t="s">
        <v>465</v>
      </c>
      <c r="E238" s="22" t="s">
        <v>52</v>
      </c>
      <c r="F238" s="22" t="s">
        <v>1128</v>
      </c>
      <c r="G238" s="22" t="s">
        <v>606</v>
      </c>
      <c r="H238" s="22" t="s">
        <v>607</v>
      </c>
      <c r="I238" s="22" t="s">
        <v>117</v>
      </c>
      <c r="J238" s="22" t="s">
        <v>819</v>
      </c>
      <c r="K238" s="22" t="s">
        <v>584</v>
      </c>
      <c r="L238" s="22" t="s">
        <v>55</v>
      </c>
      <c r="M238" s="22" t="s">
        <v>1006</v>
      </c>
      <c r="N238" s="22" t="s">
        <v>55</v>
      </c>
      <c r="O238" s="22" t="s">
        <v>1624</v>
      </c>
      <c r="P238" s="22" t="s">
        <v>1585</v>
      </c>
      <c r="Q238" s="22" t="s">
        <v>1636</v>
      </c>
      <c r="R238" s="22" t="s">
        <v>55</v>
      </c>
      <c r="S238" s="22" t="s">
        <v>55</v>
      </c>
      <c r="T238" s="22" t="s">
        <v>1637</v>
      </c>
      <c r="U238" s="22" t="s">
        <v>63</v>
      </c>
      <c r="V238" s="23">
        <v>46053</v>
      </c>
      <c r="W238" s="22" t="s">
        <v>55</v>
      </c>
      <c r="X238" s="22" t="s">
        <v>1638</v>
      </c>
      <c r="Y238" s="22" t="s">
        <v>65</v>
      </c>
      <c r="Z238" s="22" t="s">
        <v>55</v>
      </c>
      <c r="AA238" s="22" t="s">
        <v>155</v>
      </c>
      <c r="AB238" s="22" t="s">
        <v>55</v>
      </c>
      <c r="AC238" s="22" t="s">
        <v>55</v>
      </c>
      <c r="AD238" s="22" t="s">
        <v>118</v>
      </c>
      <c r="AE238" s="22" t="s">
        <v>97</v>
      </c>
      <c r="AF238" s="22" t="s">
        <v>583</v>
      </c>
      <c r="AG238" s="22" t="s">
        <v>55</v>
      </c>
      <c r="AH238" s="22" t="s">
        <v>55</v>
      </c>
      <c r="AI238" s="22" t="s">
        <v>55</v>
      </c>
      <c r="AJ238" s="22" t="s">
        <v>55</v>
      </c>
      <c r="AK238" s="22" t="s">
        <v>55</v>
      </c>
      <c r="AL238" s="22" t="s">
        <v>55</v>
      </c>
      <c r="AM238" s="22" t="s">
        <v>55</v>
      </c>
      <c r="AN238" s="22" t="s">
        <v>55</v>
      </c>
      <c r="AO238" s="22" t="s">
        <v>55</v>
      </c>
      <c r="AP238" s="22" t="s">
        <v>55</v>
      </c>
      <c r="AQ238" s="22" t="s">
        <v>55</v>
      </c>
      <c r="AR238" s="22" t="s">
        <v>55</v>
      </c>
      <c r="AS238" s="22" t="s">
        <v>55</v>
      </c>
      <c r="AT238" s="22" t="s">
        <v>55</v>
      </c>
      <c r="AU238" s="22" t="s">
        <v>55</v>
      </c>
      <c r="AV238" s="22" t="s">
        <v>55</v>
      </c>
      <c r="AW238" s="22" t="s">
        <v>55</v>
      </c>
      <c r="AX238" s="22" t="s">
        <v>55</v>
      </c>
      <c r="AY238" s="22" t="s">
        <v>1584</v>
      </c>
    </row>
    <row r="239" spans="1:51" ht="43.5" x14ac:dyDescent="0.35">
      <c r="A239" s="22" t="s">
        <v>1639</v>
      </c>
      <c r="B239" s="22" t="s">
        <v>347</v>
      </c>
      <c r="C239" s="22" t="s">
        <v>116</v>
      </c>
      <c r="D239" s="22" t="s">
        <v>465</v>
      </c>
      <c r="E239" s="22" t="s">
        <v>52</v>
      </c>
      <c r="F239" s="22" t="s">
        <v>1128</v>
      </c>
      <c r="G239" s="22" t="s">
        <v>606</v>
      </c>
      <c r="H239" s="22" t="s">
        <v>607</v>
      </c>
      <c r="I239" s="22" t="s">
        <v>117</v>
      </c>
      <c r="J239" s="22" t="s">
        <v>1023</v>
      </c>
      <c r="K239" s="22" t="s">
        <v>584</v>
      </c>
      <c r="L239" s="22" t="s">
        <v>55</v>
      </c>
      <c r="M239" s="22" t="s">
        <v>1640</v>
      </c>
      <c r="N239" s="22" t="s">
        <v>55</v>
      </c>
      <c r="O239" s="22" t="s">
        <v>1624</v>
      </c>
      <c r="P239" s="22" t="s">
        <v>1585</v>
      </c>
      <c r="Q239" s="22" t="s">
        <v>1641</v>
      </c>
      <c r="R239" s="22" t="s">
        <v>55</v>
      </c>
      <c r="S239" s="22" t="s">
        <v>55</v>
      </c>
      <c r="T239" s="22" t="s">
        <v>1642</v>
      </c>
      <c r="U239" s="22" t="s">
        <v>63</v>
      </c>
      <c r="V239" s="23">
        <v>46053</v>
      </c>
      <c r="W239" s="22" t="s">
        <v>55</v>
      </c>
      <c r="X239" s="22" t="s">
        <v>1638</v>
      </c>
      <c r="Y239" s="22" t="s">
        <v>65</v>
      </c>
      <c r="Z239" s="22" t="s">
        <v>55</v>
      </c>
      <c r="AA239" s="22" t="s">
        <v>155</v>
      </c>
      <c r="AB239" s="22" t="s">
        <v>55</v>
      </c>
      <c r="AC239" s="22" t="s">
        <v>55</v>
      </c>
      <c r="AD239" s="22" t="s">
        <v>118</v>
      </c>
      <c r="AE239" s="22" t="s">
        <v>97</v>
      </c>
      <c r="AF239" s="22" t="s">
        <v>1203</v>
      </c>
      <c r="AG239" s="22" t="s">
        <v>55</v>
      </c>
      <c r="AH239" s="22" t="s">
        <v>55</v>
      </c>
      <c r="AI239" s="22" t="s">
        <v>55</v>
      </c>
      <c r="AJ239" s="22" t="s">
        <v>55</v>
      </c>
      <c r="AK239" s="22" t="s">
        <v>55</v>
      </c>
      <c r="AL239" s="22" t="s">
        <v>55</v>
      </c>
      <c r="AM239" s="22" t="s">
        <v>55</v>
      </c>
      <c r="AN239" s="22" t="s">
        <v>55</v>
      </c>
      <c r="AO239" s="22" t="s">
        <v>55</v>
      </c>
      <c r="AP239" s="22" t="s">
        <v>55</v>
      </c>
      <c r="AQ239" s="22" t="s">
        <v>55</v>
      </c>
      <c r="AR239" s="22" t="s">
        <v>55</v>
      </c>
      <c r="AS239" s="22" t="s">
        <v>55</v>
      </c>
      <c r="AT239" s="22" t="s">
        <v>55</v>
      </c>
      <c r="AU239" s="22" t="s">
        <v>55</v>
      </c>
      <c r="AV239" s="22" t="s">
        <v>55</v>
      </c>
      <c r="AW239" s="22" t="s">
        <v>55</v>
      </c>
      <c r="AX239" s="22" t="s">
        <v>55</v>
      </c>
      <c r="AY239" s="22" t="s">
        <v>1584</v>
      </c>
    </row>
    <row r="240" spans="1:51" ht="29" x14ac:dyDescent="0.35">
      <c r="A240" s="22" t="s">
        <v>1643</v>
      </c>
      <c r="B240" s="22" t="s">
        <v>347</v>
      </c>
      <c r="C240" s="22" t="s">
        <v>116</v>
      </c>
      <c r="D240" s="22" t="s">
        <v>465</v>
      </c>
      <c r="E240" s="22" t="s">
        <v>52</v>
      </c>
      <c r="F240" s="22" t="s">
        <v>1644</v>
      </c>
      <c r="G240" s="22" t="s">
        <v>54</v>
      </c>
      <c r="H240" s="22" t="s">
        <v>1728</v>
      </c>
      <c r="I240" s="22" t="s">
        <v>121</v>
      </c>
      <c r="J240" s="22" t="s">
        <v>223</v>
      </c>
      <c r="K240" s="22" t="s">
        <v>589</v>
      </c>
      <c r="L240" s="22" t="s">
        <v>55</v>
      </c>
      <c r="M240" s="22" t="s">
        <v>258</v>
      </c>
      <c r="N240" s="22" t="s">
        <v>55</v>
      </c>
      <c r="O240" s="22" t="s">
        <v>1645</v>
      </c>
      <c r="P240" s="22" t="s">
        <v>1646</v>
      </c>
      <c r="Q240" s="22" t="s">
        <v>1647</v>
      </c>
      <c r="R240" s="22" t="s">
        <v>55</v>
      </c>
      <c r="S240" s="22" t="s">
        <v>55</v>
      </c>
      <c r="T240" s="22" t="s">
        <v>1648</v>
      </c>
      <c r="U240" s="22" t="s">
        <v>63</v>
      </c>
      <c r="V240" s="23">
        <v>46022</v>
      </c>
      <c r="W240" s="22" t="s">
        <v>55</v>
      </c>
      <c r="X240" s="22" t="s">
        <v>1649</v>
      </c>
      <c r="Y240" s="22" t="s">
        <v>65</v>
      </c>
      <c r="Z240" s="22" t="s">
        <v>55</v>
      </c>
      <c r="AA240" s="22" t="s">
        <v>221</v>
      </c>
      <c r="AB240" s="22" t="s">
        <v>55</v>
      </c>
      <c r="AC240" s="22" t="s">
        <v>55</v>
      </c>
      <c r="AD240" s="22" t="s">
        <v>118</v>
      </c>
      <c r="AE240" s="22" t="s">
        <v>97</v>
      </c>
      <c r="AF240" s="22" t="s">
        <v>226</v>
      </c>
      <c r="AG240" s="22" t="s">
        <v>55</v>
      </c>
      <c r="AH240" s="22" t="s">
        <v>55</v>
      </c>
      <c r="AI240" s="22" t="s">
        <v>55</v>
      </c>
      <c r="AJ240" s="22" t="s">
        <v>55</v>
      </c>
      <c r="AK240" s="22" t="s">
        <v>55</v>
      </c>
      <c r="AL240" s="22" t="s">
        <v>55</v>
      </c>
      <c r="AM240" s="22" t="s">
        <v>55</v>
      </c>
      <c r="AN240" s="22" t="s">
        <v>55</v>
      </c>
      <c r="AO240" s="22" t="s">
        <v>55</v>
      </c>
      <c r="AP240" s="22" t="s">
        <v>55</v>
      </c>
      <c r="AQ240" s="22" t="s">
        <v>55</v>
      </c>
      <c r="AR240" s="22" t="s">
        <v>55</v>
      </c>
      <c r="AS240" s="22" t="s">
        <v>55</v>
      </c>
      <c r="AT240" s="22" t="s">
        <v>55</v>
      </c>
      <c r="AU240" s="22" t="s">
        <v>55</v>
      </c>
      <c r="AV240" s="22" t="s">
        <v>55</v>
      </c>
      <c r="AW240" s="22" t="s">
        <v>55</v>
      </c>
      <c r="AX240" s="22" t="s">
        <v>55</v>
      </c>
      <c r="AY240" s="22" t="s">
        <v>1584</v>
      </c>
    </row>
    <row r="241" spans="1:51" ht="43.5" x14ac:dyDescent="0.35">
      <c r="A241" s="22" t="s">
        <v>1650</v>
      </c>
      <c r="B241" s="22" t="s">
        <v>347</v>
      </c>
      <c r="C241" s="22" t="s">
        <v>116</v>
      </c>
      <c r="D241" s="22" t="s">
        <v>465</v>
      </c>
      <c r="E241" s="22" t="s">
        <v>52</v>
      </c>
      <c r="F241" s="22" t="s">
        <v>1644</v>
      </c>
      <c r="G241" s="22" t="s">
        <v>54</v>
      </c>
      <c r="H241" s="22" t="s">
        <v>1728</v>
      </c>
      <c r="I241" s="22" t="s">
        <v>119</v>
      </c>
      <c r="J241" s="22" t="s">
        <v>242</v>
      </c>
      <c r="K241" s="22" t="s">
        <v>572</v>
      </c>
      <c r="L241" s="22" t="s">
        <v>55</v>
      </c>
      <c r="M241" s="22" t="s">
        <v>545</v>
      </c>
      <c r="N241" s="22" t="s">
        <v>55</v>
      </c>
      <c r="O241" s="22" t="s">
        <v>1645</v>
      </c>
      <c r="P241" s="22" t="s">
        <v>1651</v>
      </c>
      <c r="Q241" s="22" t="s">
        <v>1652</v>
      </c>
      <c r="R241" s="22" t="s">
        <v>55</v>
      </c>
      <c r="S241" s="22" t="s">
        <v>55</v>
      </c>
      <c r="T241" s="22" t="s">
        <v>1653</v>
      </c>
      <c r="U241" s="22" t="s">
        <v>63</v>
      </c>
      <c r="V241" s="23">
        <v>46022</v>
      </c>
      <c r="W241" s="22" t="s">
        <v>55</v>
      </c>
      <c r="X241" s="22" t="s">
        <v>1649</v>
      </c>
      <c r="Y241" s="22" t="s">
        <v>65</v>
      </c>
      <c r="Z241" s="22" t="s">
        <v>55</v>
      </c>
      <c r="AA241" s="22" t="s">
        <v>221</v>
      </c>
      <c r="AB241" s="22" t="s">
        <v>55</v>
      </c>
      <c r="AC241" s="22" t="s">
        <v>55</v>
      </c>
      <c r="AD241" s="22" t="s">
        <v>118</v>
      </c>
      <c r="AE241" s="22" t="s">
        <v>97</v>
      </c>
      <c r="AF241" s="22" t="s">
        <v>69</v>
      </c>
      <c r="AG241" s="22" t="s">
        <v>55</v>
      </c>
      <c r="AH241" s="22" t="s">
        <v>55</v>
      </c>
      <c r="AI241" s="22" t="s">
        <v>55</v>
      </c>
      <c r="AJ241" s="22" t="s">
        <v>55</v>
      </c>
      <c r="AK241" s="22" t="s">
        <v>55</v>
      </c>
      <c r="AL241" s="22" t="s">
        <v>55</v>
      </c>
      <c r="AM241" s="22" t="s">
        <v>55</v>
      </c>
      <c r="AN241" s="22" t="s">
        <v>55</v>
      </c>
      <c r="AO241" s="22" t="s">
        <v>55</v>
      </c>
      <c r="AP241" s="22" t="s">
        <v>55</v>
      </c>
      <c r="AQ241" s="22" t="s">
        <v>55</v>
      </c>
      <c r="AR241" s="22" t="s">
        <v>55</v>
      </c>
      <c r="AS241" s="22" t="s">
        <v>55</v>
      </c>
      <c r="AT241" s="22" t="s">
        <v>55</v>
      </c>
      <c r="AU241" s="22" t="s">
        <v>55</v>
      </c>
      <c r="AV241" s="22" t="s">
        <v>55</v>
      </c>
      <c r="AW241" s="22" t="s">
        <v>55</v>
      </c>
      <c r="AX241" s="22" t="s">
        <v>55</v>
      </c>
      <c r="AY241" s="22" t="s">
        <v>1584</v>
      </c>
    </row>
    <row r="242" spans="1:51" ht="29" x14ac:dyDescent="0.35">
      <c r="A242" s="22" t="s">
        <v>1654</v>
      </c>
      <c r="B242" s="22" t="s">
        <v>347</v>
      </c>
      <c r="C242" s="22" t="s">
        <v>116</v>
      </c>
      <c r="D242" s="22" t="s">
        <v>465</v>
      </c>
      <c r="E242" s="22" t="s">
        <v>52</v>
      </c>
      <c r="F242" s="22" t="s">
        <v>1655</v>
      </c>
      <c r="G242" s="22" t="s">
        <v>126</v>
      </c>
      <c r="H242" s="22" t="s">
        <v>138</v>
      </c>
      <c r="I242" s="22" t="s">
        <v>119</v>
      </c>
      <c r="J242" s="22" t="s">
        <v>242</v>
      </c>
      <c r="K242" s="22" t="s">
        <v>552</v>
      </c>
      <c r="L242" s="22" t="s">
        <v>55</v>
      </c>
      <c r="M242" s="22" t="s">
        <v>122</v>
      </c>
      <c r="N242" s="22" t="s">
        <v>55</v>
      </c>
      <c r="O242" s="22" t="s">
        <v>1656</v>
      </c>
      <c r="P242" s="22" t="s">
        <v>1657</v>
      </c>
      <c r="Q242" s="22" t="s">
        <v>1658</v>
      </c>
      <c r="R242" s="22" t="s">
        <v>55</v>
      </c>
      <c r="S242" s="22" t="s">
        <v>55</v>
      </c>
      <c r="T242" s="22" t="s">
        <v>1659</v>
      </c>
      <c r="U242" s="22" t="s">
        <v>63</v>
      </c>
      <c r="V242" s="23">
        <v>45985</v>
      </c>
      <c r="W242" s="22" t="s">
        <v>55</v>
      </c>
      <c r="X242" s="22" t="s">
        <v>1660</v>
      </c>
      <c r="Y242" s="22" t="s">
        <v>65</v>
      </c>
      <c r="Z242" s="22" t="s">
        <v>55</v>
      </c>
      <c r="AA242" s="22" t="s">
        <v>152</v>
      </c>
      <c r="AB242" s="22" t="s">
        <v>55</v>
      </c>
      <c r="AC242" s="22" t="s">
        <v>55</v>
      </c>
      <c r="AD242" s="22" t="s">
        <v>118</v>
      </c>
      <c r="AE242" s="22" t="s">
        <v>97</v>
      </c>
      <c r="AF242" s="22" t="s">
        <v>123</v>
      </c>
      <c r="AG242" s="22" t="s">
        <v>55</v>
      </c>
      <c r="AH242" s="22" t="s">
        <v>55</v>
      </c>
      <c r="AI242" s="22" t="s">
        <v>55</v>
      </c>
      <c r="AJ242" s="22" t="s">
        <v>55</v>
      </c>
      <c r="AK242" s="22" t="s">
        <v>55</v>
      </c>
      <c r="AL242" s="22" t="s">
        <v>55</v>
      </c>
      <c r="AM242" s="22" t="s">
        <v>55</v>
      </c>
      <c r="AN242" s="22" t="s">
        <v>55</v>
      </c>
      <c r="AO242" s="22" t="s">
        <v>55</v>
      </c>
      <c r="AP242" s="22" t="s">
        <v>55</v>
      </c>
      <c r="AQ242" s="22" t="s">
        <v>55</v>
      </c>
      <c r="AR242" s="22" t="s">
        <v>55</v>
      </c>
      <c r="AS242" s="22" t="s">
        <v>55</v>
      </c>
      <c r="AT242" s="22" t="s">
        <v>55</v>
      </c>
      <c r="AU242" s="22" t="s">
        <v>55</v>
      </c>
      <c r="AV242" s="22" t="s">
        <v>55</v>
      </c>
      <c r="AW242" s="22" t="s">
        <v>55</v>
      </c>
      <c r="AX242" s="22" t="s">
        <v>55</v>
      </c>
      <c r="AY242" s="22" t="s">
        <v>1584</v>
      </c>
    </row>
    <row r="243" spans="1:51" ht="43.5" x14ac:dyDescent="0.35">
      <c r="A243" s="22" t="s">
        <v>1661</v>
      </c>
      <c r="B243" s="22" t="s">
        <v>347</v>
      </c>
      <c r="C243" s="22" t="s">
        <v>116</v>
      </c>
      <c r="D243" s="22" t="s">
        <v>465</v>
      </c>
      <c r="E243" s="22" t="s">
        <v>52</v>
      </c>
      <c r="F243" s="22" t="s">
        <v>1662</v>
      </c>
      <c r="G243" s="22" t="s">
        <v>54</v>
      </c>
      <c r="H243" s="22" t="s">
        <v>1719</v>
      </c>
      <c r="I243" s="22" t="s">
        <v>526</v>
      </c>
      <c r="J243" s="22" t="s">
        <v>822</v>
      </c>
      <c r="K243" s="22" t="s">
        <v>572</v>
      </c>
      <c r="L243" s="22" t="s">
        <v>55</v>
      </c>
      <c r="M243" s="22" t="s">
        <v>252</v>
      </c>
      <c r="N243" s="22" t="s">
        <v>55</v>
      </c>
      <c r="O243" s="22" t="s">
        <v>1663</v>
      </c>
      <c r="P243" s="22" t="s">
        <v>1664</v>
      </c>
      <c r="Q243" s="22" t="s">
        <v>1665</v>
      </c>
      <c r="R243" s="22" t="s">
        <v>55</v>
      </c>
      <c r="S243" s="22" t="s">
        <v>55</v>
      </c>
      <c r="T243" s="22" t="s">
        <v>1666</v>
      </c>
      <c r="U243" s="22" t="s">
        <v>63</v>
      </c>
      <c r="V243" s="23">
        <v>45975</v>
      </c>
      <c r="W243" s="22" t="s">
        <v>55</v>
      </c>
      <c r="X243" s="22" t="s">
        <v>1667</v>
      </c>
      <c r="Y243" s="22" t="s">
        <v>65</v>
      </c>
      <c r="Z243" s="22" t="s">
        <v>55</v>
      </c>
      <c r="AA243" s="22" t="s">
        <v>66</v>
      </c>
      <c r="AB243" s="22" t="s">
        <v>55</v>
      </c>
      <c r="AC243" s="22" t="s">
        <v>55</v>
      </c>
      <c r="AD243" s="22" t="s">
        <v>118</v>
      </c>
      <c r="AE243" s="22" t="s">
        <v>97</v>
      </c>
      <c r="AF243" s="22" t="s">
        <v>98</v>
      </c>
      <c r="AG243" s="22" t="s">
        <v>55</v>
      </c>
      <c r="AH243" s="22" t="s">
        <v>55</v>
      </c>
      <c r="AI243" s="22" t="s">
        <v>55</v>
      </c>
      <c r="AJ243" s="22" t="s">
        <v>55</v>
      </c>
      <c r="AK243" s="22" t="s">
        <v>55</v>
      </c>
      <c r="AL243" s="22" t="s">
        <v>55</v>
      </c>
      <c r="AM243" s="22" t="s">
        <v>55</v>
      </c>
      <c r="AN243" s="22" t="s">
        <v>55</v>
      </c>
      <c r="AO243" s="22" t="s">
        <v>55</v>
      </c>
      <c r="AP243" s="22" t="s">
        <v>55</v>
      </c>
      <c r="AQ243" s="22" t="s">
        <v>55</v>
      </c>
      <c r="AR243" s="22" t="s">
        <v>55</v>
      </c>
      <c r="AS243" s="22" t="s">
        <v>55</v>
      </c>
      <c r="AT243" s="22" t="s">
        <v>55</v>
      </c>
      <c r="AU243" s="22" t="s">
        <v>55</v>
      </c>
      <c r="AV243" s="22" t="s">
        <v>55</v>
      </c>
      <c r="AW243" s="22" t="s">
        <v>55</v>
      </c>
      <c r="AX243" s="22" t="s">
        <v>55</v>
      </c>
      <c r="AY243" s="22" t="s">
        <v>1584</v>
      </c>
    </row>
    <row r="244" spans="1:51" ht="58" x14ac:dyDescent="0.35">
      <c r="A244" s="22" t="s">
        <v>1668</v>
      </c>
      <c r="B244" s="22" t="s">
        <v>347</v>
      </c>
      <c r="C244" s="22" t="s">
        <v>116</v>
      </c>
      <c r="D244" s="22" t="s">
        <v>465</v>
      </c>
      <c r="E244" s="22" t="s">
        <v>52</v>
      </c>
      <c r="F244" s="22" t="s">
        <v>1327</v>
      </c>
      <c r="G244" s="22" t="s">
        <v>126</v>
      </c>
      <c r="H244" s="22" t="s">
        <v>138</v>
      </c>
      <c r="I244" s="22" t="s">
        <v>803</v>
      </c>
      <c r="J244" s="22" t="s">
        <v>815</v>
      </c>
      <c r="K244" s="22" t="s">
        <v>572</v>
      </c>
      <c r="L244" s="22" t="s">
        <v>55</v>
      </c>
      <c r="M244" s="22" t="s">
        <v>816</v>
      </c>
      <c r="N244" s="22" t="s">
        <v>55</v>
      </c>
      <c r="O244" s="22" t="s">
        <v>1329</v>
      </c>
      <c r="P244" s="22" t="s">
        <v>1664</v>
      </c>
      <c r="Q244" s="22" t="s">
        <v>1340</v>
      </c>
      <c r="R244" s="22" t="s">
        <v>55</v>
      </c>
      <c r="S244" s="22" t="s">
        <v>55</v>
      </c>
      <c r="T244" s="22" t="s">
        <v>1341</v>
      </c>
      <c r="U244" s="22" t="s">
        <v>132</v>
      </c>
      <c r="V244" s="23">
        <v>45961</v>
      </c>
      <c r="W244" s="22" t="s">
        <v>55</v>
      </c>
      <c r="X244" s="22" t="s">
        <v>1669</v>
      </c>
      <c r="Y244" s="22" t="s">
        <v>65</v>
      </c>
      <c r="Z244" s="22" t="s">
        <v>55</v>
      </c>
      <c r="AA244" s="22" t="s">
        <v>66</v>
      </c>
      <c r="AB244" s="22" t="s">
        <v>55</v>
      </c>
      <c r="AC244" s="22" t="s">
        <v>55</v>
      </c>
      <c r="AD244" s="22" t="s">
        <v>118</v>
      </c>
      <c r="AE244" s="22" t="s">
        <v>97</v>
      </c>
      <c r="AF244" s="22" t="s">
        <v>69</v>
      </c>
      <c r="AG244" s="22" t="s">
        <v>55</v>
      </c>
      <c r="AH244" s="22" t="s">
        <v>55</v>
      </c>
      <c r="AI244" s="22" t="s">
        <v>55</v>
      </c>
      <c r="AJ244" s="22" t="s">
        <v>55</v>
      </c>
      <c r="AK244" s="22" t="s">
        <v>55</v>
      </c>
      <c r="AL244" s="22" t="s">
        <v>55</v>
      </c>
      <c r="AM244" s="22" t="s">
        <v>55</v>
      </c>
      <c r="AN244" s="22" t="s">
        <v>55</v>
      </c>
      <c r="AO244" s="22" t="s">
        <v>55</v>
      </c>
      <c r="AP244" s="22" t="s">
        <v>55</v>
      </c>
      <c r="AQ244" s="22" t="s">
        <v>55</v>
      </c>
      <c r="AR244" s="22" t="s">
        <v>55</v>
      </c>
      <c r="AS244" s="22" t="s">
        <v>55</v>
      </c>
      <c r="AT244" s="22" t="s">
        <v>55</v>
      </c>
      <c r="AU244" s="22" t="s">
        <v>55</v>
      </c>
      <c r="AV244" s="22" t="s">
        <v>55</v>
      </c>
      <c r="AW244" s="22" t="s">
        <v>55</v>
      </c>
      <c r="AX244" s="22" t="s">
        <v>55</v>
      </c>
      <c r="AY244" s="22" t="s">
        <v>1584</v>
      </c>
    </row>
    <row r="245" spans="1:51" ht="58" x14ac:dyDescent="0.35">
      <c r="A245" s="22" t="s">
        <v>1670</v>
      </c>
      <c r="B245" s="22" t="s">
        <v>347</v>
      </c>
      <c r="C245" s="22" t="s">
        <v>116</v>
      </c>
      <c r="D245" s="22" t="s">
        <v>465</v>
      </c>
      <c r="E245" s="22" t="s">
        <v>52</v>
      </c>
      <c r="F245" s="22" t="s">
        <v>1327</v>
      </c>
      <c r="G245" s="22" t="s">
        <v>126</v>
      </c>
      <c r="H245" s="22" t="s">
        <v>138</v>
      </c>
      <c r="I245" s="22" t="s">
        <v>526</v>
      </c>
      <c r="J245" s="22" t="s">
        <v>993</v>
      </c>
      <c r="K245" s="22" t="s">
        <v>572</v>
      </c>
      <c r="L245" s="22" t="s">
        <v>55</v>
      </c>
      <c r="M245" s="22" t="s">
        <v>58</v>
      </c>
      <c r="N245" s="22" t="s">
        <v>55</v>
      </c>
      <c r="O245" s="22" t="s">
        <v>1329</v>
      </c>
      <c r="P245" s="22" t="s">
        <v>1664</v>
      </c>
      <c r="Q245" s="22" t="s">
        <v>1350</v>
      </c>
      <c r="R245" s="22" t="s">
        <v>55</v>
      </c>
      <c r="S245" s="22" t="s">
        <v>55</v>
      </c>
      <c r="T245" s="22" t="s">
        <v>1351</v>
      </c>
      <c r="U245" s="22" t="s">
        <v>132</v>
      </c>
      <c r="V245" s="23">
        <v>45961</v>
      </c>
      <c r="W245" s="22" t="s">
        <v>55</v>
      </c>
      <c r="X245" s="22" t="s">
        <v>1669</v>
      </c>
      <c r="Y245" s="22" t="s">
        <v>65</v>
      </c>
      <c r="Z245" s="22" t="s">
        <v>55</v>
      </c>
      <c r="AA245" s="22" t="s">
        <v>66</v>
      </c>
      <c r="AB245" s="22" t="s">
        <v>55</v>
      </c>
      <c r="AC245" s="22" t="s">
        <v>55</v>
      </c>
      <c r="AD245" s="22" t="s">
        <v>118</v>
      </c>
      <c r="AE245" s="22" t="s">
        <v>97</v>
      </c>
      <c r="AF245" s="22" t="s">
        <v>69</v>
      </c>
      <c r="AG245" s="22" t="s">
        <v>55</v>
      </c>
      <c r="AH245" s="22" t="s">
        <v>55</v>
      </c>
      <c r="AI245" s="22" t="s">
        <v>55</v>
      </c>
      <c r="AJ245" s="22" t="s">
        <v>55</v>
      </c>
      <c r="AK245" s="22" t="s">
        <v>55</v>
      </c>
      <c r="AL245" s="22" t="s">
        <v>55</v>
      </c>
      <c r="AM245" s="22" t="s">
        <v>55</v>
      </c>
      <c r="AN245" s="22" t="s">
        <v>55</v>
      </c>
      <c r="AO245" s="22" t="s">
        <v>55</v>
      </c>
      <c r="AP245" s="22" t="s">
        <v>55</v>
      </c>
      <c r="AQ245" s="22" t="s">
        <v>55</v>
      </c>
      <c r="AR245" s="22" t="s">
        <v>55</v>
      </c>
      <c r="AS245" s="22" t="s">
        <v>55</v>
      </c>
      <c r="AT245" s="22" t="s">
        <v>55</v>
      </c>
      <c r="AU245" s="22" t="s">
        <v>55</v>
      </c>
      <c r="AV245" s="22" t="s">
        <v>55</v>
      </c>
      <c r="AW245" s="22" t="s">
        <v>55</v>
      </c>
      <c r="AX245" s="22" t="s">
        <v>55</v>
      </c>
      <c r="AY245" s="22" t="s">
        <v>1584</v>
      </c>
    </row>
    <row r="246" spans="1:51" ht="29" x14ac:dyDescent="0.35">
      <c r="A246" s="22" t="s">
        <v>1671</v>
      </c>
      <c r="B246" s="22" t="s">
        <v>347</v>
      </c>
      <c r="C246" s="22" t="s">
        <v>116</v>
      </c>
      <c r="D246" s="22" t="s">
        <v>465</v>
      </c>
      <c r="E246" s="22" t="s">
        <v>52</v>
      </c>
      <c r="F246" s="22" t="s">
        <v>1672</v>
      </c>
      <c r="G246" s="22" t="s">
        <v>493</v>
      </c>
      <c r="H246" s="22" t="s">
        <v>1729</v>
      </c>
      <c r="I246" s="22" t="s">
        <v>526</v>
      </c>
      <c r="J246" s="22" t="s">
        <v>1343</v>
      </c>
      <c r="K246" s="22" t="s">
        <v>584</v>
      </c>
      <c r="L246" s="22" t="s">
        <v>55</v>
      </c>
      <c r="M246" s="22" t="s">
        <v>312</v>
      </c>
      <c r="N246" s="22" t="s">
        <v>55</v>
      </c>
      <c r="O246" s="22" t="s">
        <v>1673</v>
      </c>
      <c r="P246" s="22" t="s">
        <v>1585</v>
      </c>
      <c r="Q246" s="22" t="s">
        <v>1674</v>
      </c>
      <c r="R246" s="22" t="s">
        <v>55</v>
      </c>
      <c r="S246" s="22" t="s">
        <v>55</v>
      </c>
      <c r="T246" s="22" t="s">
        <v>1675</v>
      </c>
      <c r="U246" s="22" t="s">
        <v>63</v>
      </c>
      <c r="V246" s="23">
        <v>45991</v>
      </c>
      <c r="W246" s="22" t="s">
        <v>55</v>
      </c>
      <c r="X246" s="22" t="s">
        <v>1676</v>
      </c>
      <c r="Y246" s="22" t="s">
        <v>65</v>
      </c>
      <c r="Z246" s="22" t="s">
        <v>55</v>
      </c>
      <c r="AA246" s="22" t="s">
        <v>152</v>
      </c>
      <c r="AB246" s="22" t="s">
        <v>55</v>
      </c>
      <c r="AC246" s="22" t="s">
        <v>55</v>
      </c>
      <c r="AD246" s="22" t="s">
        <v>118</v>
      </c>
      <c r="AE246" s="22" t="s">
        <v>97</v>
      </c>
      <c r="AF246" s="22" t="s">
        <v>98</v>
      </c>
      <c r="AG246" s="22" t="s">
        <v>55</v>
      </c>
      <c r="AH246" s="22" t="s">
        <v>55</v>
      </c>
      <c r="AI246" s="22" t="s">
        <v>55</v>
      </c>
      <c r="AJ246" s="22" t="s">
        <v>55</v>
      </c>
      <c r="AK246" s="22" t="s">
        <v>55</v>
      </c>
      <c r="AL246" s="22" t="s">
        <v>55</v>
      </c>
      <c r="AM246" s="22" t="s">
        <v>55</v>
      </c>
      <c r="AN246" s="22" t="s">
        <v>55</v>
      </c>
      <c r="AO246" s="22" t="s">
        <v>55</v>
      </c>
      <c r="AP246" s="22" t="s">
        <v>55</v>
      </c>
      <c r="AQ246" s="22" t="s">
        <v>55</v>
      </c>
      <c r="AR246" s="22" t="s">
        <v>55</v>
      </c>
      <c r="AS246" s="22" t="s">
        <v>55</v>
      </c>
      <c r="AT246" s="22" t="s">
        <v>55</v>
      </c>
      <c r="AU246" s="22" t="s">
        <v>55</v>
      </c>
      <c r="AV246" s="22" t="s">
        <v>55</v>
      </c>
      <c r="AW246" s="22" t="s">
        <v>55</v>
      </c>
      <c r="AX246" s="22" t="s">
        <v>55</v>
      </c>
      <c r="AY246" s="22" t="s">
        <v>1584</v>
      </c>
    </row>
    <row r="247" spans="1:51" ht="29" x14ac:dyDescent="0.35">
      <c r="A247" s="22" t="s">
        <v>1680</v>
      </c>
      <c r="B247" s="22" t="s">
        <v>347</v>
      </c>
      <c r="C247" s="22" t="s">
        <v>116</v>
      </c>
      <c r="D247" s="22" t="s">
        <v>465</v>
      </c>
      <c r="E247" s="22" t="s">
        <v>52</v>
      </c>
      <c r="F247" s="22" t="s">
        <v>1672</v>
      </c>
      <c r="G247" s="22" t="s">
        <v>493</v>
      </c>
      <c r="H247" s="22" t="s">
        <v>1729</v>
      </c>
      <c r="I247" s="22" t="s">
        <v>526</v>
      </c>
      <c r="J247" s="22" t="s">
        <v>993</v>
      </c>
      <c r="K247" s="22" t="s">
        <v>602</v>
      </c>
      <c r="L247" s="22" t="s">
        <v>55</v>
      </c>
      <c r="M247" s="22" t="s">
        <v>1016</v>
      </c>
      <c r="N247" s="22" t="s">
        <v>55</v>
      </c>
      <c r="O247" s="22" t="s">
        <v>1673</v>
      </c>
      <c r="P247" s="22" t="s">
        <v>1677</v>
      </c>
      <c r="Q247" s="22" t="s">
        <v>1678</v>
      </c>
      <c r="R247" s="22" t="s">
        <v>55</v>
      </c>
      <c r="S247" s="22" t="s">
        <v>55</v>
      </c>
      <c r="T247" s="22" t="s">
        <v>1681</v>
      </c>
      <c r="U247" s="22" t="s">
        <v>63</v>
      </c>
      <c r="V247" s="23">
        <v>45991</v>
      </c>
      <c r="W247" s="22" t="s">
        <v>55</v>
      </c>
      <c r="X247" s="22" t="s">
        <v>1679</v>
      </c>
      <c r="Y247" s="22" t="s">
        <v>65</v>
      </c>
      <c r="Z247" s="22" t="s">
        <v>55</v>
      </c>
      <c r="AA247" s="22" t="s">
        <v>152</v>
      </c>
      <c r="AB247" s="22" t="s">
        <v>55</v>
      </c>
      <c r="AC247" s="22" t="s">
        <v>55</v>
      </c>
      <c r="AD247" s="22" t="s">
        <v>118</v>
      </c>
      <c r="AE247" s="22" t="s">
        <v>97</v>
      </c>
      <c r="AF247" s="22" t="s">
        <v>477</v>
      </c>
      <c r="AG247" s="22" t="s">
        <v>55</v>
      </c>
      <c r="AH247" s="22" t="s">
        <v>55</v>
      </c>
      <c r="AI247" s="22" t="s">
        <v>55</v>
      </c>
      <c r="AJ247" s="22" t="s">
        <v>55</v>
      </c>
      <c r="AK247" s="22" t="s">
        <v>55</v>
      </c>
      <c r="AL247" s="22" t="s">
        <v>55</v>
      </c>
      <c r="AM247" s="22" t="s">
        <v>55</v>
      </c>
      <c r="AN247" s="22" t="s">
        <v>55</v>
      </c>
      <c r="AO247" s="22" t="s">
        <v>55</v>
      </c>
      <c r="AP247" s="22" t="s">
        <v>55</v>
      </c>
      <c r="AQ247" s="22" t="s">
        <v>55</v>
      </c>
      <c r="AR247" s="22" t="s">
        <v>55</v>
      </c>
      <c r="AS247" s="22" t="s">
        <v>55</v>
      </c>
      <c r="AT247" s="22" t="s">
        <v>55</v>
      </c>
      <c r="AU247" s="22" t="s">
        <v>55</v>
      </c>
      <c r="AV247" s="22" t="s">
        <v>55</v>
      </c>
      <c r="AW247" s="22" t="s">
        <v>55</v>
      </c>
      <c r="AX247" s="22" t="s">
        <v>55</v>
      </c>
      <c r="AY247" s="22" t="s">
        <v>1584</v>
      </c>
    </row>
    <row r="248" spans="1:51" ht="29" x14ac:dyDescent="0.35">
      <c r="A248" s="22" t="s">
        <v>1682</v>
      </c>
      <c r="B248" s="22" t="s">
        <v>347</v>
      </c>
      <c r="C248" s="22" t="s">
        <v>116</v>
      </c>
      <c r="D248" s="22" t="s">
        <v>465</v>
      </c>
      <c r="E248" s="22" t="s">
        <v>52</v>
      </c>
      <c r="F248" s="22" t="s">
        <v>1672</v>
      </c>
      <c r="G248" s="22" t="s">
        <v>493</v>
      </c>
      <c r="H248" s="22" t="s">
        <v>1729</v>
      </c>
      <c r="I248" s="22" t="s">
        <v>121</v>
      </c>
      <c r="J248" s="22" t="s">
        <v>843</v>
      </c>
      <c r="K248" s="22" t="s">
        <v>584</v>
      </c>
      <c r="L248" s="22" t="s">
        <v>55</v>
      </c>
      <c r="M248" s="22" t="s">
        <v>1316</v>
      </c>
      <c r="N248" s="22" t="s">
        <v>55</v>
      </c>
      <c r="O248" s="22" t="s">
        <v>1673</v>
      </c>
      <c r="P248" s="22" t="s">
        <v>1585</v>
      </c>
      <c r="Q248" s="22" t="s">
        <v>1674</v>
      </c>
      <c r="R248" s="22" t="s">
        <v>55</v>
      </c>
      <c r="S248" s="22" t="s">
        <v>55</v>
      </c>
      <c r="T248" s="22" t="s">
        <v>1675</v>
      </c>
      <c r="U248" s="22" t="s">
        <v>63</v>
      </c>
      <c r="V248" s="23">
        <v>45991</v>
      </c>
      <c r="W248" s="22" t="s">
        <v>55</v>
      </c>
      <c r="X248" s="22" t="s">
        <v>1676</v>
      </c>
      <c r="Y248" s="22" t="s">
        <v>65</v>
      </c>
      <c r="Z248" s="22" t="s">
        <v>55</v>
      </c>
      <c r="AA248" s="22" t="s">
        <v>152</v>
      </c>
      <c r="AB248" s="22" t="s">
        <v>55</v>
      </c>
      <c r="AC248" s="22" t="s">
        <v>55</v>
      </c>
      <c r="AD248" s="22" t="s">
        <v>118</v>
      </c>
      <c r="AE248" s="22" t="s">
        <v>97</v>
      </c>
      <c r="AF248" s="22" t="s">
        <v>98</v>
      </c>
      <c r="AG248" s="22" t="s">
        <v>55</v>
      </c>
      <c r="AH248" s="22" t="s">
        <v>55</v>
      </c>
      <c r="AI248" s="22" t="s">
        <v>55</v>
      </c>
      <c r="AJ248" s="22" t="s">
        <v>55</v>
      </c>
      <c r="AK248" s="22" t="s">
        <v>55</v>
      </c>
      <c r="AL248" s="22" t="s">
        <v>55</v>
      </c>
      <c r="AM248" s="22" t="s">
        <v>55</v>
      </c>
      <c r="AN248" s="22" t="s">
        <v>55</v>
      </c>
      <c r="AO248" s="22" t="s">
        <v>55</v>
      </c>
      <c r="AP248" s="22" t="s">
        <v>55</v>
      </c>
      <c r="AQ248" s="22" t="s">
        <v>55</v>
      </c>
      <c r="AR248" s="22" t="s">
        <v>55</v>
      </c>
      <c r="AS248" s="22" t="s">
        <v>55</v>
      </c>
      <c r="AT248" s="22" t="s">
        <v>55</v>
      </c>
      <c r="AU248" s="22" t="s">
        <v>55</v>
      </c>
      <c r="AV248" s="22" t="s">
        <v>55</v>
      </c>
      <c r="AW248" s="22" t="s">
        <v>55</v>
      </c>
      <c r="AX248" s="22" t="s">
        <v>55</v>
      </c>
      <c r="AY248" s="22" t="s">
        <v>1584</v>
      </c>
    </row>
    <row r="249" spans="1:51" ht="29" x14ac:dyDescent="0.35">
      <c r="A249" s="22" t="s">
        <v>1683</v>
      </c>
      <c r="B249" s="22" t="s">
        <v>347</v>
      </c>
      <c r="C249" s="22" t="s">
        <v>116</v>
      </c>
      <c r="D249" s="22" t="s">
        <v>465</v>
      </c>
      <c r="E249" s="22" t="s">
        <v>52</v>
      </c>
      <c r="F249" s="22" t="s">
        <v>1672</v>
      </c>
      <c r="G249" s="22" t="s">
        <v>493</v>
      </c>
      <c r="H249" s="22" t="s">
        <v>1729</v>
      </c>
      <c r="I249" s="22" t="s">
        <v>361</v>
      </c>
      <c r="J249" s="22" t="s">
        <v>974</v>
      </c>
      <c r="K249" s="22" t="s">
        <v>584</v>
      </c>
      <c r="L249" s="22" t="s">
        <v>55</v>
      </c>
      <c r="M249" s="22" t="s">
        <v>1497</v>
      </c>
      <c r="N249" s="22" t="s">
        <v>55</v>
      </c>
      <c r="O249" s="22" t="s">
        <v>1673</v>
      </c>
      <c r="P249" s="22" t="s">
        <v>1585</v>
      </c>
      <c r="Q249" s="22" t="s">
        <v>1684</v>
      </c>
      <c r="R249" s="22" t="s">
        <v>55</v>
      </c>
      <c r="S249" s="22" t="s">
        <v>55</v>
      </c>
      <c r="T249" s="22" t="s">
        <v>1685</v>
      </c>
      <c r="U249" s="22" t="s">
        <v>63</v>
      </c>
      <c r="V249" s="23">
        <v>45991</v>
      </c>
      <c r="W249" s="22" t="s">
        <v>55</v>
      </c>
      <c r="X249" s="22" t="s">
        <v>1676</v>
      </c>
      <c r="Y249" s="22" t="s">
        <v>65</v>
      </c>
      <c r="Z249" s="22" t="s">
        <v>55</v>
      </c>
      <c r="AA249" s="22" t="s">
        <v>152</v>
      </c>
      <c r="AB249" s="22" t="s">
        <v>55</v>
      </c>
      <c r="AC249" s="22" t="s">
        <v>55</v>
      </c>
      <c r="AD249" s="22" t="s">
        <v>118</v>
      </c>
      <c r="AE249" s="22" t="s">
        <v>97</v>
      </c>
      <c r="AF249" s="22" t="s">
        <v>98</v>
      </c>
      <c r="AG249" s="22" t="s">
        <v>55</v>
      </c>
      <c r="AH249" s="22" t="s">
        <v>55</v>
      </c>
      <c r="AI249" s="22" t="s">
        <v>55</v>
      </c>
      <c r="AJ249" s="22" t="s">
        <v>55</v>
      </c>
      <c r="AK249" s="22" t="s">
        <v>55</v>
      </c>
      <c r="AL249" s="22" t="s">
        <v>55</v>
      </c>
      <c r="AM249" s="22" t="s">
        <v>55</v>
      </c>
      <c r="AN249" s="22" t="s">
        <v>55</v>
      </c>
      <c r="AO249" s="22" t="s">
        <v>55</v>
      </c>
      <c r="AP249" s="22" t="s">
        <v>55</v>
      </c>
      <c r="AQ249" s="22" t="s">
        <v>55</v>
      </c>
      <c r="AR249" s="22" t="s">
        <v>55</v>
      </c>
      <c r="AS249" s="22" t="s">
        <v>55</v>
      </c>
      <c r="AT249" s="22" t="s">
        <v>55</v>
      </c>
      <c r="AU249" s="22" t="s">
        <v>55</v>
      </c>
      <c r="AV249" s="22" t="s">
        <v>55</v>
      </c>
      <c r="AW249" s="22" t="s">
        <v>55</v>
      </c>
      <c r="AX249" s="22" t="s">
        <v>55</v>
      </c>
      <c r="AY249" s="22" t="s">
        <v>1584</v>
      </c>
    </row>
    <row r="250" spans="1:51" ht="29" x14ac:dyDescent="0.35">
      <c r="A250" s="22" t="s">
        <v>1686</v>
      </c>
      <c r="B250" s="22" t="s">
        <v>347</v>
      </c>
      <c r="C250" s="22" t="s">
        <v>116</v>
      </c>
      <c r="D250" s="22" t="s">
        <v>465</v>
      </c>
      <c r="E250" s="22" t="s">
        <v>52</v>
      </c>
      <c r="F250" s="22" t="s">
        <v>1687</v>
      </c>
      <c r="G250" s="22" t="s">
        <v>84</v>
      </c>
      <c r="H250" s="22" t="s">
        <v>84</v>
      </c>
      <c r="I250" s="22" t="s">
        <v>526</v>
      </c>
      <c r="J250" s="22" t="s">
        <v>1343</v>
      </c>
      <c r="K250" s="22" t="s">
        <v>594</v>
      </c>
      <c r="L250" s="22" t="s">
        <v>55</v>
      </c>
      <c r="M250" s="22" t="s">
        <v>1688</v>
      </c>
      <c r="N250" s="22" t="s">
        <v>55</v>
      </c>
      <c r="O250" s="22" t="s">
        <v>1689</v>
      </c>
      <c r="P250" s="22" t="s">
        <v>1690</v>
      </c>
      <c r="Q250" s="22" t="s">
        <v>1690</v>
      </c>
      <c r="R250" s="22" t="s">
        <v>55</v>
      </c>
      <c r="S250" s="22" t="s">
        <v>55</v>
      </c>
      <c r="T250" s="22" t="s">
        <v>1691</v>
      </c>
      <c r="U250" s="22" t="s">
        <v>63</v>
      </c>
      <c r="V250" s="23">
        <v>46022</v>
      </c>
      <c r="W250" s="22" t="s">
        <v>55</v>
      </c>
      <c r="X250" s="22" t="s">
        <v>1692</v>
      </c>
      <c r="Y250" s="22" t="s">
        <v>65</v>
      </c>
      <c r="Z250" s="22" t="s">
        <v>55</v>
      </c>
      <c r="AA250" s="22" t="s">
        <v>221</v>
      </c>
      <c r="AB250" s="22" t="s">
        <v>55</v>
      </c>
      <c r="AC250" s="22" t="s">
        <v>55</v>
      </c>
      <c r="AD250" s="22" t="s">
        <v>118</v>
      </c>
      <c r="AE250" s="22" t="s">
        <v>97</v>
      </c>
      <c r="AF250" s="22" t="s">
        <v>100</v>
      </c>
      <c r="AG250" s="22" t="s">
        <v>55</v>
      </c>
      <c r="AH250" s="22" t="s">
        <v>55</v>
      </c>
      <c r="AI250" s="22" t="s">
        <v>55</v>
      </c>
      <c r="AJ250" s="22" t="s">
        <v>55</v>
      </c>
      <c r="AK250" s="22" t="s">
        <v>55</v>
      </c>
      <c r="AL250" s="22" t="s">
        <v>55</v>
      </c>
      <c r="AM250" s="22" t="s">
        <v>55</v>
      </c>
      <c r="AN250" s="22" t="s">
        <v>55</v>
      </c>
      <c r="AO250" s="22" t="s">
        <v>55</v>
      </c>
      <c r="AP250" s="22" t="s">
        <v>55</v>
      </c>
      <c r="AQ250" s="22" t="s">
        <v>55</v>
      </c>
      <c r="AR250" s="22" t="s">
        <v>55</v>
      </c>
      <c r="AS250" s="22" t="s">
        <v>55</v>
      </c>
      <c r="AT250" s="22" t="s">
        <v>55</v>
      </c>
      <c r="AU250" s="22" t="s">
        <v>55</v>
      </c>
      <c r="AV250" s="22" t="s">
        <v>55</v>
      </c>
      <c r="AW250" s="22" t="s">
        <v>55</v>
      </c>
      <c r="AX250" s="22" t="s">
        <v>55</v>
      </c>
      <c r="AY250" s="22" t="s">
        <v>1693</v>
      </c>
    </row>
    <row r="251" spans="1:51" ht="29" x14ac:dyDescent="0.35">
      <c r="A251" s="22" t="s">
        <v>1694</v>
      </c>
      <c r="B251" s="22" t="s">
        <v>347</v>
      </c>
      <c r="C251" s="22" t="s">
        <v>116</v>
      </c>
      <c r="D251" s="22" t="s">
        <v>465</v>
      </c>
      <c r="E251" s="22" t="s">
        <v>52</v>
      </c>
      <c r="F251" s="22" t="s">
        <v>1695</v>
      </c>
      <c r="G251" s="22" t="s">
        <v>84</v>
      </c>
      <c r="H251" s="22" t="s">
        <v>1696</v>
      </c>
      <c r="I251" s="22" t="s">
        <v>526</v>
      </c>
      <c r="J251" s="22" t="s">
        <v>1343</v>
      </c>
      <c r="K251" s="22" t="s">
        <v>594</v>
      </c>
      <c r="L251" s="22" t="s">
        <v>55</v>
      </c>
      <c r="M251" s="22" t="s">
        <v>1688</v>
      </c>
      <c r="N251" s="22" t="s">
        <v>55</v>
      </c>
      <c r="O251" s="22" t="s">
        <v>1697</v>
      </c>
      <c r="P251" s="22" t="s">
        <v>1690</v>
      </c>
      <c r="Q251" s="22" t="s">
        <v>1690</v>
      </c>
      <c r="R251" s="22" t="s">
        <v>55</v>
      </c>
      <c r="S251" s="22" t="s">
        <v>55</v>
      </c>
      <c r="T251" s="22" t="s">
        <v>1691</v>
      </c>
      <c r="U251" s="22" t="s">
        <v>63</v>
      </c>
      <c r="V251" s="23">
        <v>46022</v>
      </c>
      <c r="W251" s="22" t="s">
        <v>55</v>
      </c>
      <c r="X251" s="22" t="s">
        <v>1692</v>
      </c>
      <c r="Y251" s="22" t="s">
        <v>65</v>
      </c>
      <c r="Z251" s="22" t="s">
        <v>55</v>
      </c>
      <c r="AA251" s="22" t="s">
        <v>221</v>
      </c>
      <c r="AB251" s="22" t="s">
        <v>55</v>
      </c>
      <c r="AC251" s="22" t="s">
        <v>55</v>
      </c>
      <c r="AD251" s="22" t="s">
        <v>118</v>
      </c>
      <c r="AE251" s="22" t="s">
        <v>97</v>
      </c>
      <c r="AF251" s="22" t="s">
        <v>100</v>
      </c>
      <c r="AG251" s="22" t="s">
        <v>55</v>
      </c>
      <c r="AH251" s="22" t="s">
        <v>55</v>
      </c>
      <c r="AI251" s="22" t="s">
        <v>55</v>
      </c>
      <c r="AJ251" s="22" t="s">
        <v>55</v>
      </c>
      <c r="AK251" s="22" t="s">
        <v>55</v>
      </c>
      <c r="AL251" s="22" t="s">
        <v>55</v>
      </c>
      <c r="AM251" s="22" t="s">
        <v>55</v>
      </c>
      <c r="AN251" s="22" t="s">
        <v>55</v>
      </c>
      <c r="AO251" s="22" t="s">
        <v>55</v>
      </c>
      <c r="AP251" s="22" t="s">
        <v>55</v>
      </c>
      <c r="AQ251" s="22" t="s">
        <v>55</v>
      </c>
      <c r="AR251" s="22" t="s">
        <v>55</v>
      </c>
      <c r="AS251" s="22" t="s">
        <v>55</v>
      </c>
      <c r="AT251" s="22" t="s">
        <v>55</v>
      </c>
      <c r="AU251" s="22" t="s">
        <v>55</v>
      </c>
      <c r="AV251" s="22" t="s">
        <v>55</v>
      </c>
      <c r="AW251" s="22" t="s">
        <v>55</v>
      </c>
      <c r="AX251" s="22" t="s">
        <v>55</v>
      </c>
      <c r="AY251" s="22" t="s">
        <v>1693</v>
      </c>
    </row>
    <row r="252" spans="1:51" ht="43.5" x14ac:dyDescent="0.35">
      <c r="A252" s="22" t="s">
        <v>1698</v>
      </c>
      <c r="B252" s="22" t="s">
        <v>347</v>
      </c>
      <c r="C252" s="22" t="s">
        <v>116</v>
      </c>
      <c r="D252" s="22" t="s">
        <v>465</v>
      </c>
      <c r="E252" s="22" t="s">
        <v>52</v>
      </c>
      <c r="F252" s="22" t="s">
        <v>611</v>
      </c>
      <c r="G252" s="22" t="s">
        <v>54</v>
      </c>
      <c r="H252" s="22" t="s">
        <v>1719</v>
      </c>
      <c r="I252" s="22" t="s">
        <v>361</v>
      </c>
      <c r="J252" s="22" t="s">
        <v>980</v>
      </c>
      <c r="K252" s="22" t="s">
        <v>868</v>
      </c>
      <c r="L252" s="22" t="s">
        <v>55</v>
      </c>
      <c r="M252" s="22" t="s">
        <v>1699</v>
      </c>
      <c r="N252" s="22" t="s">
        <v>55</v>
      </c>
      <c r="O252" s="22" t="s">
        <v>1444</v>
      </c>
      <c r="P252" s="22" t="s">
        <v>1700</v>
      </c>
      <c r="Q252" s="22" t="s">
        <v>1701</v>
      </c>
      <c r="R252" s="22" t="s">
        <v>55</v>
      </c>
      <c r="S252" s="22" t="s">
        <v>55</v>
      </c>
      <c r="T252" s="22" t="s">
        <v>1702</v>
      </c>
      <c r="U252" s="22" t="s">
        <v>63</v>
      </c>
      <c r="V252" s="23">
        <v>45991</v>
      </c>
      <c r="W252" s="22" t="s">
        <v>55</v>
      </c>
      <c r="X252" s="22" t="s">
        <v>1703</v>
      </c>
      <c r="Y252" s="22" t="s">
        <v>65</v>
      </c>
      <c r="Z252" s="22" t="s">
        <v>55</v>
      </c>
      <c r="AA252" s="22" t="s">
        <v>152</v>
      </c>
      <c r="AB252" s="22" t="s">
        <v>55</v>
      </c>
      <c r="AC252" s="22" t="s">
        <v>55</v>
      </c>
      <c r="AD252" s="22" t="s">
        <v>118</v>
      </c>
      <c r="AE252" s="22" t="s">
        <v>97</v>
      </c>
      <c r="AF252" s="22" t="s">
        <v>226</v>
      </c>
      <c r="AG252" s="22" t="s">
        <v>55</v>
      </c>
      <c r="AH252" s="22" t="s">
        <v>55</v>
      </c>
      <c r="AI252" s="22" t="s">
        <v>55</v>
      </c>
      <c r="AJ252" s="22" t="s">
        <v>55</v>
      </c>
      <c r="AK252" s="22" t="s">
        <v>55</v>
      </c>
      <c r="AL252" s="22" t="s">
        <v>55</v>
      </c>
      <c r="AM252" s="22" t="s">
        <v>55</v>
      </c>
      <c r="AN252" s="22" t="s">
        <v>55</v>
      </c>
      <c r="AO252" s="22" t="s">
        <v>55</v>
      </c>
      <c r="AP252" s="22" t="s">
        <v>55</v>
      </c>
      <c r="AQ252" s="22" t="s">
        <v>55</v>
      </c>
      <c r="AR252" s="22" t="s">
        <v>55</v>
      </c>
      <c r="AS252" s="22" t="s">
        <v>55</v>
      </c>
      <c r="AT252" s="22" t="s">
        <v>55</v>
      </c>
      <c r="AU252" s="22" t="s">
        <v>55</v>
      </c>
      <c r="AV252" s="22" t="s">
        <v>55</v>
      </c>
      <c r="AW252" s="22" t="s">
        <v>55</v>
      </c>
      <c r="AX252" s="22" t="s">
        <v>55</v>
      </c>
      <c r="AY252" s="22" t="s">
        <v>1693</v>
      </c>
    </row>
    <row r="253" spans="1:51" ht="43.5" x14ac:dyDescent="0.35">
      <c r="A253" s="22" t="s">
        <v>1704</v>
      </c>
      <c r="B253" s="22" t="s">
        <v>347</v>
      </c>
      <c r="C253" s="22" t="s">
        <v>116</v>
      </c>
      <c r="D253" s="22" t="s">
        <v>465</v>
      </c>
      <c r="E253" s="22" t="s">
        <v>52</v>
      </c>
      <c r="F253" s="22" t="s">
        <v>611</v>
      </c>
      <c r="G253" s="22" t="s">
        <v>54</v>
      </c>
      <c r="H253" s="22" t="s">
        <v>1719</v>
      </c>
      <c r="I253" s="22" t="s">
        <v>361</v>
      </c>
      <c r="J253" s="22" t="s">
        <v>1705</v>
      </c>
      <c r="K253" s="22" t="s">
        <v>868</v>
      </c>
      <c r="L253" s="22" t="s">
        <v>55</v>
      </c>
      <c r="M253" s="22" t="s">
        <v>1706</v>
      </c>
      <c r="N253" s="22" t="s">
        <v>55</v>
      </c>
      <c r="O253" s="22" t="s">
        <v>1444</v>
      </c>
      <c r="P253" s="22" t="s">
        <v>1700</v>
      </c>
      <c r="Q253" s="22" t="s">
        <v>1701</v>
      </c>
      <c r="R253" s="22" t="s">
        <v>55</v>
      </c>
      <c r="S253" s="22" t="s">
        <v>55</v>
      </c>
      <c r="T253" s="22" t="s">
        <v>1702</v>
      </c>
      <c r="U253" s="22" t="s">
        <v>63</v>
      </c>
      <c r="V253" s="23">
        <v>45991</v>
      </c>
      <c r="W253" s="22" t="s">
        <v>55</v>
      </c>
      <c r="X253" s="22" t="s">
        <v>1703</v>
      </c>
      <c r="Y253" s="22" t="s">
        <v>65</v>
      </c>
      <c r="Z253" s="22" t="s">
        <v>55</v>
      </c>
      <c r="AA253" s="22" t="s">
        <v>152</v>
      </c>
      <c r="AB253" s="22" t="s">
        <v>55</v>
      </c>
      <c r="AC253" s="22" t="s">
        <v>55</v>
      </c>
      <c r="AD253" s="22" t="s">
        <v>118</v>
      </c>
      <c r="AE253" s="22" t="s">
        <v>97</v>
      </c>
      <c r="AF253" s="22" t="s">
        <v>156</v>
      </c>
      <c r="AG253" s="22" t="s">
        <v>55</v>
      </c>
      <c r="AH253" s="22" t="s">
        <v>55</v>
      </c>
      <c r="AI253" s="22" t="s">
        <v>55</v>
      </c>
      <c r="AJ253" s="22" t="s">
        <v>55</v>
      </c>
      <c r="AK253" s="22" t="s">
        <v>55</v>
      </c>
      <c r="AL253" s="22" t="s">
        <v>55</v>
      </c>
      <c r="AM253" s="22" t="s">
        <v>55</v>
      </c>
      <c r="AN253" s="22" t="s">
        <v>55</v>
      </c>
      <c r="AO253" s="22" t="s">
        <v>55</v>
      </c>
      <c r="AP253" s="22" t="s">
        <v>55</v>
      </c>
      <c r="AQ253" s="22" t="s">
        <v>55</v>
      </c>
      <c r="AR253" s="22" t="s">
        <v>55</v>
      </c>
      <c r="AS253" s="22" t="s">
        <v>55</v>
      </c>
      <c r="AT253" s="22" t="s">
        <v>55</v>
      </c>
      <c r="AU253" s="22" t="s">
        <v>55</v>
      </c>
      <c r="AV253" s="22" t="s">
        <v>55</v>
      </c>
      <c r="AW253" s="22" t="s">
        <v>55</v>
      </c>
      <c r="AX253" s="22" t="s">
        <v>55</v>
      </c>
      <c r="AY253" s="22" t="s">
        <v>1693</v>
      </c>
    </row>
    <row r="254" spans="1:51" ht="29" x14ac:dyDescent="0.35">
      <c r="A254" s="22" t="s">
        <v>1707</v>
      </c>
      <c r="B254" s="22" t="s">
        <v>347</v>
      </c>
      <c r="C254" s="22" t="s">
        <v>116</v>
      </c>
      <c r="D254" s="22" t="s">
        <v>465</v>
      </c>
      <c r="E254" s="22" t="s">
        <v>52</v>
      </c>
      <c r="F254" s="22" t="s">
        <v>1672</v>
      </c>
      <c r="G254" s="22" t="s">
        <v>493</v>
      </c>
      <c r="H254" s="22" t="s">
        <v>1729</v>
      </c>
      <c r="I254" s="22" t="s">
        <v>119</v>
      </c>
      <c r="J254" s="22" t="s">
        <v>242</v>
      </c>
      <c r="K254" s="22" t="s">
        <v>868</v>
      </c>
      <c r="L254" s="22" t="s">
        <v>55</v>
      </c>
      <c r="M254" s="22" t="s">
        <v>122</v>
      </c>
      <c r="N254" s="22" t="s">
        <v>55</v>
      </c>
      <c r="O254" s="22" t="s">
        <v>1673</v>
      </c>
      <c r="P254" s="22" t="s">
        <v>1700</v>
      </c>
      <c r="Q254" s="22" t="s">
        <v>1708</v>
      </c>
      <c r="R254" s="22" t="s">
        <v>55</v>
      </c>
      <c r="S254" s="22" t="s">
        <v>55</v>
      </c>
      <c r="T254" s="22" t="s">
        <v>1709</v>
      </c>
      <c r="U254" s="22" t="s">
        <v>63</v>
      </c>
      <c r="V254" s="23">
        <v>46052</v>
      </c>
      <c r="W254" s="22" t="s">
        <v>55</v>
      </c>
      <c r="X254" s="22" t="s">
        <v>1679</v>
      </c>
      <c r="Y254" s="22" t="s">
        <v>65</v>
      </c>
      <c r="Z254" s="22" t="s">
        <v>55</v>
      </c>
      <c r="AA254" s="22" t="s">
        <v>155</v>
      </c>
      <c r="AB254" s="22" t="s">
        <v>55</v>
      </c>
      <c r="AC254" s="22" t="s">
        <v>55</v>
      </c>
      <c r="AD254" s="22" t="s">
        <v>118</v>
      </c>
      <c r="AE254" s="22" t="s">
        <v>97</v>
      </c>
      <c r="AF254" s="22" t="s">
        <v>123</v>
      </c>
      <c r="AG254" s="22" t="s">
        <v>55</v>
      </c>
      <c r="AH254" s="22" t="s">
        <v>55</v>
      </c>
      <c r="AI254" s="22" t="s">
        <v>55</v>
      </c>
      <c r="AJ254" s="22" t="s">
        <v>55</v>
      </c>
      <c r="AK254" s="22" t="s">
        <v>55</v>
      </c>
      <c r="AL254" s="22" t="s">
        <v>55</v>
      </c>
      <c r="AM254" s="22" t="s">
        <v>55</v>
      </c>
      <c r="AN254" s="22" t="s">
        <v>55</v>
      </c>
      <c r="AO254" s="22" t="s">
        <v>55</v>
      </c>
      <c r="AP254" s="22" t="s">
        <v>55</v>
      </c>
      <c r="AQ254" s="22" t="s">
        <v>55</v>
      </c>
      <c r="AR254" s="22" t="s">
        <v>55</v>
      </c>
      <c r="AS254" s="22" t="s">
        <v>55</v>
      </c>
      <c r="AT254" s="22" t="s">
        <v>55</v>
      </c>
      <c r="AU254" s="22" t="s">
        <v>55</v>
      </c>
      <c r="AV254" s="22" t="s">
        <v>55</v>
      </c>
      <c r="AW254" s="22" t="s">
        <v>55</v>
      </c>
      <c r="AX254" s="22" t="s">
        <v>55</v>
      </c>
      <c r="AY254" s="22" t="s">
        <v>1693</v>
      </c>
    </row>
    <row r="255" spans="1:51" ht="159.5" x14ac:dyDescent="0.35">
      <c r="A255" s="22" t="s">
        <v>1730</v>
      </c>
      <c r="B255" s="22" t="s">
        <v>347</v>
      </c>
      <c r="C255" s="22" t="s">
        <v>51</v>
      </c>
      <c r="D255" s="22" t="s">
        <v>465</v>
      </c>
      <c r="E255" s="22" t="s">
        <v>108</v>
      </c>
      <c r="F255" s="22" t="s">
        <v>1731</v>
      </c>
      <c r="G255" s="22" t="s">
        <v>606</v>
      </c>
      <c r="H255" s="22" t="s">
        <v>1732</v>
      </c>
      <c r="I255" s="22" t="s">
        <v>362</v>
      </c>
      <c r="J255" s="22" t="s">
        <v>1733</v>
      </c>
      <c r="K255" s="22" t="s">
        <v>593</v>
      </c>
      <c r="L255" s="22" t="s">
        <v>103</v>
      </c>
      <c r="M255" s="22" t="s">
        <v>55</v>
      </c>
      <c r="N255" s="22" t="s">
        <v>55</v>
      </c>
      <c r="O255" s="22" t="s">
        <v>1734</v>
      </c>
      <c r="P255" s="22" t="s">
        <v>1735</v>
      </c>
      <c r="Q255" s="22" t="s">
        <v>1736</v>
      </c>
      <c r="R255" s="22" t="s">
        <v>63</v>
      </c>
      <c r="S255" s="22" t="s">
        <v>1737</v>
      </c>
      <c r="T255" s="22" t="s">
        <v>1738</v>
      </c>
      <c r="U255" s="22" t="s">
        <v>132</v>
      </c>
      <c r="V255" s="23">
        <v>45989</v>
      </c>
      <c r="W255" s="22" t="s">
        <v>55</v>
      </c>
      <c r="X255" s="22" t="s">
        <v>1739</v>
      </c>
      <c r="Y255" s="22" t="s">
        <v>65</v>
      </c>
      <c r="Z255" s="22" t="s">
        <v>55</v>
      </c>
      <c r="AA255" s="22" t="s">
        <v>152</v>
      </c>
      <c r="AB255" s="22" t="s">
        <v>55</v>
      </c>
      <c r="AC255" s="22" t="s">
        <v>55</v>
      </c>
      <c r="AD255" s="22" t="s">
        <v>67</v>
      </c>
      <c r="AE255" s="22" t="s">
        <v>257</v>
      </c>
      <c r="AF255" s="22" t="s">
        <v>55</v>
      </c>
      <c r="AG255" s="22" t="s">
        <v>55</v>
      </c>
      <c r="AH255" s="22" t="s">
        <v>55</v>
      </c>
      <c r="AI255" s="22" t="s">
        <v>55</v>
      </c>
      <c r="AJ255" s="22" t="s">
        <v>55</v>
      </c>
      <c r="AK255" s="22" t="s">
        <v>55</v>
      </c>
      <c r="AL255" s="22" t="s">
        <v>55</v>
      </c>
      <c r="AM255" s="22" t="s">
        <v>55</v>
      </c>
      <c r="AN255" s="22" t="s">
        <v>55</v>
      </c>
      <c r="AO255" s="22" t="s">
        <v>55</v>
      </c>
      <c r="AP255" s="22" t="s">
        <v>55</v>
      </c>
      <c r="AQ255" s="22" t="s">
        <v>55</v>
      </c>
      <c r="AR255" s="22" t="s">
        <v>55</v>
      </c>
      <c r="AS255" s="22" t="s">
        <v>55</v>
      </c>
      <c r="AT255" s="22" t="s">
        <v>55</v>
      </c>
      <c r="AU255" s="22" t="s">
        <v>55</v>
      </c>
      <c r="AV255" s="22" t="s">
        <v>55</v>
      </c>
      <c r="AW255" s="23">
        <v>45877</v>
      </c>
      <c r="AX255" s="23">
        <v>45926</v>
      </c>
      <c r="AY255" s="22" t="s">
        <v>1740</v>
      </c>
    </row>
    <row r="256" spans="1:51" ht="362.5" x14ac:dyDescent="0.35">
      <c r="A256" s="22" t="s">
        <v>1741</v>
      </c>
      <c r="B256" s="22" t="s">
        <v>347</v>
      </c>
      <c r="C256" s="22" t="s">
        <v>51</v>
      </c>
      <c r="D256" s="22" t="s">
        <v>465</v>
      </c>
      <c r="E256" s="22" t="s">
        <v>108</v>
      </c>
      <c r="F256" s="22" t="s">
        <v>1731</v>
      </c>
      <c r="G256" s="22" t="s">
        <v>606</v>
      </c>
      <c r="H256" s="22" t="s">
        <v>1732</v>
      </c>
      <c r="I256" s="22" t="s">
        <v>109</v>
      </c>
      <c r="J256" s="22" t="s">
        <v>1742</v>
      </c>
      <c r="K256" s="22" t="s">
        <v>586</v>
      </c>
      <c r="L256" s="22" t="s">
        <v>57</v>
      </c>
      <c r="M256" s="22" t="s">
        <v>55</v>
      </c>
      <c r="N256" s="22" t="s">
        <v>55</v>
      </c>
      <c r="O256" s="22" t="s">
        <v>1734</v>
      </c>
      <c r="P256" s="22" t="s">
        <v>1743</v>
      </c>
      <c r="Q256" s="22" t="s">
        <v>1744</v>
      </c>
      <c r="R256" s="22" t="s">
        <v>63</v>
      </c>
      <c r="S256" s="22" t="s">
        <v>1745</v>
      </c>
      <c r="T256" s="22" t="s">
        <v>1746</v>
      </c>
      <c r="U256" s="22" t="s">
        <v>132</v>
      </c>
      <c r="V256" s="23">
        <v>45945</v>
      </c>
      <c r="W256" s="22" t="s">
        <v>55</v>
      </c>
      <c r="X256" s="22" t="s">
        <v>1747</v>
      </c>
      <c r="Y256" s="22" t="s">
        <v>65</v>
      </c>
      <c r="Z256" s="22" t="s">
        <v>55</v>
      </c>
      <c r="AA256" s="22" t="s">
        <v>66</v>
      </c>
      <c r="AB256" s="22" t="s">
        <v>55</v>
      </c>
      <c r="AC256" s="22" t="s">
        <v>55</v>
      </c>
      <c r="AD256" s="22" t="s">
        <v>67</v>
      </c>
      <c r="AE256" s="22" t="s">
        <v>257</v>
      </c>
      <c r="AF256" s="22" t="s">
        <v>55</v>
      </c>
      <c r="AG256" s="22" t="s">
        <v>55</v>
      </c>
      <c r="AH256" s="22" t="s">
        <v>55</v>
      </c>
      <c r="AI256" s="22" t="s">
        <v>55</v>
      </c>
      <c r="AJ256" s="22" t="s">
        <v>55</v>
      </c>
      <c r="AK256" s="22" t="s">
        <v>55</v>
      </c>
      <c r="AL256" s="22" t="s">
        <v>55</v>
      </c>
      <c r="AM256" s="22" t="s">
        <v>55</v>
      </c>
      <c r="AN256" s="22" t="s">
        <v>55</v>
      </c>
      <c r="AO256" s="22" t="s">
        <v>55</v>
      </c>
      <c r="AP256" s="22" t="s">
        <v>55</v>
      </c>
      <c r="AQ256" s="22" t="s">
        <v>55</v>
      </c>
      <c r="AR256" s="22" t="s">
        <v>55</v>
      </c>
      <c r="AS256" s="22" t="s">
        <v>55</v>
      </c>
      <c r="AT256" s="22" t="s">
        <v>55</v>
      </c>
      <c r="AU256" s="22" t="s">
        <v>55</v>
      </c>
      <c r="AV256" s="22" t="s">
        <v>55</v>
      </c>
      <c r="AW256" s="23">
        <v>45877</v>
      </c>
      <c r="AX256" s="23">
        <v>45926</v>
      </c>
      <c r="AY256" s="22" t="s">
        <v>1740</v>
      </c>
    </row>
    <row r="257" spans="1:51" ht="130.5" x14ac:dyDescent="0.35">
      <c r="A257" s="22" t="s">
        <v>1748</v>
      </c>
      <c r="B257" s="22" t="s">
        <v>347</v>
      </c>
      <c r="C257" s="22" t="s">
        <v>51</v>
      </c>
      <c r="D257" s="22" t="s">
        <v>465</v>
      </c>
      <c r="E257" s="22" t="s">
        <v>108</v>
      </c>
      <c r="F257" s="22" t="s">
        <v>1731</v>
      </c>
      <c r="G257" s="22" t="s">
        <v>606</v>
      </c>
      <c r="H257" s="22" t="s">
        <v>1732</v>
      </c>
      <c r="I257" s="22" t="s">
        <v>117</v>
      </c>
      <c r="J257" s="22" t="s">
        <v>1749</v>
      </c>
      <c r="K257" s="22" t="s">
        <v>573</v>
      </c>
      <c r="L257" s="22" t="s">
        <v>57</v>
      </c>
      <c r="M257" s="22" t="s">
        <v>1024</v>
      </c>
      <c r="N257" s="22" t="s">
        <v>55</v>
      </c>
      <c r="O257" s="22" t="s">
        <v>1734</v>
      </c>
      <c r="P257" s="22" t="s">
        <v>1750</v>
      </c>
      <c r="Q257" s="22" t="s">
        <v>1751</v>
      </c>
      <c r="R257" s="22" t="s">
        <v>63</v>
      </c>
      <c r="S257" s="22" t="s">
        <v>1752</v>
      </c>
      <c r="T257" s="22" t="s">
        <v>1753</v>
      </c>
      <c r="U257" s="22" t="s">
        <v>63</v>
      </c>
      <c r="V257" s="23">
        <v>45930</v>
      </c>
      <c r="W257" s="22" t="s">
        <v>55</v>
      </c>
      <c r="X257" s="22" t="s">
        <v>1739</v>
      </c>
      <c r="Y257" s="22" t="s">
        <v>65</v>
      </c>
      <c r="Z257" s="22" t="s">
        <v>55</v>
      </c>
      <c r="AA257" s="22" t="s">
        <v>66</v>
      </c>
      <c r="AB257" s="22" t="s">
        <v>55</v>
      </c>
      <c r="AC257" s="22" t="s">
        <v>55</v>
      </c>
      <c r="AD257" s="22" t="s">
        <v>67</v>
      </c>
      <c r="AE257" s="22" t="s">
        <v>257</v>
      </c>
      <c r="AF257" s="22" t="s">
        <v>1025</v>
      </c>
      <c r="AG257" s="22" t="s">
        <v>55</v>
      </c>
      <c r="AH257" s="22" t="s">
        <v>55</v>
      </c>
      <c r="AI257" s="22" t="s">
        <v>55</v>
      </c>
      <c r="AJ257" s="22" t="s">
        <v>55</v>
      </c>
      <c r="AK257" s="22" t="s">
        <v>55</v>
      </c>
      <c r="AL257" s="22" t="s">
        <v>55</v>
      </c>
      <c r="AM257" s="22" t="s">
        <v>55</v>
      </c>
      <c r="AN257" s="22" t="s">
        <v>55</v>
      </c>
      <c r="AO257" s="22" t="s">
        <v>55</v>
      </c>
      <c r="AP257" s="22" t="s">
        <v>55</v>
      </c>
      <c r="AQ257" s="22" t="s">
        <v>55</v>
      </c>
      <c r="AR257" s="22" t="s">
        <v>55</v>
      </c>
      <c r="AS257" s="22" t="s">
        <v>55</v>
      </c>
      <c r="AT257" s="22" t="s">
        <v>55</v>
      </c>
      <c r="AU257" s="22" t="s">
        <v>55</v>
      </c>
      <c r="AV257" s="22" t="s">
        <v>55</v>
      </c>
      <c r="AW257" s="23">
        <v>45877</v>
      </c>
      <c r="AX257" s="23">
        <v>45926</v>
      </c>
      <c r="AY257" s="22" t="s">
        <v>1740</v>
      </c>
    </row>
    <row r="258" spans="1:51" ht="101.5" x14ac:dyDescent="0.35">
      <c r="A258" s="22" t="s">
        <v>1754</v>
      </c>
      <c r="B258" s="22" t="s">
        <v>347</v>
      </c>
      <c r="C258" s="22" t="s">
        <v>51</v>
      </c>
      <c r="D258" s="22" t="s">
        <v>465</v>
      </c>
      <c r="E258" s="22" t="s">
        <v>108</v>
      </c>
      <c r="F258" s="22" t="s">
        <v>1731</v>
      </c>
      <c r="G258" s="22" t="s">
        <v>606</v>
      </c>
      <c r="H258" s="22" t="s">
        <v>1732</v>
      </c>
      <c r="I258" s="22" t="s">
        <v>121</v>
      </c>
      <c r="J258" s="22" t="s">
        <v>1755</v>
      </c>
      <c r="K258" s="22" t="s">
        <v>867</v>
      </c>
      <c r="L258" s="22" t="s">
        <v>57</v>
      </c>
      <c r="M258" s="22" t="s">
        <v>55</v>
      </c>
      <c r="N258" s="22" t="s">
        <v>55</v>
      </c>
      <c r="O258" s="22" t="s">
        <v>1734</v>
      </c>
      <c r="P258" s="22" t="s">
        <v>1756</v>
      </c>
      <c r="Q258" s="22" t="s">
        <v>1757</v>
      </c>
      <c r="R258" s="22" t="s">
        <v>63</v>
      </c>
      <c r="S258" s="22" t="s">
        <v>1758</v>
      </c>
      <c r="T258" s="22" t="s">
        <v>1759</v>
      </c>
      <c r="U258" s="22" t="s">
        <v>63</v>
      </c>
      <c r="V258" s="23">
        <v>45989</v>
      </c>
      <c r="W258" s="22" t="s">
        <v>55</v>
      </c>
      <c r="X258" s="22" t="s">
        <v>1760</v>
      </c>
      <c r="Y258" s="22" t="s">
        <v>65</v>
      </c>
      <c r="Z258" s="22" t="s">
        <v>55</v>
      </c>
      <c r="AA258" s="22" t="s">
        <v>152</v>
      </c>
      <c r="AB258" s="22" t="s">
        <v>55</v>
      </c>
      <c r="AC258" s="22" t="s">
        <v>55</v>
      </c>
      <c r="AD258" s="22" t="s">
        <v>67</v>
      </c>
      <c r="AE258" s="22" t="s">
        <v>257</v>
      </c>
      <c r="AF258" s="22" t="s">
        <v>55</v>
      </c>
      <c r="AG258" s="22" t="s">
        <v>55</v>
      </c>
      <c r="AH258" s="22" t="s">
        <v>55</v>
      </c>
      <c r="AI258" s="22" t="s">
        <v>55</v>
      </c>
      <c r="AJ258" s="22" t="s">
        <v>55</v>
      </c>
      <c r="AK258" s="22" t="s">
        <v>55</v>
      </c>
      <c r="AL258" s="22" t="s">
        <v>55</v>
      </c>
      <c r="AM258" s="22" t="s">
        <v>55</v>
      </c>
      <c r="AN258" s="22" t="s">
        <v>55</v>
      </c>
      <c r="AO258" s="22" t="s">
        <v>55</v>
      </c>
      <c r="AP258" s="22" t="s">
        <v>55</v>
      </c>
      <c r="AQ258" s="22" t="s">
        <v>55</v>
      </c>
      <c r="AR258" s="22" t="s">
        <v>55</v>
      </c>
      <c r="AS258" s="22" t="s">
        <v>55</v>
      </c>
      <c r="AT258" s="22" t="s">
        <v>55</v>
      </c>
      <c r="AU258" s="22" t="s">
        <v>55</v>
      </c>
      <c r="AV258" s="22" t="s">
        <v>55</v>
      </c>
      <c r="AW258" s="23">
        <v>45877</v>
      </c>
      <c r="AX258" s="23">
        <v>45926</v>
      </c>
      <c r="AY258" s="22" t="s">
        <v>1740</v>
      </c>
    </row>
    <row r="259" spans="1:51" ht="145" x14ac:dyDescent="0.35">
      <c r="A259" s="22" t="s">
        <v>1761</v>
      </c>
      <c r="B259" s="22" t="s">
        <v>347</v>
      </c>
      <c r="C259" s="22" t="s">
        <v>51</v>
      </c>
      <c r="D259" s="22" t="s">
        <v>465</v>
      </c>
      <c r="E259" s="22" t="s">
        <v>108</v>
      </c>
      <c r="F259" s="22" t="s">
        <v>1731</v>
      </c>
      <c r="G259" s="22" t="s">
        <v>606</v>
      </c>
      <c r="H259" s="22" t="s">
        <v>1732</v>
      </c>
      <c r="I259" s="22" t="s">
        <v>86</v>
      </c>
      <c r="J259" s="22" t="s">
        <v>897</v>
      </c>
      <c r="K259" s="22" t="s">
        <v>594</v>
      </c>
      <c r="L259" s="22" t="s">
        <v>57</v>
      </c>
      <c r="M259" s="22" t="s">
        <v>55</v>
      </c>
      <c r="N259" s="22" t="s">
        <v>55</v>
      </c>
      <c r="O259" s="22" t="s">
        <v>1734</v>
      </c>
      <c r="P259" s="22" t="s">
        <v>1762</v>
      </c>
      <c r="Q259" s="22" t="s">
        <v>1763</v>
      </c>
      <c r="R259" s="22" t="s">
        <v>63</v>
      </c>
      <c r="S259" s="22" t="s">
        <v>1764</v>
      </c>
      <c r="T259" s="22" t="s">
        <v>1765</v>
      </c>
      <c r="U259" s="22" t="s">
        <v>63</v>
      </c>
      <c r="V259" s="23">
        <v>45989</v>
      </c>
      <c r="W259" s="22" t="s">
        <v>55</v>
      </c>
      <c r="X259" s="22" t="s">
        <v>1766</v>
      </c>
      <c r="Y259" s="22" t="s">
        <v>65</v>
      </c>
      <c r="Z259" s="22" t="s">
        <v>55</v>
      </c>
      <c r="AA259" s="22" t="s">
        <v>152</v>
      </c>
      <c r="AB259" s="22" t="s">
        <v>55</v>
      </c>
      <c r="AC259" s="22" t="s">
        <v>55</v>
      </c>
      <c r="AD259" s="22" t="s">
        <v>67</v>
      </c>
      <c r="AE259" s="22" t="s">
        <v>257</v>
      </c>
      <c r="AF259" s="22" t="s">
        <v>55</v>
      </c>
      <c r="AG259" s="22" t="s">
        <v>55</v>
      </c>
      <c r="AH259" s="22" t="s">
        <v>55</v>
      </c>
      <c r="AI259" s="22" t="s">
        <v>55</v>
      </c>
      <c r="AJ259" s="22" t="s">
        <v>55</v>
      </c>
      <c r="AK259" s="22" t="s">
        <v>55</v>
      </c>
      <c r="AL259" s="22" t="s">
        <v>55</v>
      </c>
      <c r="AM259" s="22" t="s">
        <v>55</v>
      </c>
      <c r="AN259" s="22" t="s">
        <v>55</v>
      </c>
      <c r="AO259" s="22" t="s">
        <v>55</v>
      </c>
      <c r="AP259" s="22" t="s">
        <v>55</v>
      </c>
      <c r="AQ259" s="22" t="s">
        <v>55</v>
      </c>
      <c r="AR259" s="22" t="s">
        <v>55</v>
      </c>
      <c r="AS259" s="22" t="s">
        <v>55</v>
      </c>
      <c r="AT259" s="22" t="s">
        <v>55</v>
      </c>
      <c r="AU259" s="22" t="s">
        <v>55</v>
      </c>
      <c r="AV259" s="22" t="s">
        <v>55</v>
      </c>
      <c r="AW259" s="23">
        <v>45877</v>
      </c>
      <c r="AX259" s="23">
        <v>45926</v>
      </c>
      <c r="AY259" s="22" t="s">
        <v>1740</v>
      </c>
    </row>
    <row r="260" spans="1:51" ht="203" x14ac:dyDescent="0.35">
      <c r="A260" s="22" t="s">
        <v>1767</v>
      </c>
      <c r="B260" s="22" t="s">
        <v>347</v>
      </c>
      <c r="C260" s="22" t="s">
        <v>51</v>
      </c>
      <c r="D260" s="22" t="s">
        <v>465</v>
      </c>
      <c r="E260" s="22" t="s">
        <v>108</v>
      </c>
      <c r="F260" s="22" t="s">
        <v>986</v>
      </c>
      <c r="G260" s="22" t="s">
        <v>94</v>
      </c>
      <c r="H260" s="22" t="s">
        <v>95</v>
      </c>
      <c r="I260" s="22" t="s">
        <v>119</v>
      </c>
      <c r="J260" s="22" t="s">
        <v>1768</v>
      </c>
      <c r="K260" s="22" t="s">
        <v>552</v>
      </c>
      <c r="L260" s="22" t="s">
        <v>57</v>
      </c>
      <c r="M260" s="22" t="s">
        <v>55</v>
      </c>
      <c r="N260" s="22" t="s">
        <v>55</v>
      </c>
      <c r="O260" s="22" t="s">
        <v>1769</v>
      </c>
      <c r="P260" s="22" t="s">
        <v>1770</v>
      </c>
      <c r="Q260" s="22" t="s">
        <v>1771</v>
      </c>
      <c r="R260" s="22" t="s">
        <v>63</v>
      </c>
      <c r="S260" s="22" t="s">
        <v>1772</v>
      </c>
      <c r="T260" s="22" t="s">
        <v>1773</v>
      </c>
      <c r="U260" s="22" t="s">
        <v>132</v>
      </c>
      <c r="V260" s="23">
        <v>45930</v>
      </c>
      <c r="W260" s="22" t="s">
        <v>55</v>
      </c>
      <c r="X260" s="22" t="s">
        <v>1774</v>
      </c>
      <c r="Y260" s="22" t="s">
        <v>65</v>
      </c>
      <c r="Z260" s="22" t="s">
        <v>55</v>
      </c>
      <c r="AA260" s="22" t="s">
        <v>66</v>
      </c>
      <c r="AB260" s="22" t="s">
        <v>55</v>
      </c>
      <c r="AC260" s="22" t="s">
        <v>55</v>
      </c>
      <c r="AD260" s="22" t="s">
        <v>67</v>
      </c>
      <c r="AE260" s="22" t="s">
        <v>257</v>
      </c>
      <c r="AF260" s="22" t="s">
        <v>55</v>
      </c>
      <c r="AG260" s="22" t="s">
        <v>55</v>
      </c>
      <c r="AH260" s="22" t="s">
        <v>55</v>
      </c>
      <c r="AI260" s="22" t="s">
        <v>55</v>
      </c>
      <c r="AJ260" s="22" t="s">
        <v>55</v>
      </c>
      <c r="AK260" s="22" t="s">
        <v>55</v>
      </c>
      <c r="AL260" s="22" t="s">
        <v>55</v>
      </c>
      <c r="AM260" s="22" t="s">
        <v>55</v>
      </c>
      <c r="AN260" s="22" t="s">
        <v>55</v>
      </c>
      <c r="AO260" s="22" t="s">
        <v>55</v>
      </c>
      <c r="AP260" s="22" t="s">
        <v>55</v>
      </c>
      <c r="AQ260" s="22" t="s">
        <v>55</v>
      </c>
      <c r="AR260" s="22" t="s">
        <v>55</v>
      </c>
      <c r="AS260" s="22" t="s">
        <v>55</v>
      </c>
      <c r="AT260" s="22" t="s">
        <v>55</v>
      </c>
      <c r="AU260" s="22" t="s">
        <v>55</v>
      </c>
      <c r="AV260" s="22" t="s">
        <v>55</v>
      </c>
      <c r="AW260" s="23">
        <v>45824</v>
      </c>
      <c r="AX260" s="23">
        <v>45926</v>
      </c>
      <c r="AY260" s="22" t="s">
        <v>1740</v>
      </c>
    </row>
    <row r="261" spans="1:51" ht="130.5" x14ac:dyDescent="0.35">
      <c r="A261" s="22" t="s">
        <v>1775</v>
      </c>
      <c r="B261" s="22" t="s">
        <v>347</v>
      </c>
      <c r="C261" s="22" t="s">
        <v>51</v>
      </c>
      <c r="D261" s="22" t="s">
        <v>465</v>
      </c>
      <c r="E261" s="22" t="s">
        <v>52</v>
      </c>
      <c r="F261" s="22" t="s">
        <v>1776</v>
      </c>
      <c r="G261" s="22" t="s">
        <v>606</v>
      </c>
      <c r="H261" s="22" t="s">
        <v>607</v>
      </c>
      <c r="I261" s="22" t="s">
        <v>121</v>
      </c>
      <c r="J261" s="22" t="s">
        <v>1777</v>
      </c>
      <c r="K261" s="22" t="s">
        <v>564</v>
      </c>
      <c r="L261" s="22" t="s">
        <v>57</v>
      </c>
      <c r="M261" s="22" t="s">
        <v>154</v>
      </c>
      <c r="N261" s="22" t="s">
        <v>55</v>
      </c>
      <c r="O261" s="22" t="s">
        <v>1778</v>
      </c>
      <c r="P261" s="22" t="s">
        <v>1779</v>
      </c>
      <c r="Q261" s="22" t="s">
        <v>1780</v>
      </c>
      <c r="R261" s="22" t="s">
        <v>63</v>
      </c>
      <c r="S261" s="22" t="s">
        <v>1781</v>
      </c>
      <c r="T261" s="22" t="s">
        <v>1782</v>
      </c>
      <c r="U261" s="22" t="s">
        <v>63</v>
      </c>
      <c r="V261" s="23">
        <v>45961</v>
      </c>
      <c r="W261" s="22" t="s">
        <v>55</v>
      </c>
      <c r="X261" s="22" t="s">
        <v>1783</v>
      </c>
      <c r="Y261" s="22" t="s">
        <v>65</v>
      </c>
      <c r="Z261" s="22" t="s">
        <v>55</v>
      </c>
      <c r="AA261" s="22" t="s">
        <v>66</v>
      </c>
      <c r="AB261" s="22" t="s">
        <v>55</v>
      </c>
      <c r="AC261" s="22" t="s">
        <v>55</v>
      </c>
      <c r="AD261" s="22" t="s">
        <v>67</v>
      </c>
      <c r="AE261" s="22" t="s">
        <v>257</v>
      </c>
      <c r="AF261" s="22" t="s">
        <v>156</v>
      </c>
      <c r="AG261" s="22" t="s">
        <v>55</v>
      </c>
      <c r="AH261" s="22" t="s">
        <v>55</v>
      </c>
      <c r="AI261" s="22" t="s">
        <v>55</v>
      </c>
      <c r="AJ261" s="22" t="s">
        <v>55</v>
      </c>
      <c r="AK261" s="22" t="s">
        <v>55</v>
      </c>
      <c r="AL261" s="22" t="s">
        <v>55</v>
      </c>
      <c r="AM261" s="22" t="s">
        <v>55</v>
      </c>
      <c r="AN261" s="22" t="s">
        <v>55</v>
      </c>
      <c r="AO261" s="22" t="s">
        <v>55</v>
      </c>
      <c r="AP261" s="22" t="s">
        <v>55</v>
      </c>
      <c r="AQ261" s="22" t="s">
        <v>55</v>
      </c>
      <c r="AR261" s="22" t="s">
        <v>55</v>
      </c>
      <c r="AS261" s="22" t="s">
        <v>55</v>
      </c>
      <c r="AT261" s="22" t="s">
        <v>55</v>
      </c>
      <c r="AU261" s="22" t="s">
        <v>55</v>
      </c>
      <c r="AV261" s="22" t="s">
        <v>55</v>
      </c>
      <c r="AW261" s="23">
        <v>45863</v>
      </c>
      <c r="AX261" s="23">
        <v>45929</v>
      </c>
      <c r="AY261" s="22" t="s">
        <v>1740</v>
      </c>
    </row>
    <row r="262" spans="1:51" ht="319" x14ac:dyDescent="0.35">
      <c r="A262" s="22" t="s">
        <v>1784</v>
      </c>
      <c r="B262" s="22" t="s">
        <v>347</v>
      </c>
      <c r="C262" s="22" t="s">
        <v>51</v>
      </c>
      <c r="D262" s="22" t="s">
        <v>465</v>
      </c>
      <c r="E262" s="22" t="s">
        <v>108</v>
      </c>
      <c r="F262" s="22" t="s">
        <v>1776</v>
      </c>
      <c r="G262" s="22" t="s">
        <v>606</v>
      </c>
      <c r="H262" s="22" t="s">
        <v>607</v>
      </c>
      <c r="I262" s="22" t="s">
        <v>526</v>
      </c>
      <c r="J262" s="22" t="s">
        <v>1785</v>
      </c>
      <c r="K262" s="22" t="s">
        <v>868</v>
      </c>
      <c r="L262" s="22" t="s">
        <v>57</v>
      </c>
      <c r="M262" s="22" t="s">
        <v>55</v>
      </c>
      <c r="N262" s="22" t="s">
        <v>55</v>
      </c>
      <c r="O262" s="22" t="s">
        <v>1778</v>
      </c>
      <c r="P262" s="22" t="s">
        <v>1786</v>
      </c>
      <c r="Q262" s="22" t="s">
        <v>1787</v>
      </c>
      <c r="R262" s="22" t="s">
        <v>63</v>
      </c>
      <c r="S262" s="22" t="s">
        <v>1788</v>
      </c>
      <c r="T262" s="22" t="s">
        <v>1789</v>
      </c>
      <c r="U262" s="22" t="s">
        <v>63</v>
      </c>
      <c r="V262" s="23">
        <v>45961</v>
      </c>
      <c r="W262" s="22" t="s">
        <v>55</v>
      </c>
      <c r="X262" s="22" t="s">
        <v>1790</v>
      </c>
      <c r="Y262" s="22" t="s">
        <v>65</v>
      </c>
      <c r="Z262" s="22" t="s">
        <v>55</v>
      </c>
      <c r="AA262" s="22" t="s">
        <v>66</v>
      </c>
      <c r="AB262" s="22" t="s">
        <v>55</v>
      </c>
      <c r="AC262" s="22" t="s">
        <v>55</v>
      </c>
      <c r="AD262" s="22" t="s">
        <v>67</v>
      </c>
      <c r="AE262" s="22" t="s">
        <v>257</v>
      </c>
      <c r="AF262" s="22" t="s">
        <v>55</v>
      </c>
      <c r="AG262" s="22" t="s">
        <v>55</v>
      </c>
      <c r="AH262" s="22" t="s">
        <v>55</v>
      </c>
      <c r="AI262" s="22" t="s">
        <v>55</v>
      </c>
      <c r="AJ262" s="22" t="s">
        <v>55</v>
      </c>
      <c r="AK262" s="22" t="s">
        <v>55</v>
      </c>
      <c r="AL262" s="22" t="s">
        <v>55</v>
      </c>
      <c r="AM262" s="22" t="s">
        <v>55</v>
      </c>
      <c r="AN262" s="22" t="s">
        <v>55</v>
      </c>
      <c r="AO262" s="22" t="s">
        <v>55</v>
      </c>
      <c r="AP262" s="22" t="s">
        <v>55</v>
      </c>
      <c r="AQ262" s="22" t="s">
        <v>55</v>
      </c>
      <c r="AR262" s="22" t="s">
        <v>55</v>
      </c>
      <c r="AS262" s="22" t="s">
        <v>55</v>
      </c>
      <c r="AT262" s="22" t="s">
        <v>55</v>
      </c>
      <c r="AU262" s="22" t="s">
        <v>55</v>
      </c>
      <c r="AV262" s="22" t="s">
        <v>55</v>
      </c>
      <c r="AW262" s="23">
        <v>45863</v>
      </c>
      <c r="AX262" s="23">
        <v>45929</v>
      </c>
      <c r="AY262" s="22" t="s">
        <v>1740</v>
      </c>
    </row>
    <row r="263" spans="1:51" ht="217.5" x14ac:dyDescent="0.35">
      <c r="A263" s="22" t="s">
        <v>1791</v>
      </c>
      <c r="B263" s="22" t="s">
        <v>347</v>
      </c>
      <c r="C263" s="22" t="s">
        <v>51</v>
      </c>
      <c r="D263" s="22" t="s">
        <v>465</v>
      </c>
      <c r="E263" s="22" t="s">
        <v>108</v>
      </c>
      <c r="F263" s="22" t="s">
        <v>1776</v>
      </c>
      <c r="G263" s="22" t="s">
        <v>606</v>
      </c>
      <c r="H263" s="22" t="s">
        <v>607</v>
      </c>
      <c r="I263" s="22" t="s">
        <v>119</v>
      </c>
      <c r="J263" s="22" t="s">
        <v>1768</v>
      </c>
      <c r="K263" s="22" t="s">
        <v>552</v>
      </c>
      <c r="L263" s="22" t="s">
        <v>57</v>
      </c>
      <c r="M263" s="22" t="s">
        <v>55</v>
      </c>
      <c r="N263" s="22" t="s">
        <v>55</v>
      </c>
      <c r="O263" s="22" t="s">
        <v>1778</v>
      </c>
      <c r="P263" s="22" t="s">
        <v>1792</v>
      </c>
      <c r="Q263" s="22" t="s">
        <v>1793</v>
      </c>
      <c r="R263" s="22" t="s">
        <v>63</v>
      </c>
      <c r="S263" s="22" t="s">
        <v>1794</v>
      </c>
      <c r="T263" s="22" t="s">
        <v>1795</v>
      </c>
      <c r="U263" s="22" t="s">
        <v>63</v>
      </c>
      <c r="V263" s="23">
        <v>46295</v>
      </c>
      <c r="W263" s="22" t="s">
        <v>55</v>
      </c>
      <c r="X263" s="22" t="s">
        <v>1796</v>
      </c>
      <c r="Y263" s="22" t="s">
        <v>65</v>
      </c>
      <c r="Z263" s="22" t="s">
        <v>55</v>
      </c>
      <c r="AA263" s="22" t="s">
        <v>155</v>
      </c>
      <c r="AB263" s="22" t="s">
        <v>55</v>
      </c>
      <c r="AC263" s="22" t="s">
        <v>55</v>
      </c>
      <c r="AD263" s="22" t="s">
        <v>67</v>
      </c>
      <c r="AE263" s="22" t="s">
        <v>257</v>
      </c>
      <c r="AF263" s="22" t="s">
        <v>55</v>
      </c>
      <c r="AG263" s="22" t="s">
        <v>55</v>
      </c>
      <c r="AH263" s="22" t="s">
        <v>55</v>
      </c>
      <c r="AI263" s="22" t="s">
        <v>55</v>
      </c>
      <c r="AJ263" s="22" t="s">
        <v>55</v>
      </c>
      <c r="AK263" s="22" t="s">
        <v>55</v>
      </c>
      <c r="AL263" s="22" t="s">
        <v>55</v>
      </c>
      <c r="AM263" s="22" t="s">
        <v>55</v>
      </c>
      <c r="AN263" s="22" t="s">
        <v>55</v>
      </c>
      <c r="AO263" s="22" t="s">
        <v>55</v>
      </c>
      <c r="AP263" s="22" t="s">
        <v>55</v>
      </c>
      <c r="AQ263" s="22" t="s">
        <v>55</v>
      </c>
      <c r="AR263" s="22" t="s">
        <v>55</v>
      </c>
      <c r="AS263" s="22" t="s">
        <v>55</v>
      </c>
      <c r="AT263" s="22" t="s">
        <v>55</v>
      </c>
      <c r="AU263" s="22" t="s">
        <v>55</v>
      </c>
      <c r="AV263" s="22" t="s">
        <v>55</v>
      </c>
      <c r="AW263" s="23">
        <v>45863</v>
      </c>
      <c r="AX263" s="23">
        <v>45929</v>
      </c>
      <c r="AY263" s="22" t="s">
        <v>1740</v>
      </c>
    </row>
    <row r="264" spans="1:51" ht="87" x14ac:dyDescent="0.35">
      <c r="A264" s="22" t="s">
        <v>1797</v>
      </c>
      <c r="B264" s="22" t="s">
        <v>347</v>
      </c>
      <c r="C264" s="22" t="s">
        <v>51</v>
      </c>
      <c r="D264" s="22" t="s">
        <v>465</v>
      </c>
      <c r="E264" s="22" t="s">
        <v>108</v>
      </c>
      <c r="F264" s="22" t="s">
        <v>1776</v>
      </c>
      <c r="G264" s="22" t="s">
        <v>606</v>
      </c>
      <c r="H264" s="22" t="s">
        <v>607</v>
      </c>
      <c r="I264" s="22" t="s">
        <v>109</v>
      </c>
      <c r="J264" s="22" t="s">
        <v>109</v>
      </c>
      <c r="K264" s="22" t="s">
        <v>586</v>
      </c>
      <c r="L264" s="22" t="s">
        <v>57</v>
      </c>
      <c r="M264" s="22" t="s">
        <v>55</v>
      </c>
      <c r="N264" s="22" t="s">
        <v>55</v>
      </c>
      <c r="O264" s="22" t="s">
        <v>1778</v>
      </c>
      <c r="P264" s="22" t="s">
        <v>1798</v>
      </c>
      <c r="Q264" s="22" t="s">
        <v>1799</v>
      </c>
      <c r="R264" s="22" t="s">
        <v>63</v>
      </c>
      <c r="S264" s="22" t="s">
        <v>1800</v>
      </c>
      <c r="T264" s="22" t="s">
        <v>1800</v>
      </c>
      <c r="U264" s="22" t="s">
        <v>63</v>
      </c>
      <c r="V264" s="23">
        <v>45991</v>
      </c>
      <c r="W264" s="22" t="s">
        <v>55</v>
      </c>
      <c r="X264" s="22" t="s">
        <v>1783</v>
      </c>
      <c r="Y264" s="22" t="s">
        <v>65</v>
      </c>
      <c r="Z264" s="22" t="s">
        <v>55</v>
      </c>
      <c r="AA264" s="22" t="s">
        <v>152</v>
      </c>
      <c r="AB264" s="22" t="s">
        <v>55</v>
      </c>
      <c r="AC264" s="22" t="s">
        <v>55</v>
      </c>
      <c r="AD264" s="22" t="s">
        <v>67</v>
      </c>
      <c r="AE264" s="22" t="s">
        <v>257</v>
      </c>
      <c r="AF264" s="22" t="s">
        <v>55</v>
      </c>
      <c r="AG264" s="22" t="s">
        <v>55</v>
      </c>
      <c r="AH264" s="22" t="s">
        <v>55</v>
      </c>
      <c r="AI264" s="22" t="s">
        <v>55</v>
      </c>
      <c r="AJ264" s="22" t="s">
        <v>55</v>
      </c>
      <c r="AK264" s="22" t="s">
        <v>55</v>
      </c>
      <c r="AL264" s="22" t="s">
        <v>55</v>
      </c>
      <c r="AM264" s="22" t="s">
        <v>55</v>
      </c>
      <c r="AN264" s="22" t="s">
        <v>55</v>
      </c>
      <c r="AO264" s="22" t="s">
        <v>55</v>
      </c>
      <c r="AP264" s="22" t="s">
        <v>55</v>
      </c>
      <c r="AQ264" s="22" t="s">
        <v>55</v>
      </c>
      <c r="AR264" s="22" t="s">
        <v>55</v>
      </c>
      <c r="AS264" s="22" t="s">
        <v>55</v>
      </c>
      <c r="AT264" s="22" t="s">
        <v>55</v>
      </c>
      <c r="AU264" s="22" t="s">
        <v>55</v>
      </c>
      <c r="AV264" s="22" t="s">
        <v>55</v>
      </c>
      <c r="AW264" s="23">
        <v>45863</v>
      </c>
      <c r="AX264" s="23">
        <v>45929</v>
      </c>
      <c r="AY264" s="22" t="s">
        <v>1740</v>
      </c>
    </row>
    <row r="265" spans="1:51" ht="232" x14ac:dyDescent="0.35">
      <c r="A265" s="22" t="s">
        <v>1801</v>
      </c>
      <c r="B265" s="22" t="s">
        <v>347</v>
      </c>
      <c r="C265" s="22" t="s">
        <v>51</v>
      </c>
      <c r="D265" s="22" t="s">
        <v>465</v>
      </c>
      <c r="E265" s="22" t="s">
        <v>108</v>
      </c>
      <c r="F265" s="22" t="s">
        <v>1802</v>
      </c>
      <c r="G265" s="22" t="s">
        <v>126</v>
      </c>
      <c r="H265" s="22" t="s">
        <v>138</v>
      </c>
      <c r="I265" s="22" t="s">
        <v>160</v>
      </c>
      <c r="J265" s="22" t="s">
        <v>1159</v>
      </c>
      <c r="K265" s="22" t="s">
        <v>558</v>
      </c>
      <c r="L265" s="22" t="s">
        <v>57</v>
      </c>
      <c r="M265" s="22" t="s">
        <v>55</v>
      </c>
      <c r="N265" s="22" t="s">
        <v>55</v>
      </c>
      <c r="O265" s="22" t="s">
        <v>1803</v>
      </c>
      <c r="P265" s="22" t="s">
        <v>1804</v>
      </c>
      <c r="Q265" s="22" t="s">
        <v>1805</v>
      </c>
      <c r="R265" s="22" t="s">
        <v>63</v>
      </c>
      <c r="S265" s="22" t="s">
        <v>1806</v>
      </c>
      <c r="T265" s="22" t="s">
        <v>1807</v>
      </c>
      <c r="U265" s="22" t="s">
        <v>132</v>
      </c>
      <c r="V265" s="23">
        <v>45991</v>
      </c>
      <c r="W265" s="22" t="s">
        <v>55</v>
      </c>
      <c r="X265" s="22" t="s">
        <v>1808</v>
      </c>
      <c r="Y265" s="22" t="s">
        <v>65</v>
      </c>
      <c r="Z265" s="22" t="s">
        <v>55</v>
      </c>
      <c r="AA265" s="22" t="s">
        <v>152</v>
      </c>
      <c r="AB265" s="22" t="s">
        <v>55</v>
      </c>
      <c r="AC265" s="22" t="s">
        <v>55</v>
      </c>
      <c r="AD265" s="22" t="s">
        <v>67</v>
      </c>
      <c r="AE265" s="22" t="s">
        <v>257</v>
      </c>
      <c r="AF265" s="22" t="s">
        <v>55</v>
      </c>
      <c r="AG265" s="22" t="s">
        <v>55</v>
      </c>
      <c r="AH265" s="22" t="s">
        <v>55</v>
      </c>
      <c r="AI265" s="22" t="s">
        <v>55</v>
      </c>
      <c r="AJ265" s="22" t="s">
        <v>55</v>
      </c>
      <c r="AK265" s="22" t="s">
        <v>55</v>
      </c>
      <c r="AL265" s="22" t="s">
        <v>55</v>
      </c>
      <c r="AM265" s="22" t="s">
        <v>55</v>
      </c>
      <c r="AN265" s="22" t="s">
        <v>55</v>
      </c>
      <c r="AO265" s="22" t="s">
        <v>55</v>
      </c>
      <c r="AP265" s="22" t="s">
        <v>55</v>
      </c>
      <c r="AQ265" s="22" t="s">
        <v>55</v>
      </c>
      <c r="AR265" s="22" t="s">
        <v>55</v>
      </c>
      <c r="AS265" s="22" t="s">
        <v>55</v>
      </c>
      <c r="AT265" s="22" t="s">
        <v>55</v>
      </c>
      <c r="AU265" s="22" t="s">
        <v>55</v>
      </c>
      <c r="AV265" s="22" t="s">
        <v>55</v>
      </c>
      <c r="AW265" s="23">
        <v>45887</v>
      </c>
      <c r="AX265" s="23">
        <v>45943</v>
      </c>
      <c r="AY265" s="22" t="s">
        <v>1740</v>
      </c>
    </row>
    <row r="266" spans="1:51" ht="217.5" x14ac:dyDescent="0.35">
      <c r="A266" s="22" t="s">
        <v>1809</v>
      </c>
      <c r="B266" s="22" t="s">
        <v>347</v>
      </c>
      <c r="C266" s="22" t="s">
        <v>51</v>
      </c>
      <c r="D266" s="22" t="s">
        <v>465</v>
      </c>
      <c r="E266" s="22" t="s">
        <v>108</v>
      </c>
      <c r="F266" s="22" t="s">
        <v>1802</v>
      </c>
      <c r="G266" s="22" t="s">
        <v>126</v>
      </c>
      <c r="H266" s="22" t="s">
        <v>138</v>
      </c>
      <c r="I266" s="22" t="s">
        <v>121</v>
      </c>
      <c r="J266" s="22" t="s">
        <v>752</v>
      </c>
      <c r="K266" s="22" t="s">
        <v>867</v>
      </c>
      <c r="L266" s="22" t="s">
        <v>57</v>
      </c>
      <c r="M266" s="22" t="s">
        <v>55</v>
      </c>
      <c r="N266" s="22" t="s">
        <v>55</v>
      </c>
      <c r="O266" s="22" t="s">
        <v>1803</v>
      </c>
      <c r="P266" s="22" t="s">
        <v>1810</v>
      </c>
      <c r="Q266" s="22" t="s">
        <v>1811</v>
      </c>
      <c r="R266" s="22" t="s">
        <v>63</v>
      </c>
      <c r="S266" s="22" t="s">
        <v>1812</v>
      </c>
      <c r="T266" s="22" t="s">
        <v>1813</v>
      </c>
      <c r="U266" s="22" t="s">
        <v>63</v>
      </c>
      <c r="V266" s="23">
        <v>46006</v>
      </c>
      <c r="W266" s="22" t="s">
        <v>55</v>
      </c>
      <c r="X266" s="22" t="s">
        <v>1808</v>
      </c>
      <c r="Y266" s="22" t="s">
        <v>65</v>
      </c>
      <c r="Z266" s="22" t="s">
        <v>55</v>
      </c>
      <c r="AA266" s="22" t="s">
        <v>152</v>
      </c>
      <c r="AB266" s="22" t="s">
        <v>55</v>
      </c>
      <c r="AC266" s="22" t="s">
        <v>55</v>
      </c>
      <c r="AD266" s="22" t="s">
        <v>67</v>
      </c>
      <c r="AE266" s="22" t="s">
        <v>257</v>
      </c>
      <c r="AF266" s="22" t="s">
        <v>55</v>
      </c>
      <c r="AG266" s="22" t="s">
        <v>55</v>
      </c>
      <c r="AH266" s="22" t="s">
        <v>55</v>
      </c>
      <c r="AI266" s="22" t="s">
        <v>55</v>
      </c>
      <c r="AJ266" s="22" t="s">
        <v>55</v>
      </c>
      <c r="AK266" s="22" t="s">
        <v>55</v>
      </c>
      <c r="AL266" s="22" t="s">
        <v>55</v>
      </c>
      <c r="AM266" s="22" t="s">
        <v>55</v>
      </c>
      <c r="AN266" s="22" t="s">
        <v>55</v>
      </c>
      <c r="AO266" s="22" t="s">
        <v>55</v>
      </c>
      <c r="AP266" s="22" t="s">
        <v>55</v>
      </c>
      <c r="AQ266" s="22" t="s">
        <v>55</v>
      </c>
      <c r="AR266" s="22" t="s">
        <v>55</v>
      </c>
      <c r="AS266" s="22" t="s">
        <v>55</v>
      </c>
      <c r="AT266" s="22" t="s">
        <v>55</v>
      </c>
      <c r="AU266" s="22" t="s">
        <v>55</v>
      </c>
      <c r="AV266" s="22" t="s">
        <v>55</v>
      </c>
      <c r="AW266" s="23">
        <v>45887</v>
      </c>
      <c r="AX266" s="23">
        <v>45943</v>
      </c>
      <c r="AY266" s="22" t="s">
        <v>1740</v>
      </c>
    </row>
    <row r="267" spans="1:51" ht="304.5" x14ac:dyDescent="0.35">
      <c r="A267" s="22" t="s">
        <v>1814</v>
      </c>
      <c r="B267" s="22" t="s">
        <v>347</v>
      </c>
      <c r="C267" s="22" t="s">
        <v>51</v>
      </c>
      <c r="D267" s="22" t="s">
        <v>465</v>
      </c>
      <c r="E267" s="22" t="s">
        <v>52</v>
      </c>
      <c r="F267" s="22" t="s">
        <v>1802</v>
      </c>
      <c r="G267" s="22" t="s">
        <v>126</v>
      </c>
      <c r="H267" s="22" t="s">
        <v>138</v>
      </c>
      <c r="I267" s="22" t="s">
        <v>119</v>
      </c>
      <c r="J267" s="22" t="s">
        <v>1815</v>
      </c>
      <c r="K267" s="22" t="s">
        <v>544</v>
      </c>
      <c r="L267" s="22" t="s">
        <v>57</v>
      </c>
      <c r="M267" s="22" t="s">
        <v>243</v>
      </c>
      <c r="N267" s="22" t="s">
        <v>243</v>
      </c>
      <c r="O267" s="22" t="s">
        <v>1803</v>
      </c>
      <c r="P267" s="22" t="s">
        <v>1816</v>
      </c>
      <c r="Q267" s="22" t="s">
        <v>1817</v>
      </c>
      <c r="R267" s="22" t="s">
        <v>63</v>
      </c>
      <c r="S267" s="22" t="s">
        <v>1818</v>
      </c>
      <c r="T267" s="22" t="s">
        <v>1819</v>
      </c>
      <c r="U267" s="22" t="s">
        <v>132</v>
      </c>
      <c r="V267" s="23">
        <v>46112</v>
      </c>
      <c r="W267" s="22" t="s">
        <v>55</v>
      </c>
      <c r="X267" s="22" t="s">
        <v>1820</v>
      </c>
      <c r="Y267" s="22" t="s">
        <v>65</v>
      </c>
      <c r="Z267" s="22" t="s">
        <v>55</v>
      </c>
      <c r="AA267" s="22" t="s">
        <v>155</v>
      </c>
      <c r="AB267" s="22" t="s">
        <v>55</v>
      </c>
      <c r="AC267" s="22" t="s">
        <v>55</v>
      </c>
      <c r="AD267" s="22" t="s">
        <v>67</v>
      </c>
      <c r="AE267" s="22" t="s">
        <v>257</v>
      </c>
      <c r="AF267" s="22" t="s">
        <v>92</v>
      </c>
      <c r="AG267" s="22" t="s">
        <v>55</v>
      </c>
      <c r="AH267" s="22" t="s">
        <v>55</v>
      </c>
      <c r="AI267" s="22" t="s">
        <v>55</v>
      </c>
      <c r="AJ267" s="22" t="s">
        <v>55</v>
      </c>
      <c r="AK267" s="22" t="s">
        <v>55</v>
      </c>
      <c r="AL267" s="22" t="s">
        <v>55</v>
      </c>
      <c r="AM267" s="22" t="s">
        <v>55</v>
      </c>
      <c r="AN267" s="22" t="s">
        <v>55</v>
      </c>
      <c r="AO267" s="22" t="s">
        <v>55</v>
      </c>
      <c r="AP267" s="22" t="s">
        <v>55</v>
      </c>
      <c r="AQ267" s="22" t="s">
        <v>55</v>
      </c>
      <c r="AR267" s="22" t="s">
        <v>55</v>
      </c>
      <c r="AS267" s="22" t="s">
        <v>55</v>
      </c>
      <c r="AT267" s="22" t="s">
        <v>55</v>
      </c>
      <c r="AU267" s="22" t="s">
        <v>55</v>
      </c>
      <c r="AV267" s="22" t="s">
        <v>55</v>
      </c>
      <c r="AW267" s="23">
        <v>45887</v>
      </c>
      <c r="AX267" s="23">
        <v>45943</v>
      </c>
      <c r="AY267" s="22" t="s">
        <v>1740</v>
      </c>
    </row>
    <row r="268" spans="1:51" ht="159.5" x14ac:dyDescent="0.35">
      <c r="A268" s="22" t="s">
        <v>1821</v>
      </c>
      <c r="B268" s="22" t="s">
        <v>347</v>
      </c>
      <c r="C268" s="22" t="s">
        <v>51</v>
      </c>
      <c r="D268" s="22" t="s">
        <v>465</v>
      </c>
      <c r="E268" s="22" t="s">
        <v>108</v>
      </c>
      <c r="F268" s="22" t="s">
        <v>1802</v>
      </c>
      <c r="G268" s="22" t="s">
        <v>126</v>
      </c>
      <c r="H268" s="22" t="s">
        <v>138</v>
      </c>
      <c r="I268" s="22" t="s">
        <v>101</v>
      </c>
      <c r="J268" s="22" t="s">
        <v>1822</v>
      </c>
      <c r="K268" s="22" t="s">
        <v>561</v>
      </c>
      <c r="L268" s="22" t="s">
        <v>57</v>
      </c>
      <c r="M268" s="22" t="s">
        <v>55</v>
      </c>
      <c r="N268" s="22" t="s">
        <v>55</v>
      </c>
      <c r="O268" s="22" t="s">
        <v>1803</v>
      </c>
      <c r="P268" s="22" t="s">
        <v>1823</v>
      </c>
      <c r="Q268" s="22" t="s">
        <v>1824</v>
      </c>
      <c r="R268" s="22" t="s">
        <v>63</v>
      </c>
      <c r="S268" s="22" t="s">
        <v>1825</v>
      </c>
      <c r="T268" s="22" t="s">
        <v>1826</v>
      </c>
      <c r="U268" s="22" t="s">
        <v>132</v>
      </c>
      <c r="V268" s="23">
        <v>45991</v>
      </c>
      <c r="W268" s="22" t="s">
        <v>55</v>
      </c>
      <c r="X268" s="22" t="s">
        <v>1827</v>
      </c>
      <c r="Y268" s="22" t="s">
        <v>65</v>
      </c>
      <c r="Z268" s="22" t="s">
        <v>55</v>
      </c>
      <c r="AA268" s="22" t="s">
        <v>152</v>
      </c>
      <c r="AB268" s="22" t="s">
        <v>55</v>
      </c>
      <c r="AC268" s="22" t="s">
        <v>55</v>
      </c>
      <c r="AD268" s="22" t="s">
        <v>67</v>
      </c>
      <c r="AE268" s="22" t="s">
        <v>257</v>
      </c>
      <c r="AF268" s="22" t="s">
        <v>55</v>
      </c>
      <c r="AG268" s="22" t="s">
        <v>55</v>
      </c>
      <c r="AH268" s="22" t="s">
        <v>55</v>
      </c>
      <c r="AI268" s="22" t="s">
        <v>55</v>
      </c>
      <c r="AJ268" s="22" t="s">
        <v>55</v>
      </c>
      <c r="AK268" s="22" t="s">
        <v>55</v>
      </c>
      <c r="AL268" s="22" t="s">
        <v>55</v>
      </c>
      <c r="AM268" s="22" t="s">
        <v>55</v>
      </c>
      <c r="AN268" s="22" t="s">
        <v>55</v>
      </c>
      <c r="AO268" s="22" t="s">
        <v>55</v>
      </c>
      <c r="AP268" s="22" t="s">
        <v>55</v>
      </c>
      <c r="AQ268" s="22" t="s">
        <v>55</v>
      </c>
      <c r="AR268" s="22" t="s">
        <v>55</v>
      </c>
      <c r="AS268" s="22" t="s">
        <v>55</v>
      </c>
      <c r="AT268" s="22" t="s">
        <v>55</v>
      </c>
      <c r="AU268" s="22" t="s">
        <v>55</v>
      </c>
      <c r="AV268" s="22" t="s">
        <v>55</v>
      </c>
      <c r="AW268" s="23">
        <v>45887</v>
      </c>
      <c r="AX268" s="23">
        <v>45943</v>
      </c>
      <c r="AY268" s="22" t="s">
        <v>1740</v>
      </c>
    </row>
    <row r="269" spans="1:51" ht="377" x14ac:dyDescent="0.35">
      <c r="A269" s="22" t="s">
        <v>1828</v>
      </c>
      <c r="B269" s="22" t="s">
        <v>347</v>
      </c>
      <c r="C269" s="22" t="s">
        <v>51</v>
      </c>
      <c r="D269" s="22" t="s">
        <v>369</v>
      </c>
      <c r="E269" s="22" t="s">
        <v>108</v>
      </c>
      <c r="F269" s="22" t="s">
        <v>207</v>
      </c>
      <c r="G269" s="22" t="s">
        <v>54</v>
      </c>
      <c r="H269" s="22" t="s">
        <v>1716</v>
      </c>
      <c r="I269" s="22" t="s">
        <v>160</v>
      </c>
      <c r="J269" s="22" t="s">
        <v>1829</v>
      </c>
      <c r="K269" s="22" t="s">
        <v>558</v>
      </c>
      <c r="L269" s="22" t="s">
        <v>103</v>
      </c>
      <c r="M269" s="22" t="s">
        <v>55</v>
      </c>
      <c r="N269" s="22" t="s">
        <v>55</v>
      </c>
      <c r="O269" s="22" t="s">
        <v>1830</v>
      </c>
      <c r="P269" s="22" t="s">
        <v>1831</v>
      </c>
      <c r="Q269" s="22" t="s">
        <v>1832</v>
      </c>
      <c r="R269" s="22" t="s">
        <v>63</v>
      </c>
      <c r="S269" s="22" t="s">
        <v>1833</v>
      </c>
      <c r="T269" s="22" t="s">
        <v>1834</v>
      </c>
      <c r="U269" s="22" t="s">
        <v>132</v>
      </c>
      <c r="V269" s="23">
        <v>45991</v>
      </c>
      <c r="W269" s="22" t="s">
        <v>55</v>
      </c>
      <c r="X269" s="22" t="s">
        <v>1835</v>
      </c>
      <c r="Y269" s="22" t="s">
        <v>65</v>
      </c>
      <c r="Z269" s="22" t="s">
        <v>55</v>
      </c>
      <c r="AA269" s="22" t="s">
        <v>152</v>
      </c>
      <c r="AB269" s="22" t="s">
        <v>55</v>
      </c>
      <c r="AC269" s="22" t="s">
        <v>55</v>
      </c>
      <c r="AD269" s="22" t="s">
        <v>67</v>
      </c>
      <c r="AE269" s="22" t="s">
        <v>257</v>
      </c>
      <c r="AF269" s="22" t="s">
        <v>55</v>
      </c>
      <c r="AG269" s="22" t="s">
        <v>55</v>
      </c>
      <c r="AH269" s="22" t="s">
        <v>55</v>
      </c>
      <c r="AI269" s="22" t="s">
        <v>55</v>
      </c>
      <c r="AJ269" s="22" t="s">
        <v>55</v>
      </c>
      <c r="AK269" s="22" t="s">
        <v>55</v>
      </c>
      <c r="AL269" s="22" t="s">
        <v>55</v>
      </c>
      <c r="AM269" s="22" t="s">
        <v>55</v>
      </c>
      <c r="AN269" s="22" t="s">
        <v>55</v>
      </c>
      <c r="AO269" s="22" t="s">
        <v>55</v>
      </c>
      <c r="AP269" s="22" t="s">
        <v>55</v>
      </c>
      <c r="AQ269" s="22" t="s">
        <v>55</v>
      </c>
      <c r="AR269" s="22" t="s">
        <v>55</v>
      </c>
      <c r="AS269" s="22" t="s">
        <v>55</v>
      </c>
      <c r="AT269" s="22" t="s">
        <v>55</v>
      </c>
      <c r="AU269" s="22" t="s">
        <v>55</v>
      </c>
      <c r="AV269" s="22" t="s">
        <v>55</v>
      </c>
      <c r="AW269" s="23">
        <v>45778</v>
      </c>
      <c r="AX269" s="23">
        <v>45901</v>
      </c>
      <c r="AY269" s="22" t="s">
        <v>1836</v>
      </c>
    </row>
    <row r="270" spans="1:51" ht="130.5" x14ac:dyDescent="0.35">
      <c r="A270" s="22" t="s">
        <v>1837</v>
      </c>
      <c r="B270" s="22" t="s">
        <v>347</v>
      </c>
      <c r="C270" s="22" t="s">
        <v>51</v>
      </c>
      <c r="D270" s="22" t="s">
        <v>369</v>
      </c>
      <c r="E270" s="22" t="s">
        <v>108</v>
      </c>
      <c r="F270" s="22" t="s">
        <v>207</v>
      </c>
      <c r="G270" s="22" t="s">
        <v>54</v>
      </c>
      <c r="H270" s="22" t="s">
        <v>1716</v>
      </c>
      <c r="I270" s="22" t="s">
        <v>119</v>
      </c>
      <c r="J270" s="22" t="s">
        <v>1838</v>
      </c>
      <c r="K270" s="22" t="s">
        <v>592</v>
      </c>
      <c r="L270" s="22" t="s">
        <v>103</v>
      </c>
      <c r="M270" s="22" t="s">
        <v>99</v>
      </c>
      <c r="N270" s="22" t="s">
        <v>55</v>
      </c>
      <c r="O270" s="22" t="s">
        <v>1830</v>
      </c>
      <c r="P270" s="22" t="s">
        <v>1839</v>
      </c>
      <c r="Q270" s="22" t="s">
        <v>1840</v>
      </c>
      <c r="R270" s="22" t="s">
        <v>63</v>
      </c>
      <c r="S270" s="22" t="s">
        <v>1841</v>
      </c>
      <c r="T270" s="22" t="s">
        <v>1842</v>
      </c>
      <c r="U270" s="22" t="s">
        <v>63</v>
      </c>
      <c r="V270" s="23">
        <v>45991</v>
      </c>
      <c r="W270" s="22" t="s">
        <v>55</v>
      </c>
      <c r="X270" s="22" t="s">
        <v>1843</v>
      </c>
      <c r="Y270" s="22" t="s">
        <v>65</v>
      </c>
      <c r="Z270" s="22" t="s">
        <v>55</v>
      </c>
      <c r="AA270" s="22" t="s">
        <v>152</v>
      </c>
      <c r="AB270" s="22" t="s">
        <v>55</v>
      </c>
      <c r="AC270" s="22" t="s">
        <v>55</v>
      </c>
      <c r="AD270" s="22" t="s">
        <v>67</v>
      </c>
      <c r="AE270" s="22" t="s">
        <v>257</v>
      </c>
      <c r="AF270" s="22" t="s">
        <v>100</v>
      </c>
      <c r="AG270" s="22" t="s">
        <v>55</v>
      </c>
      <c r="AH270" s="22" t="s">
        <v>55</v>
      </c>
      <c r="AI270" s="22" t="s">
        <v>55</v>
      </c>
      <c r="AJ270" s="22" t="s">
        <v>55</v>
      </c>
      <c r="AK270" s="22" t="s">
        <v>55</v>
      </c>
      <c r="AL270" s="22" t="s">
        <v>55</v>
      </c>
      <c r="AM270" s="22" t="s">
        <v>55</v>
      </c>
      <c r="AN270" s="22" t="s">
        <v>55</v>
      </c>
      <c r="AO270" s="22" t="s">
        <v>55</v>
      </c>
      <c r="AP270" s="22" t="s">
        <v>55</v>
      </c>
      <c r="AQ270" s="22" t="s">
        <v>55</v>
      </c>
      <c r="AR270" s="22" t="s">
        <v>55</v>
      </c>
      <c r="AS270" s="22" t="s">
        <v>55</v>
      </c>
      <c r="AT270" s="22" t="s">
        <v>55</v>
      </c>
      <c r="AU270" s="22" t="s">
        <v>55</v>
      </c>
      <c r="AV270" s="22" t="s">
        <v>55</v>
      </c>
      <c r="AW270" s="23">
        <v>45778</v>
      </c>
      <c r="AX270" s="23">
        <v>45901</v>
      </c>
      <c r="AY270" s="22" t="s">
        <v>1836</v>
      </c>
    </row>
    <row r="271" spans="1:51" ht="174" x14ac:dyDescent="0.35">
      <c r="A271" s="22" t="s">
        <v>1844</v>
      </c>
      <c r="B271" s="22" t="s">
        <v>347</v>
      </c>
      <c r="C271" s="22" t="s">
        <v>51</v>
      </c>
      <c r="D271" s="22" t="s">
        <v>369</v>
      </c>
      <c r="E271" s="22" t="s">
        <v>108</v>
      </c>
      <c r="F271" s="22" t="s">
        <v>207</v>
      </c>
      <c r="G271" s="22" t="s">
        <v>54</v>
      </c>
      <c r="H271" s="22" t="s">
        <v>1716</v>
      </c>
      <c r="I271" s="22" t="s">
        <v>121</v>
      </c>
      <c r="J271" s="22" t="s">
        <v>1845</v>
      </c>
      <c r="K271" s="22" t="s">
        <v>745</v>
      </c>
      <c r="L271" s="22" t="s">
        <v>103</v>
      </c>
      <c r="M271" s="22" t="s">
        <v>55</v>
      </c>
      <c r="N271" s="22" t="s">
        <v>55</v>
      </c>
      <c r="O271" s="22" t="s">
        <v>1830</v>
      </c>
      <c r="P271" s="22" t="s">
        <v>1846</v>
      </c>
      <c r="Q271" s="22" t="s">
        <v>1847</v>
      </c>
      <c r="R271" s="22" t="s">
        <v>63</v>
      </c>
      <c r="S271" s="22" t="s">
        <v>1848</v>
      </c>
      <c r="T271" s="22" t="s">
        <v>633</v>
      </c>
      <c r="U271" s="22" t="s">
        <v>63</v>
      </c>
      <c r="V271" s="23">
        <v>45991</v>
      </c>
      <c r="W271" s="22" t="s">
        <v>55</v>
      </c>
      <c r="X271" s="22" t="s">
        <v>1849</v>
      </c>
      <c r="Y271" s="22" t="s">
        <v>65</v>
      </c>
      <c r="Z271" s="22" t="s">
        <v>55</v>
      </c>
      <c r="AA271" s="22" t="s">
        <v>152</v>
      </c>
      <c r="AB271" s="22" t="s">
        <v>55</v>
      </c>
      <c r="AC271" s="22" t="s">
        <v>55</v>
      </c>
      <c r="AD271" s="22" t="s">
        <v>67</v>
      </c>
      <c r="AE271" s="22" t="s">
        <v>257</v>
      </c>
      <c r="AF271" s="22" t="s">
        <v>55</v>
      </c>
      <c r="AG271" s="22" t="s">
        <v>55</v>
      </c>
      <c r="AH271" s="22" t="s">
        <v>55</v>
      </c>
      <c r="AI271" s="22" t="s">
        <v>55</v>
      </c>
      <c r="AJ271" s="22" t="s">
        <v>55</v>
      </c>
      <c r="AK271" s="22" t="s">
        <v>55</v>
      </c>
      <c r="AL271" s="22" t="s">
        <v>55</v>
      </c>
      <c r="AM271" s="22" t="s">
        <v>55</v>
      </c>
      <c r="AN271" s="22" t="s">
        <v>55</v>
      </c>
      <c r="AO271" s="22" t="s">
        <v>55</v>
      </c>
      <c r="AP271" s="22" t="s">
        <v>55</v>
      </c>
      <c r="AQ271" s="22" t="s">
        <v>55</v>
      </c>
      <c r="AR271" s="22" t="s">
        <v>55</v>
      </c>
      <c r="AS271" s="22" t="s">
        <v>55</v>
      </c>
      <c r="AT271" s="22" t="s">
        <v>55</v>
      </c>
      <c r="AU271" s="22" t="s">
        <v>55</v>
      </c>
      <c r="AV271" s="22" t="s">
        <v>55</v>
      </c>
      <c r="AW271" s="23">
        <v>45778</v>
      </c>
      <c r="AX271" s="23">
        <v>45901</v>
      </c>
      <c r="AY271" s="22" t="s">
        <v>1836</v>
      </c>
    </row>
    <row r="272" spans="1:51" ht="72.5" x14ac:dyDescent="0.35">
      <c r="A272" s="22" t="s">
        <v>1850</v>
      </c>
      <c r="B272" s="22" t="s">
        <v>347</v>
      </c>
      <c r="C272" s="22" t="s">
        <v>51</v>
      </c>
      <c r="D272" s="22" t="s">
        <v>369</v>
      </c>
      <c r="E272" s="22" t="s">
        <v>108</v>
      </c>
      <c r="F272" s="22" t="s">
        <v>207</v>
      </c>
      <c r="G272" s="22" t="s">
        <v>54</v>
      </c>
      <c r="H272" s="22" t="s">
        <v>1716</v>
      </c>
      <c r="I272" s="22" t="s">
        <v>1851</v>
      </c>
      <c r="J272" s="22" t="s">
        <v>1851</v>
      </c>
      <c r="K272" s="22" t="s">
        <v>868</v>
      </c>
      <c r="L272" s="22" t="s">
        <v>103</v>
      </c>
      <c r="M272" s="22" t="s">
        <v>1706</v>
      </c>
      <c r="N272" s="22" t="s">
        <v>55</v>
      </c>
      <c r="O272" s="22" t="s">
        <v>1830</v>
      </c>
      <c r="P272" s="22" t="s">
        <v>1852</v>
      </c>
      <c r="Q272" s="22" t="s">
        <v>1853</v>
      </c>
      <c r="R272" s="22" t="s">
        <v>63</v>
      </c>
      <c r="S272" s="22" t="s">
        <v>1854</v>
      </c>
      <c r="T272" s="22" t="s">
        <v>1855</v>
      </c>
      <c r="U272" s="22" t="s">
        <v>132</v>
      </c>
      <c r="V272" s="23">
        <v>45991</v>
      </c>
      <c r="W272" s="22" t="s">
        <v>55</v>
      </c>
      <c r="X272" s="22" t="s">
        <v>1856</v>
      </c>
      <c r="Y272" s="22" t="s">
        <v>65</v>
      </c>
      <c r="Z272" s="22" t="s">
        <v>55</v>
      </c>
      <c r="AA272" s="22" t="s">
        <v>152</v>
      </c>
      <c r="AB272" s="22" t="s">
        <v>55</v>
      </c>
      <c r="AC272" s="22" t="s">
        <v>55</v>
      </c>
      <c r="AD272" s="22" t="s">
        <v>67</v>
      </c>
      <c r="AE272" s="22" t="s">
        <v>257</v>
      </c>
      <c r="AF272" s="22" t="s">
        <v>156</v>
      </c>
      <c r="AG272" s="22" t="s">
        <v>55</v>
      </c>
      <c r="AH272" s="22" t="s">
        <v>55</v>
      </c>
      <c r="AI272" s="22" t="s">
        <v>55</v>
      </c>
      <c r="AJ272" s="22" t="s">
        <v>55</v>
      </c>
      <c r="AK272" s="22" t="s">
        <v>55</v>
      </c>
      <c r="AL272" s="22" t="s">
        <v>55</v>
      </c>
      <c r="AM272" s="22" t="s">
        <v>55</v>
      </c>
      <c r="AN272" s="22" t="s">
        <v>55</v>
      </c>
      <c r="AO272" s="22" t="s">
        <v>55</v>
      </c>
      <c r="AP272" s="22" t="s">
        <v>55</v>
      </c>
      <c r="AQ272" s="22" t="s">
        <v>55</v>
      </c>
      <c r="AR272" s="22" t="s">
        <v>55</v>
      </c>
      <c r="AS272" s="22" t="s">
        <v>55</v>
      </c>
      <c r="AT272" s="22" t="s">
        <v>55</v>
      </c>
      <c r="AU272" s="22" t="s">
        <v>55</v>
      </c>
      <c r="AV272" s="22" t="s">
        <v>55</v>
      </c>
      <c r="AW272" s="23">
        <v>45778</v>
      </c>
      <c r="AX272" s="23">
        <v>45901</v>
      </c>
      <c r="AY272" s="22" t="s">
        <v>1836</v>
      </c>
    </row>
    <row r="273" spans="1:51" ht="188.5" x14ac:dyDescent="0.35">
      <c r="A273" s="22" t="s">
        <v>1857</v>
      </c>
      <c r="B273" s="22" t="s">
        <v>347</v>
      </c>
      <c r="C273" s="22" t="s">
        <v>51</v>
      </c>
      <c r="D273" s="22" t="s">
        <v>369</v>
      </c>
      <c r="E273" s="22" t="s">
        <v>108</v>
      </c>
      <c r="F273" s="22" t="s">
        <v>207</v>
      </c>
      <c r="G273" s="22" t="s">
        <v>54</v>
      </c>
      <c r="H273" s="22" t="s">
        <v>1716</v>
      </c>
      <c r="I273" s="22" t="s">
        <v>121</v>
      </c>
      <c r="J273" s="22" t="s">
        <v>622</v>
      </c>
      <c r="K273" s="22" t="s">
        <v>613</v>
      </c>
      <c r="L273" s="22" t="s">
        <v>57</v>
      </c>
      <c r="M273" s="22" t="s">
        <v>96</v>
      </c>
      <c r="N273" s="22" t="s">
        <v>55</v>
      </c>
      <c r="O273" s="22" t="s">
        <v>1830</v>
      </c>
      <c r="P273" s="22" t="s">
        <v>1858</v>
      </c>
      <c r="Q273" s="22" t="s">
        <v>1859</v>
      </c>
      <c r="R273" s="22" t="s">
        <v>63</v>
      </c>
      <c r="S273" s="22" t="s">
        <v>1860</v>
      </c>
      <c r="T273" s="22" t="s">
        <v>1861</v>
      </c>
      <c r="U273" s="22" t="s">
        <v>63</v>
      </c>
      <c r="V273" s="23">
        <v>46022</v>
      </c>
      <c r="W273" s="22" t="s">
        <v>55</v>
      </c>
      <c r="X273" s="22" t="s">
        <v>1862</v>
      </c>
      <c r="Y273" s="22" t="s">
        <v>65</v>
      </c>
      <c r="Z273" s="22" t="s">
        <v>55</v>
      </c>
      <c r="AA273" s="22" t="s">
        <v>221</v>
      </c>
      <c r="AB273" s="22" t="s">
        <v>55</v>
      </c>
      <c r="AC273" s="22" t="s">
        <v>55</v>
      </c>
      <c r="AD273" s="22" t="s">
        <v>67</v>
      </c>
      <c r="AE273" s="22" t="s">
        <v>257</v>
      </c>
      <c r="AF273" s="22" t="s">
        <v>98</v>
      </c>
      <c r="AG273" s="22" t="s">
        <v>55</v>
      </c>
      <c r="AH273" s="22" t="s">
        <v>55</v>
      </c>
      <c r="AI273" s="22" t="s">
        <v>55</v>
      </c>
      <c r="AJ273" s="22" t="s">
        <v>55</v>
      </c>
      <c r="AK273" s="22" t="s">
        <v>55</v>
      </c>
      <c r="AL273" s="22" t="s">
        <v>55</v>
      </c>
      <c r="AM273" s="22" t="s">
        <v>55</v>
      </c>
      <c r="AN273" s="22" t="s">
        <v>55</v>
      </c>
      <c r="AO273" s="22" t="s">
        <v>55</v>
      </c>
      <c r="AP273" s="22" t="s">
        <v>55</v>
      </c>
      <c r="AQ273" s="22" t="s">
        <v>55</v>
      </c>
      <c r="AR273" s="22" t="s">
        <v>55</v>
      </c>
      <c r="AS273" s="22" t="s">
        <v>55</v>
      </c>
      <c r="AT273" s="22" t="s">
        <v>55</v>
      </c>
      <c r="AU273" s="22" t="s">
        <v>55</v>
      </c>
      <c r="AV273" s="22" t="s">
        <v>55</v>
      </c>
      <c r="AW273" s="23">
        <v>45778</v>
      </c>
      <c r="AX273" s="23">
        <v>45901</v>
      </c>
      <c r="AY273" s="22" t="s">
        <v>1836</v>
      </c>
    </row>
    <row r="274" spans="1:51" ht="159.5" x14ac:dyDescent="0.35">
      <c r="A274" s="22" t="s">
        <v>1863</v>
      </c>
      <c r="B274" s="22" t="s">
        <v>347</v>
      </c>
      <c r="C274" s="22" t="s">
        <v>51</v>
      </c>
      <c r="D274" s="22" t="s">
        <v>369</v>
      </c>
      <c r="E274" s="22" t="s">
        <v>108</v>
      </c>
      <c r="F274" s="22" t="s">
        <v>207</v>
      </c>
      <c r="G274" s="22" t="s">
        <v>54</v>
      </c>
      <c r="H274" s="22" t="s">
        <v>1716</v>
      </c>
      <c r="I274" s="22" t="s">
        <v>160</v>
      </c>
      <c r="J274" s="22" t="s">
        <v>1864</v>
      </c>
      <c r="K274" s="22" t="s">
        <v>1385</v>
      </c>
      <c r="L274" s="22" t="s">
        <v>57</v>
      </c>
      <c r="M274" s="22" t="s">
        <v>1386</v>
      </c>
      <c r="N274" s="22" t="s">
        <v>55</v>
      </c>
      <c r="O274" s="22" t="s">
        <v>1830</v>
      </c>
      <c r="P274" s="22" t="s">
        <v>1865</v>
      </c>
      <c r="Q274" s="22" t="s">
        <v>1866</v>
      </c>
      <c r="R274" s="22" t="s">
        <v>63</v>
      </c>
      <c r="S274" s="22" t="s">
        <v>1867</v>
      </c>
      <c r="T274" s="22" t="s">
        <v>1868</v>
      </c>
      <c r="U274" s="22" t="s">
        <v>63</v>
      </c>
      <c r="V274" s="23">
        <v>45991</v>
      </c>
      <c r="W274" s="22" t="s">
        <v>55</v>
      </c>
      <c r="X274" s="22" t="s">
        <v>1869</v>
      </c>
      <c r="Y274" s="22" t="s">
        <v>65</v>
      </c>
      <c r="Z274" s="22" t="s">
        <v>55</v>
      </c>
      <c r="AA274" s="22" t="s">
        <v>152</v>
      </c>
      <c r="AB274" s="22" t="s">
        <v>55</v>
      </c>
      <c r="AC274" s="22" t="s">
        <v>55</v>
      </c>
      <c r="AD274" s="22" t="s">
        <v>67</v>
      </c>
      <c r="AE274" s="22" t="s">
        <v>257</v>
      </c>
      <c r="AF274" s="22" t="s">
        <v>1238</v>
      </c>
      <c r="AG274" s="22" t="s">
        <v>55</v>
      </c>
      <c r="AH274" s="22" t="s">
        <v>55</v>
      </c>
      <c r="AI274" s="22" t="s">
        <v>55</v>
      </c>
      <c r="AJ274" s="22" t="s">
        <v>55</v>
      </c>
      <c r="AK274" s="22" t="s">
        <v>55</v>
      </c>
      <c r="AL274" s="22" t="s">
        <v>55</v>
      </c>
      <c r="AM274" s="22" t="s">
        <v>55</v>
      </c>
      <c r="AN274" s="22" t="s">
        <v>55</v>
      </c>
      <c r="AO274" s="22" t="s">
        <v>55</v>
      </c>
      <c r="AP274" s="22" t="s">
        <v>55</v>
      </c>
      <c r="AQ274" s="22" t="s">
        <v>55</v>
      </c>
      <c r="AR274" s="22" t="s">
        <v>55</v>
      </c>
      <c r="AS274" s="22" t="s">
        <v>55</v>
      </c>
      <c r="AT274" s="22" t="s">
        <v>55</v>
      </c>
      <c r="AU274" s="22" t="s">
        <v>55</v>
      </c>
      <c r="AV274" s="22" t="s">
        <v>55</v>
      </c>
      <c r="AW274" s="23">
        <v>45778</v>
      </c>
      <c r="AX274" s="23">
        <v>45901</v>
      </c>
      <c r="AY274" s="22" t="s">
        <v>1836</v>
      </c>
    </row>
    <row r="275" spans="1:51" ht="101.5" x14ac:dyDescent="0.35">
      <c r="A275" s="22" t="s">
        <v>1870</v>
      </c>
      <c r="B275" s="22" t="s">
        <v>347</v>
      </c>
      <c r="C275" s="22" t="s">
        <v>51</v>
      </c>
      <c r="D275" s="22" t="s">
        <v>369</v>
      </c>
      <c r="E275" s="22" t="s">
        <v>52</v>
      </c>
      <c r="F275" s="22" t="s">
        <v>207</v>
      </c>
      <c r="G275" s="22" t="s">
        <v>54</v>
      </c>
      <c r="H275" s="22" t="s">
        <v>1716</v>
      </c>
      <c r="I275" s="22" t="s">
        <v>121</v>
      </c>
      <c r="J275" s="22" t="s">
        <v>1871</v>
      </c>
      <c r="K275" s="22" t="s">
        <v>594</v>
      </c>
      <c r="L275" s="22" t="s">
        <v>57</v>
      </c>
      <c r="M275" s="22" t="s">
        <v>55</v>
      </c>
      <c r="N275" s="22" t="s">
        <v>55</v>
      </c>
      <c r="O275" s="22" t="s">
        <v>1830</v>
      </c>
      <c r="P275" s="22" t="s">
        <v>676</v>
      </c>
      <c r="Q275" s="22" t="s">
        <v>1872</v>
      </c>
      <c r="R275" s="22" t="s">
        <v>132</v>
      </c>
      <c r="S275" s="22" t="s">
        <v>678</v>
      </c>
      <c r="T275" s="22" t="s">
        <v>1873</v>
      </c>
      <c r="U275" s="22" t="s">
        <v>63</v>
      </c>
      <c r="V275" s="23">
        <v>45991</v>
      </c>
      <c r="W275" s="22" t="s">
        <v>55</v>
      </c>
      <c r="X275" s="22" t="s">
        <v>1874</v>
      </c>
      <c r="Y275" s="22" t="s">
        <v>65</v>
      </c>
      <c r="Z275" s="22" t="s">
        <v>55</v>
      </c>
      <c r="AA275" s="22" t="s">
        <v>152</v>
      </c>
      <c r="AB275" s="22" t="s">
        <v>55</v>
      </c>
      <c r="AC275" s="22" t="s">
        <v>55</v>
      </c>
      <c r="AD275" s="22" t="s">
        <v>67</v>
      </c>
      <c r="AE275" s="22" t="s">
        <v>257</v>
      </c>
      <c r="AF275" s="22" t="s">
        <v>55</v>
      </c>
      <c r="AG275" s="22" t="s">
        <v>55</v>
      </c>
      <c r="AH275" s="22" t="s">
        <v>55</v>
      </c>
      <c r="AI275" s="22" t="s">
        <v>55</v>
      </c>
      <c r="AJ275" s="22" t="s">
        <v>55</v>
      </c>
      <c r="AK275" s="22" t="s">
        <v>55</v>
      </c>
      <c r="AL275" s="22" t="s">
        <v>55</v>
      </c>
      <c r="AM275" s="22" t="s">
        <v>55</v>
      </c>
      <c r="AN275" s="22" t="s">
        <v>55</v>
      </c>
      <c r="AO275" s="22" t="s">
        <v>55</v>
      </c>
      <c r="AP275" s="22" t="s">
        <v>55</v>
      </c>
      <c r="AQ275" s="22" t="s">
        <v>55</v>
      </c>
      <c r="AR275" s="22" t="s">
        <v>55</v>
      </c>
      <c r="AS275" s="22" t="s">
        <v>55</v>
      </c>
      <c r="AT275" s="22" t="s">
        <v>55</v>
      </c>
      <c r="AU275" s="22" t="s">
        <v>55</v>
      </c>
      <c r="AV275" s="22" t="s">
        <v>55</v>
      </c>
      <c r="AW275" s="23">
        <v>45778</v>
      </c>
      <c r="AX275" s="23">
        <v>45901</v>
      </c>
      <c r="AY275" s="22" t="s">
        <v>1836</v>
      </c>
    </row>
    <row r="276" spans="1:51" ht="145" x14ac:dyDescent="0.35">
      <c r="A276" s="22" t="s">
        <v>1875</v>
      </c>
      <c r="B276" s="22" t="s">
        <v>347</v>
      </c>
      <c r="C276" s="22" t="s">
        <v>51</v>
      </c>
      <c r="D276" s="22" t="s">
        <v>369</v>
      </c>
      <c r="E276" s="22" t="s">
        <v>52</v>
      </c>
      <c r="F276" s="22" t="s">
        <v>207</v>
      </c>
      <c r="G276" s="22" t="s">
        <v>54</v>
      </c>
      <c r="H276" s="22" t="s">
        <v>1716</v>
      </c>
      <c r="I276" s="22" t="s">
        <v>121</v>
      </c>
      <c r="J276" s="22" t="s">
        <v>1876</v>
      </c>
      <c r="K276" s="22" t="s">
        <v>594</v>
      </c>
      <c r="L276" s="22" t="s">
        <v>57</v>
      </c>
      <c r="M276" s="22" t="s">
        <v>55</v>
      </c>
      <c r="N276" s="22" t="s">
        <v>55</v>
      </c>
      <c r="O276" s="22" t="s">
        <v>1830</v>
      </c>
      <c r="P276" s="22" t="s">
        <v>1877</v>
      </c>
      <c r="Q276" s="22" t="s">
        <v>1878</v>
      </c>
      <c r="R276" s="22" t="s">
        <v>63</v>
      </c>
      <c r="S276" s="22" t="s">
        <v>1879</v>
      </c>
      <c r="T276" s="22" t="s">
        <v>1880</v>
      </c>
      <c r="U276" s="22" t="s">
        <v>63</v>
      </c>
      <c r="V276" s="23">
        <v>45991</v>
      </c>
      <c r="W276" s="22" t="s">
        <v>55</v>
      </c>
      <c r="X276" s="22" t="s">
        <v>1881</v>
      </c>
      <c r="Y276" s="22" t="s">
        <v>65</v>
      </c>
      <c r="Z276" s="22" t="s">
        <v>55</v>
      </c>
      <c r="AA276" s="22" t="s">
        <v>152</v>
      </c>
      <c r="AB276" s="22" t="s">
        <v>55</v>
      </c>
      <c r="AC276" s="22" t="s">
        <v>55</v>
      </c>
      <c r="AD276" s="22" t="s">
        <v>67</v>
      </c>
      <c r="AE276" s="22" t="s">
        <v>257</v>
      </c>
      <c r="AF276" s="22" t="s">
        <v>55</v>
      </c>
      <c r="AG276" s="22" t="s">
        <v>55</v>
      </c>
      <c r="AH276" s="22" t="s">
        <v>55</v>
      </c>
      <c r="AI276" s="22" t="s">
        <v>55</v>
      </c>
      <c r="AJ276" s="22" t="s">
        <v>55</v>
      </c>
      <c r="AK276" s="22" t="s">
        <v>55</v>
      </c>
      <c r="AL276" s="22" t="s">
        <v>55</v>
      </c>
      <c r="AM276" s="22" t="s">
        <v>55</v>
      </c>
      <c r="AN276" s="22" t="s">
        <v>55</v>
      </c>
      <c r="AO276" s="22" t="s">
        <v>55</v>
      </c>
      <c r="AP276" s="22" t="s">
        <v>55</v>
      </c>
      <c r="AQ276" s="22" t="s">
        <v>55</v>
      </c>
      <c r="AR276" s="22" t="s">
        <v>55</v>
      </c>
      <c r="AS276" s="22" t="s">
        <v>55</v>
      </c>
      <c r="AT276" s="22" t="s">
        <v>55</v>
      </c>
      <c r="AU276" s="22" t="s">
        <v>55</v>
      </c>
      <c r="AV276" s="22" t="s">
        <v>55</v>
      </c>
      <c r="AW276" s="23">
        <v>45778</v>
      </c>
      <c r="AX276" s="23">
        <v>45901</v>
      </c>
      <c r="AY276" s="22" t="s">
        <v>1836</v>
      </c>
    </row>
    <row r="277" spans="1:51" ht="145" x14ac:dyDescent="0.35">
      <c r="A277" s="22" t="s">
        <v>1882</v>
      </c>
      <c r="B277" s="22" t="s">
        <v>347</v>
      </c>
      <c r="C277" s="22" t="s">
        <v>51</v>
      </c>
      <c r="D277" s="22" t="s">
        <v>369</v>
      </c>
      <c r="E277" s="22" t="s">
        <v>108</v>
      </c>
      <c r="F277" s="22" t="s">
        <v>207</v>
      </c>
      <c r="G277" s="22" t="s">
        <v>54</v>
      </c>
      <c r="H277" s="22" t="s">
        <v>1716</v>
      </c>
      <c r="I277" s="22" t="s">
        <v>117</v>
      </c>
      <c r="J277" s="22" t="s">
        <v>1883</v>
      </c>
      <c r="K277" s="22" t="s">
        <v>573</v>
      </c>
      <c r="L277" s="22" t="s">
        <v>57</v>
      </c>
      <c r="M277" s="22" t="s">
        <v>577</v>
      </c>
      <c r="N277" s="22" t="s">
        <v>55</v>
      </c>
      <c r="O277" s="22" t="s">
        <v>1830</v>
      </c>
      <c r="P277" s="22" t="s">
        <v>1884</v>
      </c>
      <c r="Q277" s="22" t="s">
        <v>1885</v>
      </c>
      <c r="R277" s="22" t="s">
        <v>63</v>
      </c>
      <c r="S277" s="22" t="s">
        <v>1886</v>
      </c>
      <c r="T277" s="22" t="s">
        <v>1887</v>
      </c>
      <c r="U277" s="22" t="s">
        <v>132</v>
      </c>
      <c r="V277" s="23">
        <v>45991</v>
      </c>
      <c r="W277" s="22" t="s">
        <v>55</v>
      </c>
      <c r="X277" s="22" t="s">
        <v>1888</v>
      </c>
      <c r="Y277" s="22" t="s">
        <v>65</v>
      </c>
      <c r="Z277" s="22" t="s">
        <v>55</v>
      </c>
      <c r="AA277" s="22" t="s">
        <v>152</v>
      </c>
      <c r="AB277" s="22" t="s">
        <v>55</v>
      </c>
      <c r="AC277" s="22" t="s">
        <v>55</v>
      </c>
      <c r="AD277" s="22" t="s">
        <v>67</v>
      </c>
      <c r="AE277" s="22" t="s">
        <v>257</v>
      </c>
      <c r="AF277" s="22" t="s">
        <v>583</v>
      </c>
      <c r="AG277" s="22" t="s">
        <v>55</v>
      </c>
      <c r="AH277" s="22" t="s">
        <v>55</v>
      </c>
      <c r="AI277" s="22" t="s">
        <v>55</v>
      </c>
      <c r="AJ277" s="22" t="s">
        <v>55</v>
      </c>
      <c r="AK277" s="22" t="s">
        <v>55</v>
      </c>
      <c r="AL277" s="22" t="s">
        <v>55</v>
      </c>
      <c r="AM277" s="22" t="s">
        <v>55</v>
      </c>
      <c r="AN277" s="22" t="s">
        <v>55</v>
      </c>
      <c r="AO277" s="22" t="s">
        <v>55</v>
      </c>
      <c r="AP277" s="22" t="s">
        <v>55</v>
      </c>
      <c r="AQ277" s="22" t="s">
        <v>55</v>
      </c>
      <c r="AR277" s="22" t="s">
        <v>55</v>
      </c>
      <c r="AS277" s="22" t="s">
        <v>55</v>
      </c>
      <c r="AT277" s="22" t="s">
        <v>55</v>
      </c>
      <c r="AU277" s="22" t="s">
        <v>55</v>
      </c>
      <c r="AV277" s="22" t="s">
        <v>55</v>
      </c>
      <c r="AW277" s="23">
        <v>45778</v>
      </c>
      <c r="AX277" s="23">
        <v>45901</v>
      </c>
      <c r="AY277" s="22" t="s">
        <v>1836</v>
      </c>
    </row>
    <row r="278" spans="1:51" ht="203" x14ac:dyDescent="0.35">
      <c r="A278" s="22" t="s">
        <v>1889</v>
      </c>
      <c r="B278" s="22" t="s">
        <v>347</v>
      </c>
      <c r="C278" s="22" t="s">
        <v>51</v>
      </c>
      <c r="D278" s="22" t="s">
        <v>369</v>
      </c>
      <c r="E278" s="22" t="s">
        <v>52</v>
      </c>
      <c r="F278" s="22" t="s">
        <v>207</v>
      </c>
      <c r="G278" s="22" t="s">
        <v>54</v>
      </c>
      <c r="H278" s="22" t="s">
        <v>1716</v>
      </c>
      <c r="I278" s="22" t="s">
        <v>121</v>
      </c>
      <c r="J278" s="22" t="s">
        <v>689</v>
      </c>
      <c r="K278" s="22" t="s">
        <v>564</v>
      </c>
      <c r="L278" s="22" t="s">
        <v>57</v>
      </c>
      <c r="M278" s="22" t="s">
        <v>154</v>
      </c>
      <c r="N278" s="22" t="s">
        <v>55</v>
      </c>
      <c r="O278" s="22" t="s">
        <v>1830</v>
      </c>
      <c r="P278" s="22" t="s">
        <v>1890</v>
      </c>
      <c r="Q278" s="22" t="s">
        <v>1891</v>
      </c>
      <c r="R278" s="22" t="s">
        <v>63</v>
      </c>
      <c r="S278" s="22" t="s">
        <v>692</v>
      </c>
      <c r="T278" s="22" t="s">
        <v>693</v>
      </c>
      <c r="U278" s="22" t="s">
        <v>63</v>
      </c>
      <c r="V278" s="23">
        <v>45991</v>
      </c>
      <c r="W278" s="22" t="s">
        <v>55</v>
      </c>
      <c r="X278" s="22" t="s">
        <v>1892</v>
      </c>
      <c r="Y278" s="22" t="s">
        <v>65</v>
      </c>
      <c r="Z278" s="22" t="s">
        <v>55</v>
      </c>
      <c r="AA278" s="22" t="s">
        <v>152</v>
      </c>
      <c r="AB278" s="22" t="s">
        <v>55</v>
      </c>
      <c r="AC278" s="22" t="s">
        <v>55</v>
      </c>
      <c r="AD278" s="22" t="s">
        <v>67</v>
      </c>
      <c r="AE278" s="22" t="s">
        <v>257</v>
      </c>
      <c r="AF278" s="22" t="s">
        <v>156</v>
      </c>
      <c r="AG278" s="22" t="s">
        <v>55</v>
      </c>
      <c r="AH278" s="22" t="s">
        <v>55</v>
      </c>
      <c r="AI278" s="22" t="s">
        <v>55</v>
      </c>
      <c r="AJ278" s="22" t="s">
        <v>55</v>
      </c>
      <c r="AK278" s="22" t="s">
        <v>55</v>
      </c>
      <c r="AL278" s="22" t="s">
        <v>55</v>
      </c>
      <c r="AM278" s="22" t="s">
        <v>55</v>
      </c>
      <c r="AN278" s="22" t="s">
        <v>55</v>
      </c>
      <c r="AO278" s="22" t="s">
        <v>55</v>
      </c>
      <c r="AP278" s="22" t="s">
        <v>55</v>
      </c>
      <c r="AQ278" s="22" t="s">
        <v>55</v>
      </c>
      <c r="AR278" s="22" t="s">
        <v>55</v>
      </c>
      <c r="AS278" s="22" t="s">
        <v>55</v>
      </c>
      <c r="AT278" s="22" t="s">
        <v>55</v>
      </c>
      <c r="AU278" s="22" t="s">
        <v>55</v>
      </c>
      <c r="AV278" s="22" t="s">
        <v>55</v>
      </c>
      <c r="AW278" s="23">
        <v>45778</v>
      </c>
      <c r="AX278" s="23">
        <v>45901</v>
      </c>
      <c r="AY278" s="22" t="s">
        <v>1836</v>
      </c>
    </row>
    <row r="279" spans="1:51" ht="101.5" x14ac:dyDescent="0.35">
      <c r="A279" s="22" t="s">
        <v>1893</v>
      </c>
      <c r="B279" s="22" t="s">
        <v>347</v>
      </c>
      <c r="C279" s="22" t="s">
        <v>51</v>
      </c>
      <c r="D279" s="22" t="s">
        <v>369</v>
      </c>
      <c r="E279" s="22" t="s">
        <v>108</v>
      </c>
      <c r="F279" s="22" t="s">
        <v>207</v>
      </c>
      <c r="G279" s="22" t="s">
        <v>54</v>
      </c>
      <c r="H279" s="22" t="s">
        <v>1716</v>
      </c>
      <c r="I279" s="22" t="s">
        <v>117</v>
      </c>
      <c r="J279" s="22" t="s">
        <v>723</v>
      </c>
      <c r="K279" s="22" t="s">
        <v>576</v>
      </c>
      <c r="L279" s="22" t="s">
        <v>57</v>
      </c>
      <c r="M279" s="22" t="s">
        <v>55</v>
      </c>
      <c r="N279" s="22" t="s">
        <v>55</v>
      </c>
      <c r="O279" s="22" t="s">
        <v>1830</v>
      </c>
      <c r="P279" s="22" t="s">
        <v>1894</v>
      </c>
      <c r="Q279" s="22" t="s">
        <v>1895</v>
      </c>
      <c r="R279" s="22" t="s">
        <v>63</v>
      </c>
      <c r="S279" s="22" t="s">
        <v>726</v>
      </c>
      <c r="T279" s="22" t="s">
        <v>727</v>
      </c>
      <c r="U279" s="22" t="s">
        <v>63</v>
      </c>
      <c r="V279" s="23">
        <v>45991</v>
      </c>
      <c r="W279" s="22" t="s">
        <v>55</v>
      </c>
      <c r="X279" s="22" t="s">
        <v>728</v>
      </c>
      <c r="Y279" s="22" t="s">
        <v>65</v>
      </c>
      <c r="Z279" s="22" t="s">
        <v>55</v>
      </c>
      <c r="AA279" s="22" t="s">
        <v>152</v>
      </c>
      <c r="AB279" s="22" t="s">
        <v>55</v>
      </c>
      <c r="AC279" s="22" t="s">
        <v>55</v>
      </c>
      <c r="AD279" s="22" t="s">
        <v>67</v>
      </c>
      <c r="AE279" s="22" t="s">
        <v>257</v>
      </c>
      <c r="AF279" s="22" t="s">
        <v>55</v>
      </c>
      <c r="AG279" s="22" t="s">
        <v>55</v>
      </c>
      <c r="AH279" s="22" t="s">
        <v>55</v>
      </c>
      <c r="AI279" s="22" t="s">
        <v>55</v>
      </c>
      <c r="AJ279" s="22" t="s">
        <v>55</v>
      </c>
      <c r="AK279" s="22" t="s">
        <v>55</v>
      </c>
      <c r="AL279" s="22" t="s">
        <v>55</v>
      </c>
      <c r="AM279" s="22" t="s">
        <v>55</v>
      </c>
      <c r="AN279" s="22" t="s">
        <v>55</v>
      </c>
      <c r="AO279" s="22" t="s">
        <v>55</v>
      </c>
      <c r="AP279" s="22" t="s">
        <v>55</v>
      </c>
      <c r="AQ279" s="22" t="s">
        <v>55</v>
      </c>
      <c r="AR279" s="22" t="s">
        <v>55</v>
      </c>
      <c r="AS279" s="22" t="s">
        <v>55</v>
      </c>
      <c r="AT279" s="22" t="s">
        <v>55</v>
      </c>
      <c r="AU279" s="22" t="s">
        <v>55</v>
      </c>
      <c r="AV279" s="22" t="s">
        <v>55</v>
      </c>
      <c r="AW279" s="23">
        <v>45778</v>
      </c>
      <c r="AX279" s="23">
        <v>45901</v>
      </c>
      <c r="AY279" s="22" t="s">
        <v>1836</v>
      </c>
    </row>
    <row r="280" spans="1:51" ht="145" x14ac:dyDescent="0.35">
      <c r="A280" s="22" t="s">
        <v>1896</v>
      </c>
      <c r="B280" s="22" t="s">
        <v>347</v>
      </c>
      <c r="C280" s="22" t="s">
        <v>51</v>
      </c>
      <c r="D280" s="22" t="s">
        <v>369</v>
      </c>
      <c r="E280" s="22" t="s">
        <v>108</v>
      </c>
      <c r="F280" s="22" t="s">
        <v>207</v>
      </c>
      <c r="G280" s="22" t="s">
        <v>54</v>
      </c>
      <c r="H280" s="22" t="s">
        <v>1716</v>
      </c>
      <c r="I280" s="22" t="s">
        <v>363</v>
      </c>
      <c r="J280" s="22" t="s">
        <v>737</v>
      </c>
      <c r="K280" s="22" t="s">
        <v>586</v>
      </c>
      <c r="L280" s="22" t="s">
        <v>57</v>
      </c>
      <c r="M280" s="22" t="s">
        <v>55</v>
      </c>
      <c r="N280" s="22" t="s">
        <v>55</v>
      </c>
      <c r="O280" s="22" t="s">
        <v>1830</v>
      </c>
      <c r="P280" s="22" t="s">
        <v>738</v>
      </c>
      <c r="Q280" s="22" t="s">
        <v>1897</v>
      </c>
      <c r="R280" s="22" t="s">
        <v>132</v>
      </c>
      <c r="S280" s="22" t="s">
        <v>1898</v>
      </c>
      <c r="T280" s="22" t="s">
        <v>1899</v>
      </c>
      <c r="U280" s="22" t="s">
        <v>63</v>
      </c>
      <c r="V280" s="23">
        <v>45991</v>
      </c>
      <c r="W280" s="22" t="s">
        <v>55</v>
      </c>
      <c r="X280" s="22" t="s">
        <v>1900</v>
      </c>
      <c r="Y280" s="22" t="s">
        <v>65</v>
      </c>
      <c r="Z280" s="22" t="s">
        <v>55</v>
      </c>
      <c r="AA280" s="22" t="s">
        <v>152</v>
      </c>
      <c r="AB280" s="22" t="s">
        <v>55</v>
      </c>
      <c r="AC280" s="22" t="s">
        <v>55</v>
      </c>
      <c r="AD280" s="22" t="s">
        <v>67</v>
      </c>
      <c r="AE280" s="22" t="s">
        <v>257</v>
      </c>
      <c r="AF280" s="22" t="s">
        <v>55</v>
      </c>
      <c r="AG280" s="22" t="s">
        <v>55</v>
      </c>
      <c r="AH280" s="22" t="s">
        <v>55</v>
      </c>
      <c r="AI280" s="22" t="s">
        <v>55</v>
      </c>
      <c r="AJ280" s="22" t="s">
        <v>55</v>
      </c>
      <c r="AK280" s="22" t="s">
        <v>55</v>
      </c>
      <c r="AL280" s="22" t="s">
        <v>55</v>
      </c>
      <c r="AM280" s="22" t="s">
        <v>55</v>
      </c>
      <c r="AN280" s="22" t="s">
        <v>55</v>
      </c>
      <c r="AO280" s="22" t="s">
        <v>55</v>
      </c>
      <c r="AP280" s="22" t="s">
        <v>55</v>
      </c>
      <c r="AQ280" s="22" t="s">
        <v>55</v>
      </c>
      <c r="AR280" s="22" t="s">
        <v>55</v>
      </c>
      <c r="AS280" s="22" t="s">
        <v>55</v>
      </c>
      <c r="AT280" s="22" t="s">
        <v>55</v>
      </c>
      <c r="AU280" s="22" t="s">
        <v>55</v>
      </c>
      <c r="AV280" s="22" t="s">
        <v>55</v>
      </c>
      <c r="AW280" s="23">
        <v>45778</v>
      </c>
      <c r="AX280" s="23">
        <v>45901</v>
      </c>
      <c r="AY280" s="22" t="s">
        <v>1836</v>
      </c>
    </row>
    <row r="281" spans="1:51" ht="159.5" x14ac:dyDescent="0.35">
      <c r="A281" s="22" t="s">
        <v>1901</v>
      </c>
      <c r="B281" s="22" t="s">
        <v>347</v>
      </c>
      <c r="C281" s="22" t="s">
        <v>51</v>
      </c>
      <c r="D281" s="22" t="s">
        <v>369</v>
      </c>
      <c r="E281" s="22" t="s">
        <v>52</v>
      </c>
      <c r="F281" s="22" t="s">
        <v>207</v>
      </c>
      <c r="G281" s="22" t="s">
        <v>54</v>
      </c>
      <c r="H281" s="22" t="s">
        <v>1716</v>
      </c>
      <c r="I281" s="22" t="s">
        <v>119</v>
      </c>
      <c r="J281" s="22" t="s">
        <v>1902</v>
      </c>
      <c r="K281" s="22" t="s">
        <v>552</v>
      </c>
      <c r="L281" s="22" t="s">
        <v>57</v>
      </c>
      <c r="M281" s="22" t="s">
        <v>243</v>
      </c>
      <c r="N281" s="22" t="s">
        <v>55</v>
      </c>
      <c r="O281" s="22" t="s">
        <v>1830</v>
      </c>
      <c r="P281" s="22" t="s">
        <v>731</v>
      </c>
      <c r="Q281" s="22" t="s">
        <v>1903</v>
      </c>
      <c r="R281" s="22" t="s">
        <v>63</v>
      </c>
      <c r="S281" s="22" t="s">
        <v>733</v>
      </c>
      <c r="T281" s="22" t="s">
        <v>1904</v>
      </c>
      <c r="U281" s="22" t="s">
        <v>63</v>
      </c>
      <c r="V281" s="23">
        <v>46022</v>
      </c>
      <c r="W281" s="22" t="s">
        <v>55</v>
      </c>
      <c r="X281" s="22" t="s">
        <v>1869</v>
      </c>
      <c r="Y281" s="22" t="s">
        <v>65</v>
      </c>
      <c r="Z281" s="22" t="s">
        <v>55</v>
      </c>
      <c r="AA281" s="22" t="s">
        <v>221</v>
      </c>
      <c r="AB281" s="22" t="s">
        <v>55</v>
      </c>
      <c r="AC281" s="22" t="s">
        <v>55</v>
      </c>
      <c r="AD281" s="22" t="s">
        <v>67</v>
      </c>
      <c r="AE281" s="22" t="s">
        <v>257</v>
      </c>
      <c r="AF281" s="22" t="s">
        <v>92</v>
      </c>
      <c r="AG281" s="22" t="s">
        <v>55</v>
      </c>
      <c r="AH281" s="22" t="s">
        <v>55</v>
      </c>
      <c r="AI281" s="22" t="s">
        <v>55</v>
      </c>
      <c r="AJ281" s="22" t="s">
        <v>55</v>
      </c>
      <c r="AK281" s="22" t="s">
        <v>55</v>
      </c>
      <c r="AL281" s="22" t="s">
        <v>55</v>
      </c>
      <c r="AM281" s="22" t="s">
        <v>55</v>
      </c>
      <c r="AN281" s="22" t="s">
        <v>55</v>
      </c>
      <c r="AO281" s="22" t="s">
        <v>55</v>
      </c>
      <c r="AP281" s="22" t="s">
        <v>55</v>
      </c>
      <c r="AQ281" s="22" t="s">
        <v>55</v>
      </c>
      <c r="AR281" s="22" t="s">
        <v>55</v>
      </c>
      <c r="AS281" s="22" t="s">
        <v>55</v>
      </c>
      <c r="AT281" s="22" t="s">
        <v>55</v>
      </c>
      <c r="AU281" s="22" t="s">
        <v>55</v>
      </c>
      <c r="AV281" s="22" t="s">
        <v>55</v>
      </c>
      <c r="AW281" s="23">
        <v>45778</v>
      </c>
      <c r="AX281" s="23">
        <v>45901</v>
      </c>
      <c r="AY281" s="22" t="s">
        <v>1836</v>
      </c>
    </row>
    <row r="282" spans="1:51" ht="159.5" x14ac:dyDescent="0.35">
      <c r="A282" s="22" t="s">
        <v>1905</v>
      </c>
      <c r="B282" s="22" t="s">
        <v>347</v>
      </c>
      <c r="C282" s="22" t="s">
        <v>51</v>
      </c>
      <c r="D282" s="22" t="s">
        <v>369</v>
      </c>
      <c r="E282" s="22" t="s">
        <v>108</v>
      </c>
      <c r="F282" s="22" t="s">
        <v>207</v>
      </c>
      <c r="G282" s="22" t="s">
        <v>54</v>
      </c>
      <c r="H282" s="22" t="s">
        <v>1716</v>
      </c>
      <c r="I282" s="22" t="s">
        <v>160</v>
      </c>
      <c r="J282" s="22" t="s">
        <v>661</v>
      </c>
      <c r="K282" s="22" t="s">
        <v>558</v>
      </c>
      <c r="L282" s="22" t="s">
        <v>57</v>
      </c>
      <c r="M282" s="22" t="s">
        <v>55</v>
      </c>
      <c r="N282" s="22" t="s">
        <v>55</v>
      </c>
      <c r="O282" s="22" t="s">
        <v>1830</v>
      </c>
      <c r="P282" s="22" t="s">
        <v>1906</v>
      </c>
      <c r="Q282" s="22" t="s">
        <v>1907</v>
      </c>
      <c r="R282" s="22" t="s">
        <v>63</v>
      </c>
      <c r="S282" s="22" t="s">
        <v>1908</v>
      </c>
      <c r="T282" s="22" t="s">
        <v>1909</v>
      </c>
      <c r="U282" s="22" t="s">
        <v>63</v>
      </c>
      <c r="V282" s="23">
        <v>45991</v>
      </c>
      <c r="W282" s="22" t="s">
        <v>55</v>
      </c>
      <c r="X282" s="22" t="s">
        <v>1910</v>
      </c>
      <c r="Y282" s="22" t="s">
        <v>65</v>
      </c>
      <c r="Z282" s="22" t="s">
        <v>55</v>
      </c>
      <c r="AA282" s="22" t="s">
        <v>152</v>
      </c>
      <c r="AB282" s="22" t="s">
        <v>55</v>
      </c>
      <c r="AC282" s="22" t="s">
        <v>55</v>
      </c>
      <c r="AD282" s="22" t="s">
        <v>67</v>
      </c>
      <c r="AE282" s="22" t="s">
        <v>257</v>
      </c>
      <c r="AF282" s="22" t="s">
        <v>55</v>
      </c>
      <c r="AG282" s="22" t="s">
        <v>55</v>
      </c>
      <c r="AH282" s="22" t="s">
        <v>55</v>
      </c>
      <c r="AI282" s="22" t="s">
        <v>55</v>
      </c>
      <c r="AJ282" s="22" t="s">
        <v>55</v>
      </c>
      <c r="AK282" s="22" t="s">
        <v>55</v>
      </c>
      <c r="AL282" s="22" t="s">
        <v>55</v>
      </c>
      <c r="AM282" s="22" t="s">
        <v>55</v>
      </c>
      <c r="AN282" s="22" t="s">
        <v>55</v>
      </c>
      <c r="AO282" s="22" t="s">
        <v>55</v>
      </c>
      <c r="AP282" s="22" t="s">
        <v>55</v>
      </c>
      <c r="AQ282" s="22" t="s">
        <v>55</v>
      </c>
      <c r="AR282" s="22" t="s">
        <v>55</v>
      </c>
      <c r="AS282" s="22" t="s">
        <v>55</v>
      </c>
      <c r="AT282" s="22" t="s">
        <v>55</v>
      </c>
      <c r="AU282" s="22" t="s">
        <v>55</v>
      </c>
      <c r="AV282" s="22" t="s">
        <v>55</v>
      </c>
      <c r="AW282" s="23">
        <v>45778</v>
      </c>
      <c r="AX282" s="23">
        <v>45901</v>
      </c>
      <c r="AY282" s="22" t="s">
        <v>1836</v>
      </c>
    </row>
    <row r="283" spans="1:51" ht="116" x14ac:dyDescent="0.35">
      <c r="A283" s="22" t="s">
        <v>1911</v>
      </c>
      <c r="B283" s="22" t="s">
        <v>347</v>
      </c>
      <c r="C283" s="22" t="s">
        <v>51</v>
      </c>
      <c r="D283" s="22" t="s">
        <v>369</v>
      </c>
      <c r="E283" s="22" t="s">
        <v>108</v>
      </c>
      <c r="F283" s="22" t="s">
        <v>207</v>
      </c>
      <c r="G283" s="22" t="s">
        <v>54</v>
      </c>
      <c r="H283" s="22" t="s">
        <v>1716</v>
      </c>
      <c r="I283" s="22" t="s">
        <v>86</v>
      </c>
      <c r="J283" s="22" t="s">
        <v>744</v>
      </c>
      <c r="K283" s="22" t="s">
        <v>745</v>
      </c>
      <c r="L283" s="22" t="s">
        <v>57</v>
      </c>
      <c r="M283" s="22" t="s">
        <v>55</v>
      </c>
      <c r="N283" s="22" t="s">
        <v>55</v>
      </c>
      <c r="O283" s="22" t="s">
        <v>1830</v>
      </c>
      <c r="P283" s="22" t="s">
        <v>1912</v>
      </c>
      <c r="Q283" s="22" t="s">
        <v>1913</v>
      </c>
      <c r="R283" s="22" t="s">
        <v>63</v>
      </c>
      <c r="S283" s="22" t="s">
        <v>1914</v>
      </c>
      <c r="T283" s="22" t="s">
        <v>1915</v>
      </c>
      <c r="U283" s="22" t="s">
        <v>63</v>
      </c>
      <c r="V283" s="23">
        <v>46022</v>
      </c>
      <c r="W283" s="22" t="s">
        <v>55</v>
      </c>
      <c r="X283" s="22" t="s">
        <v>1916</v>
      </c>
      <c r="Y283" s="22" t="s">
        <v>65</v>
      </c>
      <c r="Z283" s="22" t="s">
        <v>55</v>
      </c>
      <c r="AA283" s="22" t="s">
        <v>221</v>
      </c>
      <c r="AB283" s="22" t="s">
        <v>55</v>
      </c>
      <c r="AC283" s="22" t="s">
        <v>55</v>
      </c>
      <c r="AD283" s="22" t="s">
        <v>67</v>
      </c>
      <c r="AE283" s="22" t="s">
        <v>257</v>
      </c>
      <c r="AF283" s="22" t="s">
        <v>55</v>
      </c>
      <c r="AG283" s="22" t="s">
        <v>55</v>
      </c>
      <c r="AH283" s="22" t="s">
        <v>55</v>
      </c>
      <c r="AI283" s="22" t="s">
        <v>55</v>
      </c>
      <c r="AJ283" s="22" t="s">
        <v>55</v>
      </c>
      <c r="AK283" s="22" t="s">
        <v>55</v>
      </c>
      <c r="AL283" s="22" t="s">
        <v>55</v>
      </c>
      <c r="AM283" s="22" t="s">
        <v>55</v>
      </c>
      <c r="AN283" s="22" t="s">
        <v>55</v>
      </c>
      <c r="AO283" s="22" t="s">
        <v>55</v>
      </c>
      <c r="AP283" s="22" t="s">
        <v>55</v>
      </c>
      <c r="AQ283" s="22" t="s">
        <v>55</v>
      </c>
      <c r="AR283" s="22" t="s">
        <v>55</v>
      </c>
      <c r="AS283" s="22" t="s">
        <v>55</v>
      </c>
      <c r="AT283" s="22" t="s">
        <v>55</v>
      </c>
      <c r="AU283" s="22" t="s">
        <v>55</v>
      </c>
      <c r="AV283" s="22" t="s">
        <v>55</v>
      </c>
      <c r="AW283" s="23">
        <v>45778</v>
      </c>
      <c r="AX283" s="23">
        <v>45901</v>
      </c>
      <c r="AY283" s="22" t="s">
        <v>1836</v>
      </c>
    </row>
    <row r="284" spans="1:51" ht="261" x14ac:dyDescent="0.35">
      <c r="A284" s="22" t="s">
        <v>1917</v>
      </c>
      <c r="B284" s="22" t="s">
        <v>347</v>
      </c>
      <c r="C284" s="22" t="s">
        <v>51</v>
      </c>
      <c r="D284" s="22" t="s">
        <v>1918</v>
      </c>
      <c r="E284" s="22" t="s">
        <v>52</v>
      </c>
      <c r="F284" s="22" t="s">
        <v>1919</v>
      </c>
      <c r="G284" s="22" t="s">
        <v>606</v>
      </c>
      <c r="H284" s="22" t="s">
        <v>1732</v>
      </c>
      <c r="I284" s="22" t="s">
        <v>1851</v>
      </c>
      <c r="J284" s="22" t="s">
        <v>1920</v>
      </c>
      <c r="K284" s="22" t="s">
        <v>1921</v>
      </c>
      <c r="L284" s="22" t="s">
        <v>103</v>
      </c>
      <c r="M284" s="22" t="s">
        <v>1706</v>
      </c>
      <c r="N284" s="22" t="s">
        <v>55</v>
      </c>
      <c r="O284" s="22" t="s">
        <v>1922</v>
      </c>
      <c r="P284" s="22" t="s">
        <v>1923</v>
      </c>
      <c r="Q284" s="22" t="s">
        <v>1924</v>
      </c>
      <c r="R284" s="22" t="s">
        <v>63</v>
      </c>
      <c r="S284" s="22" t="s">
        <v>1925</v>
      </c>
      <c r="T284" s="22" t="s">
        <v>1926</v>
      </c>
      <c r="U284" s="22" t="s">
        <v>63</v>
      </c>
      <c r="V284" s="23">
        <v>45991</v>
      </c>
      <c r="W284" s="22" t="s">
        <v>55</v>
      </c>
      <c r="X284" s="22" t="s">
        <v>1927</v>
      </c>
      <c r="Y284" s="22" t="s">
        <v>65</v>
      </c>
      <c r="Z284" s="22" t="s">
        <v>55</v>
      </c>
      <c r="AA284" s="22" t="s">
        <v>152</v>
      </c>
      <c r="AB284" s="22" t="s">
        <v>55</v>
      </c>
      <c r="AC284" s="22" t="s">
        <v>55</v>
      </c>
      <c r="AD284" s="22" t="s">
        <v>67</v>
      </c>
      <c r="AE284" s="22" t="s">
        <v>257</v>
      </c>
      <c r="AF284" s="22" t="s">
        <v>156</v>
      </c>
      <c r="AG284" s="22" t="s">
        <v>55</v>
      </c>
      <c r="AH284" s="22" t="s">
        <v>55</v>
      </c>
      <c r="AI284" s="22" t="s">
        <v>55</v>
      </c>
      <c r="AJ284" s="22" t="s">
        <v>55</v>
      </c>
      <c r="AK284" s="22" t="s">
        <v>55</v>
      </c>
      <c r="AL284" s="22" t="s">
        <v>55</v>
      </c>
      <c r="AM284" s="22" t="s">
        <v>55</v>
      </c>
      <c r="AN284" s="22" t="s">
        <v>55</v>
      </c>
      <c r="AO284" s="22" t="s">
        <v>55</v>
      </c>
      <c r="AP284" s="22" t="s">
        <v>55</v>
      </c>
      <c r="AQ284" s="22" t="s">
        <v>55</v>
      </c>
      <c r="AR284" s="22" t="s">
        <v>55</v>
      </c>
      <c r="AS284" s="22" t="s">
        <v>55</v>
      </c>
      <c r="AT284" s="22" t="s">
        <v>55</v>
      </c>
      <c r="AU284" s="22" t="s">
        <v>55</v>
      </c>
      <c r="AV284" s="22" t="s">
        <v>55</v>
      </c>
      <c r="AW284" s="23">
        <v>46089</v>
      </c>
      <c r="AX284" s="23">
        <v>46426</v>
      </c>
      <c r="AY284" s="22" t="s">
        <v>1836</v>
      </c>
    </row>
    <row r="285" spans="1:51" ht="362.5" x14ac:dyDescent="0.35">
      <c r="A285" s="22" t="s">
        <v>1928</v>
      </c>
      <c r="B285" s="22" t="s">
        <v>347</v>
      </c>
      <c r="C285" s="22" t="s">
        <v>51</v>
      </c>
      <c r="D285" s="22" t="s">
        <v>1918</v>
      </c>
      <c r="E285" s="22" t="s">
        <v>52</v>
      </c>
      <c r="F285" s="22" t="s">
        <v>1919</v>
      </c>
      <c r="G285" s="22" t="s">
        <v>606</v>
      </c>
      <c r="H285" s="22" t="s">
        <v>1732</v>
      </c>
      <c r="I285" s="22" t="s">
        <v>1851</v>
      </c>
      <c r="J285" s="22" t="s">
        <v>1929</v>
      </c>
      <c r="K285" s="22" t="s">
        <v>1921</v>
      </c>
      <c r="L285" s="22" t="s">
        <v>103</v>
      </c>
      <c r="M285" s="22" t="s">
        <v>1706</v>
      </c>
      <c r="N285" s="22" t="s">
        <v>55</v>
      </c>
      <c r="O285" s="22" t="s">
        <v>1922</v>
      </c>
      <c r="P285" s="22" t="s">
        <v>1930</v>
      </c>
      <c r="Q285" s="22" t="s">
        <v>1931</v>
      </c>
      <c r="R285" s="22" t="s">
        <v>63</v>
      </c>
      <c r="S285" s="22" t="s">
        <v>1932</v>
      </c>
      <c r="T285" s="22" t="s">
        <v>1933</v>
      </c>
      <c r="U285" s="22" t="s">
        <v>63</v>
      </c>
      <c r="V285" s="23">
        <v>45991</v>
      </c>
      <c r="W285" s="22" t="s">
        <v>55</v>
      </c>
      <c r="X285" s="22" t="s">
        <v>1927</v>
      </c>
      <c r="Y285" s="22" t="s">
        <v>65</v>
      </c>
      <c r="Z285" s="22" t="s">
        <v>55</v>
      </c>
      <c r="AA285" s="22" t="s">
        <v>152</v>
      </c>
      <c r="AB285" s="22" t="s">
        <v>55</v>
      </c>
      <c r="AC285" s="22" t="s">
        <v>55</v>
      </c>
      <c r="AD285" s="22" t="s">
        <v>67</v>
      </c>
      <c r="AE285" s="22" t="s">
        <v>257</v>
      </c>
      <c r="AF285" s="22" t="s">
        <v>156</v>
      </c>
      <c r="AG285" s="22" t="s">
        <v>55</v>
      </c>
      <c r="AH285" s="22" t="s">
        <v>55</v>
      </c>
      <c r="AI285" s="22" t="s">
        <v>55</v>
      </c>
      <c r="AJ285" s="22" t="s">
        <v>55</v>
      </c>
      <c r="AK285" s="22" t="s">
        <v>55</v>
      </c>
      <c r="AL285" s="22" t="s">
        <v>55</v>
      </c>
      <c r="AM285" s="22" t="s">
        <v>55</v>
      </c>
      <c r="AN285" s="22" t="s">
        <v>55</v>
      </c>
      <c r="AO285" s="22" t="s">
        <v>55</v>
      </c>
      <c r="AP285" s="22" t="s">
        <v>55</v>
      </c>
      <c r="AQ285" s="22" t="s">
        <v>55</v>
      </c>
      <c r="AR285" s="22" t="s">
        <v>55</v>
      </c>
      <c r="AS285" s="22" t="s">
        <v>55</v>
      </c>
      <c r="AT285" s="22" t="s">
        <v>55</v>
      </c>
      <c r="AU285" s="22" t="s">
        <v>55</v>
      </c>
      <c r="AV285" s="22" t="s">
        <v>55</v>
      </c>
      <c r="AW285" s="23">
        <v>46089</v>
      </c>
      <c r="AX285" s="23">
        <v>46426</v>
      </c>
      <c r="AY285" s="22" t="s">
        <v>1836</v>
      </c>
    </row>
    <row r="286" spans="1:51" ht="232" x14ac:dyDescent="0.35">
      <c r="A286" s="22" t="s">
        <v>1934</v>
      </c>
      <c r="B286" s="22" t="s">
        <v>347</v>
      </c>
      <c r="C286" s="22" t="s">
        <v>51</v>
      </c>
      <c r="D286" s="22" t="s">
        <v>1918</v>
      </c>
      <c r="E286" s="22" t="s">
        <v>108</v>
      </c>
      <c r="F286" s="22" t="s">
        <v>1919</v>
      </c>
      <c r="G286" s="22" t="s">
        <v>606</v>
      </c>
      <c r="H286" s="22" t="s">
        <v>1732</v>
      </c>
      <c r="I286" s="22" t="s">
        <v>160</v>
      </c>
      <c r="J286" s="22" t="s">
        <v>1935</v>
      </c>
      <c r="K286" s="22" t="s">
        <v>558</v>
      </c>
      <c r="L286" s="22" t="s">
        <v>103</v>
      </c>
      <c r="M286" s="22" t="s">
        <v>55</v>
      </c>
      <c r="N286" s="22" t="s">
        <v>55</v>
      </c>
      <c r="O286" s="22" t="s">
        <v>1922</v>
      </c>
      <c r="P286" s="22" t="s">
        <v>1936</v>
      </c>
      <c r="Q286" s="22" t="s">
        <v>1937</v>
      </c>
      <c r="R286" s="22" t="s">
        <v>63</v>
      </c>
      <c r="S286" s="22" t="s">
        <v>1938</v>
      </c>
      <c r="T286" s="22" t="s">
        <v>1939</v>
      </c>
      <c r="U286" s="22" t="s">
        <v>63</v>
      </c>
      <c r="V286" s="23">
        <v>45991</v>
      </c>
      <c r="W286" s="22" t="s">
        <v>55</v>
      </c>
      <c r="X286" s="22" t="s">
        <v>1940</v>
      </c>
      <c r="Y286" s="22" t="s">
        <v>65</v>
      </c>
      <c r="Z286" s="22" t="s">
        <v>55</v>
      </c>
      <c r="AA286" s="22" t="s">
        <v>152</v>
      </c>
      <c r="AB286" s="22" t="s">
        <v>55</v>
      </c>
      <c r="AC286" s="22" t="s">
        <v>55</v>
      </c>
      <c r="AD286" s="22" t="s">
        <v>67</v>
      </c>
      <c r="AE286" s="22" t="s">
        <v>257</v>
      </c>
      <c r="AF286" s="22" t="s">
        <v>55</v>
      </c>
      <c r="AG286" s="22" t="s">
        <v>55</v>
      </c>
      <c r="AH286" s="22" t="s">
        <v>55</v>
      </c>
      <c r="AI286" s="22" t="s">
        <v>55</v>
      </c>
      <c r="AJ286" s="22" t="s">
        <v>55</v>
      </c>
      <c r="AK286" s="22" t="s">
        <v>55</v>
      </c>
      <c r="AL286" s="22" t="s">
        <v>55</v>
      </c>
      <c r="AM286" s="22" t="s">
        <v>55</v>
      </c>
      <c r="AN286" s="22" t="s">
        <v>55</v>
      </c>
      <c r="AO286" s="22" t="s">
        <v>55</v>
      </c>
      <c r="AP286" s="22" t="s">
        <v>55</v>
      </c>
      <c r="AQ286" s="22" t="s">
        <v>55</v>
      </c>
      <c r="AR286" s="22" t="s">
        <v>55</v>
      </c>
      <c r="AS286" s="22" t="s">
        <v>55</v>
      </c>
      <c r="AT286" s="22" t="s">
        <v>55</v>
      </c>
      <c r="AU286" s="22" t="s">
        <v>55</v>
      </c>
      <c r="AV286" s="22" t="s">
        <v>55</v>
      </c>
      <c r="AW286" s="23">
        <v>46089</v>
      </c>
      <c r="AX286" s="23">
        <v>46426</v>
      </c>
      <c r="AY286" s="22" t="s">
        <v>1836</v>
      </c>
    </row>
    <row r="287" spans="1:51" ht="217.5" x14ac:dyDescent="0.35">
      <c r="A287" s="22" t="s">
        <v>1941</v>
      </c>
      <c r="B287" s="22" t="s">
        <v>347</v>
      </c>
      <c r="C287" s="22" t="s">
        <v>51</v>
      </c>
      <c r="D287" s="22" t="s">
        <v>1918</v>
      </c>
      <c r="E287" s="22" t="s">
        <v>108</v>
      </c>
      <c r="F287" s="22" t="s">
        <v>1919</v>
      </c>
      <c r="G287" s="22" t="s">
        <v>606</v>
      </c>
      <c r="H287" s="22" t="s">
        <v>1732</v>
      </c>
      <c r="I287" s="22" t="s">
        <v>121</v>
      </c>
      <c r="J287" s="22" t="s">
        <v>629</v>
      </c>
      <c r="K287" s="22" t="s">
        <v>565</v>
      </c>
      <c r="L287" s="22" t="s">
        <v>57</v>
      </c>
      <c r="M287" s="22" t="s">
        <v>1942</v>
      </c>
      <c r="N287" s="22" t="s">
        <v>55</v>
      </c>
      <c r="O287" s="22" t="s">
        <v>1922</v>
      </c>
      <c r="P287" s="22" t="s">
        <v>1943</v>
      </c>
      <c r="Q287" s="22" t="s">
        <v>1944</v>
      </c>
      <c r="R287" s="22" t="s">
        <v>63</v>
      </c>
      <c r="S287" s="22" t="s">
        <v>1945</v>
      </c>
      <c r="T287" s="22" t="s">
        <v>1946</v>
      </c>
      <c r="U287" s="22" t="s">
        <v>63</v>
      </c>
      <c r="V287" s="23">
        <v>45991</v>
      </c>
      <c r="W287" s="22" t="s">
        <v>55</v>
      </c>
      <c r="X287" s="22" t="s">
        <v>1947</v>
      </c>
      <c r="Y287" s="22" t="s">
        <v>65</v>
      </c>
      <c r="Z287" s="22" t="s">
        <v>55</v>
      </c>
      <c r="AA287" s="22" t="s">
        <v>152</v>
      </c>
      <c r="AB287" s="22" t="s">
        <v>55</v>
      </c>
      <c r="AC287" s="22" t="s">
        <v>55</v>
      </c>
      <c r="AD287" s="22" t="s">
        <v>67</v>
      </c>
      <c r="AE287" s="22" t="s">
        <v>257</v>
      </c>
      <c r="AF287" s="22" t="s">
        <v>814</v>
      </c>
      <c r="AG287" s="22" t="s">
        <v>55</v>
      </c>
      <c r="AH287" s="22" t="s">
        <v>55</v>
      </c>
      <c r="AI287" s="22" t="s">
        <v>55</v>
      </c>
      <c r="AJ287" s="22" t="s">
        <v>55</v>
      </c>
      <c r="AK287" s="22" t="s">
        <v>55</v>
      </c>
      <c r="AL287" s="22" t="s">
        <v>55</v>
      </c>
      <c r="AM287" s="22" t="s">
        <v>55</v>
      </c>
      <c r="AN287" s="22" t="s">
        <v>55</v>
      </c>
      <c r="AO287" s="22" t="s">
        <v>55</v>
      </c>
      <c r="AP287" s="22" t="s">
        <v>55</v>
      </c>
      <c r="AQ287" s="22" t="s">
        <v>55</v>
      </c>
      <c r="AR287" s="22" t="s">
        <v>55</v>
      </c>
      <c r="AS287" s="22" t="s">
        <v>55</v>
      </c>
      <c r="AT287" s="22" t="s">
        <v>55</v>
      </c>
      <c r="AU287" s="22" t="s">
        <v>55</v>
      </c>
      <c r="AV287" s="22" t="s">
        <v>55</v>
      </c>
      <c r="AW287" s="23">
        <v>46089</v>
      </c>
      <c r="AX287" s="23">
        <v>46426</v>
      </c>
      <c r="AY287" s="22" t="s">
        <v>1836</v>
      </c>
    </row>
    <row r="288" spans="1:51" ht="409.5" x14ac:dyDescent="0.35">
      <c r="A288" s="22" t="s">
        <v>1948</v>
      </c>
      <c r="B288" s="22" t="s">
        <v>347</v>
      </c>
      <c r="C288" s="22" t="s">
        <v>51</v>
      </c>
      <c r="D288" s="22" t="s">
        <v>1918</v>
      </c>
      <c r="E288" s="22" t="s">
        <v>108</v>
      </c>
      <c r="F288" s="22" t="s">
        <v>1919</v>
      </c>
      <c r="G288" s="22" t="s">
        <v>606</v>
      </c>
      <c r="H288" s="22" t="s">
        <v>1732</v>
      </c>
      <c r="I288" s="22" t="s">
        <v>160</v>
      </c>
      <c r="J288" s="22" t="s">
        <v>1949</v>
      </c>
      <c r="K288" s="22" t="s">
        <v>558</v>
      </c>
      <c r="L288" s="22" t="s">
        <v>57</v>
      </c>
      <c r="M288" s="22" t="s">
        <v>55</v>
      </c>
      <c r="N288" s="22" t="s">
        <v>55</v>
      </c>
      <c r="O288" s="22" t="s">
        <v>1922</v>
      </c>
      <c r="P288" s="22" t="s">
        <v>1950</v>
      </c>
      <c r="Q288" s="22" t="s">
        <v>1951</v>
      </c>
      <c r="R288" s="22" t="s">
        <v>63</v>
      </c>
      <c r="S288" s="22" t="s">
        <v>1952</v>
      </c>
      <c r="T288" s="22" t="s">
        <v>1953</v>
      </c>
      <c r="U288" s="22" t="s">
        <v>132</v>
      </c>
      <c r="V288" s="23">
        <v>46022</v>
      </c>
      <c r="W288" s="22" t="s">
        <v>55</v>
      </c>
      <c r="X288" s="22" t="s">
        <v>1954</v>
      </c>
      <c r="Y288" s="22" t="s">
        <v>65</v>
      </c>
      <c r="Z288" s="22" t="s">
        <v>55</v>
      </c>
      <c r="AA288" s="22" t="s">
        <v>221</v>
      </c>
      <c r="AB288" s="22" t="s">
        <v>55</v>
      </c>
      <c r="AC288" s="22" t="s">
        <v>55</v>
      </c>
      <c r="AD288" s="22" t="s">
        <v>67</v>
      </c>
      <c r="AE288" s="22" t="s">
        <v>257</v>
      </c>
      <c r="AF288" s="22" t="s">
        <v>55</v>
      </c>
      <c r="AG288" s="22" t="s">
        <v>55</v>
      </c>
      <c r="AH288" s="22" t="s">
        <v>55</v>
      </c>
      <c r="AI288" s="22" t="s">
        <v>55</v>
      </c>
      <c r="AJ288" s="22" t="s">
        <v>55</v>
      </c>
      <c r="AK288" s="22" t="s">
        <v>55</v>
      </c>
      <c r="AL288" s="22" t="s">
        <v>55</v>
      </c>
      <c r="AM288" s="22" t="s">
        <v>55</v>
      </c>
      <c r="AN288" s="22" t="s">
        <v>55</v>
      </c>
      <c r="AO288" s="22" t="s">
        <v>55</v>
      </c>
      <c r="AP288" s="22" t="s">
        <v>55</v>
      </c>
      <c r="AQ288" s="22" t="s">
        <v>55</v>
      </c>
      <c r="AR288" s="22" t="s">
        <v>55</v>
      </c>
      <c r="AS288" s="22" t="s">
        <v>55</v>
      </c>
      <c r="AT288" s="22" t="s">
        <v>55</v>
      </c>
      <c r="AU288" s="22" t="s">
        <v>55</v>
      </c>
      <c r="AV288" s="22" t="s">
        <v>55</v>
      </c>
      <c r="AW288" s="23">
        <v>46089</v>
      </c>
      <c r="AX288" s="23">
        <v>46426</v>
      </c>
      <c r="AY288" s="22" t="s">
        <v>1836</v>
      </c>
    </row>
    <row r="289" spans="1:51" ht="333.5" x14ac:dyDescent="0.35">
      <c r="A289" s="22" t="s">
        <v>1955</v>
      </c>
      <c r="B289" s="22" t="s">
        <v>347</v>
      </c>
      <c r="C289" s="22" t="s">
        <v>51</v>
      </c>
      <c r="D289" s="22" t="s">
        <v>1918</v>
      </c>
      <c r="E289" s="22" t="s">
        <v>108</v>
      </c>
      <c r="F289" s="22" t="s">
        <v>1919</v>
      </c>
      <c r="G289" s="22" t="s">
        <v>606</v>
      </c>
      <c r="H289" s="22" t="s">
        <v>1732</v>
      </c>
      <c r="I289" s="22" t="s">
        <v>160</v>
      </c>
      <c r="J289" s="22" t="s">
        <v>1956</v>
      </c>
      <c r="K289" s="22" t="s">
        <v>593</v>
      </c>
      <c r="L289" s="22" t="s">
        <v>57</v>
      </c>
      <c r="M289" s="22" t="s">
        <v>55</v>
      </c>
      <c r="N289" s="22" t="s">
        <v>55</v>
      </c>
      <c r="O289" s="22" t="s">
        <v>1922</v>
      </c>
      <c r="P289" s="22" t="s">
        <v>1957</v>
      </c>
      <c r="Q289" s="22" t="s">
        <v>1958</v>
      </c>
      <c r="R289" s="22" t="s">
        <v>63</v>
      </c>
      <c r="S289" s="22" t="s">
        <v>1959</v>
      </c>
      <c r="T289" s="22" t="s">
        <v>1960</v>
      </c>
      <c r="U289" s="22" t="s">
        <v>132</v>
      </c>
      <c r="V289" s="23">
        <v>45991</v>
      </c>
      <c r="W289" s="22" t="s">
        <v>55</v>
      </c>
      <c r="X289" s="22" t="s">
        <v>1961</v>
      </c>
      <c r="Y289" s="22" t="s">
        <v>65</v>
      </c>
      <c r="Z289" s="22" t="s">
        <v>55</v>
      </c>
      <c r="AA289" s="22" t="s">
        <v>152</v>
      </c>
      <c r="AB289" s="22" t="s">
        <v>55</v>
      </c>
      <c r="AC289" s="22" t="s">
        <v>55</v>
      </c>
      <c r="AD289" s="22" t="s">
        <v>67</v>
      </c>
      <c r="AE289" s="22" t="s">
        <v>257</v>
      </c>
      <c r="AF289" s="22" t="s">
        <v>55</v>
      </c>
      <c r="AG289" s="22" t="s">
        <v>55</v>
      </c>
      <c r="AH289" s="22" t="s">
        <v>55</v>
      </c>
      <c r="AI289" s="22" t="s">
        <v>55</v>
      </c>
      <c r="AJ289" s="22" t="s">
        <v>55</v>
      </c>
      <c r="AK289" s="22" t="s">
        <v>55</v>
      </c>
      <c r="AL289" s="22" t="s">
        <v>55</v>
      </c>
      <c r="AM289" s="22" t="s">
        <v>55</v>
      </c>
      <c r="AN289" s="22" t="s">
        <v>55</v>
      </c>
      <c r="AO289" s="22" t="s">
        <v>55</v>
      </c>
      <c r="AP289" s="22" t="s">
        <v>55</v>
      </c>
      <c r="AQ289" s="22" t="s">
        <v>55</v>
      </c>
      <c r="AR289" s="22" t="s">
        <v>55</v>
      </c>
      <c r="AS289" s="22" t="s">
        <v>55</v>
      </c>
      <c r="AT289" s="22" t="s">
        <v>55</v>
      </c>
      <c r="AU289" s="22" t="s">
        <v>55</v>
      </c>
      <c r="AV289" s="22" t="s">
        <v>55</v>
      </c>
      <c r="AW289" s="23">
        <v>46089</v>
      </c>
      <c r="AX289" s="23">
        <v>46426</v>
      </c>
      <c r="AY289" s="22" t="s">
        <v>1836</v>
      </c>
    </row>
    <row r="290" spans="1:51" ht="174" x14ac:dyDescent="0.35">
      <c r="A290" s="22" t="s">
        <v>1962</v>
      </c>
      <c r="B290" s="22" t="s">
        <v>347</v>
      </c>
      <c r="C290" s="22" t="s">
        <v>51</v>
      </c>
      <c r="D290" s="22" t="s">
        <v>1918</v>
      </c>
      <c r="E290" s="22" t="s">
        <v>52</v>
      </c>
      <c r="F290" s="22" t="s">
        <v>1919</v>
      </c>
      <c r="G290" s="22" t="s">
        <v>606</v>
      </c>
      <c r="H290" s="22" t="s">
        <v>1732</v>
      </c>
      <c r="I290" s="22" t="s">
        <v>119</v>
      </c>
      <c r="J290" s="22" t="s">
        <v>1902</v>
      </c>
      <c r="K290" s="22" t="s">
        <v>552</v>
      </c>
      <c r="L290" s="22" t="s">
        <v>57</v>
      </c>
      <c r="M290" s="22" t="s">
        <v>122</v>
      </c>
      <c r="N290" s="22" t="s">
        <v>55</v>
      </c>
      <c r="O290" s="22" t="s">
        <v>1922</v>
      </c>
      <c r="P290" s="22" t="s">
        <v>731</v>
      </c>
      <c r="Q290" s="22" t="s">
        <v>1963</v>
      </c>
      <c r="R290" s="22" t="s">
        <v>63</v>
      </c>
      <c r="S290" s="22" t="s">
        <v>1964</v>
      </c>
      <c r="T290" s="22" t="s">
        <v>1965</v>
      </c>
      <c r="U290" s="22" t="s">
        <v>63</v>
      </c>
      <c r="V290" s="23">
        <v>46022</v>
      </c>
      <c r="W290" s="22" t="s">
        <v>55</v>
      </c>
      <c r="X290" s="22" t="s">
        <v>1966</v>
      </c>
      <c r="Y290" s="22" t="s">
        <v>65</v>
      </c>
      <c r="Z290" s="22" t="s">
        <v>55</v>
      </c>
      <c r="AA290" s="22" t="s">
        <v>221</v>
      </c>
      <c r="AB290" s="22" t="s">
        <v>55</v>
      </c>
      <c r="AC290" s="22" t="s">
        <v>55</v>
      </c>
      <c r="AD290" s="22" t="s">
        <v>67</v>
      </c>
      <c r="AE290" s="22" t="s">
        <v>257</v>
      </c>
      <c r="AF290" s="22" t="s">
        <v>123</v>
      </c>
      <c r="AG290" s="22" t="s">
        <v>55</v>
      </c>
      <c r="AH290" s="22" t="s">
        <v>55</v>
      </c>
      <c r="AI290" s="22" t="s">
        <v>55</v>
      </c>
      <c r="AJ290" s="22" t="s">
        <v>55</v>
      </c>
      <c r="AK290" s="22" t="s">
        <v>55</v>
      </c>
      <c r="AL290" s="22" t="s">
        <v>55</v>
      </c>
      <c r="AM290" s="22" t="s">
        <v>55</v>
      </c>
      <c r="AN290" s="22" t="s">
        <v>55</v>
      </c>
      <c r="AO290" s="22" t="s">
        <v>55</v>
      </c>
      <c r="AP290" s="22" t="s">
        <v>55</v>
      </c>
      <c r="AQ290" s="22" t="s">
        <v>55</v>
      </c>
      <c r="AR290" s="22" t="s">
        <v>55</v>
      </c>
      <c r="AS290" s="22" t="s">
        <v>55</v>
      </c>
      <c r="AT290" s="22" t="s">
        <v>55</v>
      </c>
      <c r="AU290" s="22" t="s">
        <v>55</v>
      </c>
      <c r="AV290" s="22" t="s">
        <v>55</v>
      </c>
      <c r="AW290" s="23">
        <v>46089</v>
      </c>
      <c r="AX290" s="23">
        <v>46426</v>
      </c>
      <c r="AY290" s="22" t="s">
        <v>1836</v>
      </c>
    </row>
    <row r="291" spans="1:51" ht="116" x14ac:dyDescent="0.35">
      <c r="A291" s="22" t="s">
        <v>1967</v>
      </c>
      <c r="B291" s="22" t="s">
        <v>347</v>
      </c>
      <c r="C291" s="22" t="s">
        <v>51</v>
      </c>
      <c r="D291" s="22" t="s">
        <v>1918</v>
      </c>
      <c r="E291" s="22" t="s">
        <v>108</v>
      </c>
      <c r="F291" s="22" t="s">
        <v>1919</v>
      </c>
      <c r="G291" s="22" t="s">
        <v>606</v>
      </c>
      <c r="H291" s="22" t="s">
        <v>1732</v>
      </c>
      <c r="I291" s="22" t="s">
        <v>160</v>
      </c>
      <c r="J291" s="22" t="s">
        <v>710</v>
      </c>
      <c r="K291" s="22" t="s">
        <v>558</v>
      </c>
      <c r="L291" s="22" t="s">
        <v>57</v>
      </c>
      <c r="M291" s="22" t="s">
        <v>55</v>
      </c>
      <c r="N291" s="22" t="s">
        <v>55</v>
      </c>
      <c r="O291" s="22" t="s">
        <v>1922</v>
      </c>
      <c r="P291" s="22" t="s">
        <v>1968</v>
      </c>
      <c r="Q291" s="22" t="s">
        <v>1969</v>
      </c>
      <c r="R291" s="22" t="s">
        <v>63</v>
      </c>
      <c r="S291" s="22" t="s">
        <v>1970</v>
      </c>
      <c r="T291" s="22" t="s">
        <v>1971</v>
      </c>
      <c r="U291" s="22" t="s">
        <v>132</v>
      </c>
      <c r="V291" s="23">
        <v>46022</v>
      </c>
      <c r="W291" s="22" t="s">
        <v>55</v>
      </c>
      <c r="X291" s="22" t="s">
        <v>1972</v>
      </c>
      <c r="Y291" s="22" t="s">
        <v>65</v>
      </c>
      <c r="Z291" s="22" t="s">
        <v>55</v>
      </c>
      <c r="AA291" s="22" t="s">
        <v>221</v>
      </c>
      <c r="AB291" s="22" t="s">
        <v>55</v>
      </c>
      <c r="AC291" s="22" t="s">
        <v>55</v>
      </c>
      <c r="AD291" s="22" t="s">
        <v>67</v>
      </c>
      <c r="AE291" s="22" t="s">
        <v>257</v>
      </c>
      <c r="AF291" s="22" t="s">
        <v>55</v>
      </c>
      <c r="AG291" s="22" t="s">
        <v>55</v>
      </c>
      <c r="AH291" s="22" t="s">
        <v>55</v>
      </c>
      <c r="AI291" s="22" t="s">
        <v>55</v>
      </c>
      <c r="AJ291" s="22" t="s">
        <v>55</v>
      </c>
      <c r="AK291" s="22" t="s">
        <v>55</v>
      </c>
      <c r="AL291" s="22" t="s">
        <v>55</v>
      </c>
      <c r="AM291" s="22" t="s">
        <v>55</v>
      </c>
      <c r="AN291" s="22" t="s">
        <v>55</v>
      </c>
      <c r="AO291" s="22" t="s">
        <v>55</v>
      </c>
      <c r="AP291" s="22" t="s">
        <v>55</v>
      </c>
      <c r="AQ291" s="22" t="s">
        <v>55</v>
      </c>
      <c r="AR291" s="22" t="s">
        <v>55</v>
      </c>
      <c r="AS291" s="22" t="s">
        <v>55</v>
      </c>
      <c r="AT291" s="22" t="s">
        <v>55</v>
      </c>
      <c r="AU291" s="22" t="s">
        <v>55</v>
      </c>
      <c r="AV291" s="22" t="s">
        <v>55</v>
      </c>
      <c r="AW291" s="23">
        <v>46089</v>
      </c>
      <c r="AX291" s="23">
        <v>46426</v>
      </c>
      <c r="AY291" s="22" t="s">
        <v>1836</v>
      </c>
    </row>
    <row r="292" spans="1:51" ht="58" x14ac:dyDescent="0.35">
      <c r="A292" s="22" t="s">
        <v>1973</v>
      </c>
      <c r="B292" s="22" t="s">
        <v>347</v>
      </c>
      <c r="C292" s="22" t="s">
        <v>51</v>
      </c>
      <c r="D292" s="22" t="s">
        <v>1918</v>
      </c>
      <c r="E292" s="22" t="s">
        <v>108</v>
      </c>
      <c r="F292" s="22" t="s">
        <v>1919</v>
      </c>
      <c r="G292" s="22" t="s">
        <v>606</v>
      </c>
      <c r="H292" s="22" t="s">
        <v>1732</v>
      </c>
      <c r="I292" s="22" t="s">
        <v>160</v>
      </c>
      <c r="J292" s="22" t="s">
        <v>393</v>
      </c>
      <c r="K292" s="22" t="s">
        <v>858</v>
      </c>
      <c r="L292" s="22" t="s">
        <v>57</v>
      </c>
      <c r="M292" s="22" t="s">
        <v>55</v>
      </c>
      <c r="N292" s="22" t="s">
        <v>55</v>
      </c>
      <c r="O292" s="22" t="s">
        <v>1922</v>
      </c>
      <c r="P292" s="22" t="s">
        <v>1974</v>
      </c>
      <c r="Q292" s="22" t="s">
        <v>1975</v>
      </c>
      <c r="R292" s="22" t="s">
        <v>63</v>
      </c>
      <c r="S292" s="22" t="s">
        <v>1976</v>
      </c>
      <c r="T292" s="22" t="s">
        <v>1977</v>
      </c>
      <c r="U292" s="22" t="s">
        <v>63</v>
      </c>
      <c r="V292" s="23">
        <v>46022</v>
      </c>
      <c r="W292" s="22" t="s">
        <v>55</v>
      </c>
      <c r="X292" s="22" t="s">
        <v>1972</v>
      </c>
      <c r="Y292" s="22" t="s">
        <v>65</v>
      </c>
      <c r="Z292" s="22" t="s">
        <v>55</v>
      </c>
      <c r="AA292" s="22" t="s">
        <v>221</v>
      </c>
      <c r="AB292" s="22" t="s">
        <v>55</v>
      </c>
      <c r="AC292" s="22" t="s">
        <v>55</v>
      </c>
      <c r="AD292" s="22" t="s">
        <v>67</v>
      </c>
      <c r="AE292" s="22" t="s">
        <v>257</v>
      </c>
      <c r="AF292" s="22" t="s">
        <v>55</v>
      </c>
      <c r="AG292" s="22" t="s">
        <v>55</v>
      </c>
      <c r="AH292" s="22" t="s">
        <v>55</v>
      </c>
      <c r="AI292" s="22" t="s">
        <v>55</v>
      </c>
      <c r="AJ292" s="22" t="s">
        <v>55</v>
      </c>
      <c r="AK292" s="22" t="s">
        <v>55</v>
      </c>
      <c r="AL292" s="22" t="s">
        <v>55</v>
      </c>
      <c r="AM292" s="22" t="s">
        <v>55</v>
      </c>
      <c r="AN292" s="22" t="s">
        <v>55</v>
      </c>
      <c r="AO292" s="22" t="s">
        <v>55</v>
      </c>
      <c r="AP292" s="22" t="s">
        <v>55</v>
      </c>
      <c r="AQ292" s="22" t="s">
        <v>55</v>
      </c>
      <c r="AR292" s="22" t="s">
        <v>55</v>
      </c>
      <c r="AS292" s="22" t="s">
        <v>55</v>
      </c>
      <c r="AT292" s="22" t="s">
        <v>55</v>
      </c>
      <c r="AU292" s="22" t="s">
        <v>55</v>
      </c>
      <c r="AV292" s="22" t="s">
        <v>55</v>
      </c>
      <c r="AW292" s="23">
        <v>46089</v>
      </c>
      <c r="AX292" s="23">
        <v>46426</v>
      </c>
      <c r="AY292" s="22" t="s">
        <v>1836</v>
      </c>
    </row>
    <row r="293" spans="1:51" ht="145" x14ac:dyDescent="0.35">
      <c r="A293" s="22" t="s">
        <v>1978</v>
      </c>
      <c r="B293" s="22" t="s">
        <v>347</v>
      </c>
      <c r="C293" s="22" t="s">
        <v>51</v>
      </c>
      <c r="D293" s="22" t="s">
        <v>1918</v>
      </c>
      <c r="E293" s="22" t="s">
        <v>108</v>
      </c>
      <c r="F293" s="22" t="s">
        <v>1919</v>
      </c>
      <c r="G293" s="22" t="s">
        <v>606</v>
      </c>
      <c r="H293" s="22" t="s">
        <v>1732</v>
      </c>
      <c r="I293" s="22" t="s">
        <v>121</v>
      </c>
      <c r="J293" s="22" t="s">
        <v>1979</v>
      </c>
      <c r="K293" s="22" t="s">
        <v>563</v>
      </c>
      <c r="L293" s="22" t="s">
        <v>57</v>
      </c>
      <c r="M293" s="22" t="s">
        <v>55</v>
      </c>
      <c r="N293" s="22" t="s">
        <v>55</v>
      </c>
      <c r="O293" s="22" t="s">
        <v>1922</v>
      </c>
      <c r="P293" s="22" t="s">
        <v>1980</v>
      </c>
      <c r="Q293" s="22" t="s">
        <v>1981</v>
      </c>
      <c r="R293" s="22" t="s">
        <v>132</v>
      </c>
      <c r="S293" s="22" t="s">
        <v>1982</v>
      </c>
      <c r="T293" s="22" t="s">
        <v>1983</v>
      </c>
      <c r="U293" s="22" t="s">
        <v>63</v>
      </c>
      <c r="V293" s="23">
        <v>45991</v>
      </c>
      <c r="W293" s="22" t="s">
        <v>55</v>
      </c>
      <c r="X293" s="22" t="s">
        <v>1947</v>
      </c>
      <c r="Y293" s="22" t="s">
        <v>65</v>
      </c>
      <c r="Z293" s="22" t="s">
        <v>55</v>
      </c>
      <c r="AA293" s="22" t="s">
        <v>152</v>
      </c>
      <c r="AB293" s="22" t="s">
        <v>55</v>
      </c>
      <c r="AC293" s="22" t="s">
        <v>55</v>
      </c>
      <c r="AD293" s="22" t="s">
        <v>67</v>
      </c>
      <c r="AE293" s="22" t="s">
        <v>257</v>
      </c>
      <c r="AF293" s="22" t="s">
        <v>55</v>
      </c>
      <c r="AG293" s="22" t="s">
        <v>55</v>
      </c>
      <c r="AH293" s="22" t="s">
        <v>55</v>
      </c>
      <c r="AI293" s="22" t="s">
        <v>55</v>
      </c>
      <c r="AJ293" s="22" t="s">
        <v>55</v>
      </c>
      <c r="AK293" s="22" t="s">
        <v>55</v>
      </c>
      <c r="AL293" s="22" t="s">
        <v>55</v>
      </c>
      <c r="AM293" s="22" t="s">
        <v>55</v>
      </c>
      <c r="AN293" s="22" t="s">
        <v>55</v>
      </c>
      <c r="AO293" s="22" t="s">
        <v>55</v>
      </c>
      <c r="AP293" s="22" t="s">
        <v>55</v>
      </c>
      <c r="AQ293" s="22" t="s">
        <v>55</v>
      </c>
      <c r="AR293" s="22" t="s">
        <v>55</v>
      </c>
      <c r="AS293" s="22" t="s">
        <v>55</v>
      </c>
      <c r="AT293" s="22" t="s">
        <v>55</v>
      </c>
      <c r="AU293" s="22" t="s">
        <v>55</v>
      </c>
      <c r="AV293" s="22" t="s">
        <v>55</v>
      </c>
      <c r="AW293" s="23">
        <v>46089</v>
      </c>
      <c r="AX293" s="23">
        <v>46426</v>
      </c>
      <c r="AY293" s="22" t="s">
        <v>1836</v>
      </c>
    </row>
    <row r="294" spans="1:51" ht="304.5" x14ac:dyDescent="0.35">
      <c r="A294" s="22" t="s">
        <v>1984</v>
      </c>
      <c r="B294" s="22" t="s">
        <v>347</v>
      </c>
      <c r="C294" s="22" t="s">
        <v>51</v>
      </c>
      <c r="D294" s="22" t="s">
        <v>1918</v>
      </c>
      <c r="E294" s="22" t="s">
        <v>52</v>
      </c>
      <c r="F294" s="22" t="s">
        <v>1919</v>
      </c>
      <c r="G294" s="22" t="s">
        <v>606</v>
      </c>
      <c r="H294" s="22" t="s">
        <v>1732</v>
      </c>
      <c r="I294" s="22" t="s">
        <v>121</v>
      </c>
      <c r="J294" s="22" t="s">
        <v>696</v>
      </c>
      <c r="K294" s="22" t="s">
        <v>589</v>
      </c>
      <c r="L294" s="22" t="s">
        <v>57</v>
      </c>
      <c r="M294" s="22" t="s">
        <v>258</v>
      </c>
      <c r="N294" s="22" t="s">
        <v>55</v>
      </c>
      <c r="O294" s="22" t="s">
        <v>1922</v>
      </c>
      <c r="P294" s="22" t="s">
        <v>1985</v>
      </c>
      <c r="Q294" s="22" t="s">
        <v>1986</v>
      </c>
      <c r="R294" s="22" t="s">
        <v>132</v>
      </c>
      <c r="S294" s="22" t="s">
        <v>1987</v>
      </c>
      <c r="T294" s="22" t="s">
        <v>1988</v>
      </c>
      <c r="U294" s="22" t="s">
        <v>63</v>
      </c>
      <c r="V294" s="23">
        <v>45991</v>
      </c>
      <c r="W294" s="22" t="s">
        <v>55</v>
      </c>
      <c r="X294" s="22" t="s">
        <v>1947</v>
      </c>
      <c r="Y294" s="22" t="s">
        <v>65</v>
      </c>
      <c r="Z294" s="22" t="s">
        <v>55</v>
      </c>
      <c r="AA294" s="22" t="s">
        <v>152</v>
      </c>
      <c r="AB294" s="22" t="s">
        <v>55</v>
      </c>
      <c r="AC294" s="22" t="s">
        <v>55</v>
      </c>
      <c r="AD294" s="22" t="s">
        <v>67</v>
      </c>
      <c r="AE294" s="22" t="s">
        <v>257</v>
      </c>
      <c r="AF294" s="22" t="s">
        <v>226</v>
      </c>
      <c r="AG294" s="22" t="s">
        <v>55</v>
      </c>
      <c r="AH294" s="22" t="s">
        <v>55</v>
      </c>
      <c r="AI294" s="22" t="s">
        <v>55</v>
      </c>
      <c r="AJ294" s="22" t="s">
        <v>55</v>
      </c>
      <c r="AK294" s="22" t="s">
        <v>55</v>
      </c>
      <c r="AL294" s="22" t="s">
        <v>55</v>
      </c>
      <c r="AM294" s="22" t="s">
        <v>55</v>
      </c>
      <c r="AN294" s="22" t="s">
        <v>55</v>
      </c>
      <c r="AO294" s="22" t="s">
        <v>55</v>
      </c>
      <c r="AP294" s="22" t="s">
        <v>55</v>
      </c>
      <c r="AQ294" s="22" t="s">
        <v>55</v>
      </c>
      <c r="AR294" s="22" t="s">
        <v>55</v>
      </c>
      <c r="AS294" s="22" t="s">
        <v>55</v>
      </c>
      <c r="AT294" s="22" t="s">
        <v>55</v>
      </c>
      <c r="AU294" s="22" t="s">
        <v>55</v>
      </c>
      <c r="AV294" s="22" t="s">
        <v>55</v>
      </c>
      <c r="AW294" s="23">
        <v>46089</v>
      </c>
      <c r="AX294" s="23">
        <v>46426</v>
      </c>
      <c r="AY294" s="22" t="s">
        <v>1836</v>
      </c>
    </row>
    <row r="295" spans="1:51" ht="275.5" x14ac:dyDescent="0.35">
      <c r="A295" s="22" t="s">
        <v>1989</v>
      </c>
      <c r="B295" s="22" t="s">
        <v>347</v>
      </c>
      <c r="C295" s="22" t="s">
        <v>51</v>
      </c>
      <c r="D295" s="22" t="s">
        <v>1918</v>
      </c>
      <c r="E295" s="22" t="s">
        <v>52</v>
      </c>
      <c r="F295" s="22" t="s">
        <v>1919</v>
      </c>
      <c r="G295" s="22" t="s">
        <v>606</v>
      </c>
      <c r="H295" s="22" t="s">
        <v>1732</v>
      </c>
      <c r="I295" s="22" t="s">
        <v>121</v>
      </c>
      <c r="J295" s="22" t="s">
        <v>689</v>
      </c>
      <c r="K295" s="22" t="s">
        <v>564</v>
      </c>
      <c r="L295" s="22" t="s">
        <v>57</v>
      </c>
      <c r="M295" s="22" t="s">
        <v>154</v>
      </c>
      <c r="N295" s="22" t="s">
        <v>55</v>
      </c>
      <c r="O295" s="22" t="s">
        <v>1922</v>
      </c>
      <c r="P295" s="22" t="s">
        <v>1890</v>
      </c>
      <c r="Q295" s="22" t="s">
        <v>1990</v>
      </c>
      <c r="R295" s="22" t="s">
        <v>63</v>
      </c>
      <c r="S295" s="22" t="s">
        <v>1991</v>
      </c>
      <c r="T295" s="22" t="s">
        <v>1992</v>
      </c>
      <c r="U295" s="22" t="s">
        <v>63</v>
      </c>
      <c r="V295" s="23">
        <v>45991</v>
      </c>
      <c r="W295" s="22" t="s">
        <v>55</v>
      </c>
      <c r="X295" s="22" t="s">
        <v>1947</v>
      </c>
      <c r="Y295" s="22" t="s">
        <v>65</v>
      </c>
      <c r="Z295" s="22" t="s">
        <v>55</v>
      </c>
      <c r="AA295" s="22" t="s">
        <v>152</v>
      </c>
      <c r="AB295" s="22" t="s">
        <v>55</v>
      </c>
      <c r="AC295" s="22" t="s">
        <v>55</v>
      </c>
      <c r="AD295" s="22" t="s">
        <v>67</v>
      </c>
      <c r="AE295" s="22" t="s">
        <v>257</v>
      </c>
      <c r="AF295" s="22" t="s">
        <v>156</v>
      </c>
      <c r="AG295" s="22" t="s">
        <v>55</v>
      </c>
      <c r="AH295" s="22" t="s">
        <v>55</v>
      </c>
      <c r="AI295" s="22" t="s">
        <v>55</v>
      </c>
      <c r="AJ295" s="22" t="s">
        <v>55</v>
      </c>
      <c r="AK295" s="22" t="s">
        <v>55</v>
      </c>
      <c r="AL295" s="22" t="s">
        <v>55</v>
      </c>
      <c r="AM295" s="22" t="s">
        <v>55</v>
      </c>
      <c r="AN295" s="22" t="s">
        <v>55</v>
      </c>
      <c r="AO295" s="22" t="s">
        <v>55</v>
      </c>
      <c r="AP295" s="22" t="s">
        <v>55</v>
      </c>
      <c r="AQ295" s="22" t="s">
        <v>55</v>
      </c>
      <c r="AR295" s="22" t="s">
        <v>55</v>
      </c>
      <c r="AS295" s="22" t="s">
        <v>55</v>
      </c>
      <c r="AT295" s="22" t="s">
        <v>55</v>
      </c>
      <c r="AU295" s="22" t="s">
        <v>55</v>
      </c>
      <c r="AV295" s="22" t="s">
        <v>55</v>
      </c>
      <c r="AW295" s="23">
        <v>46089</v>
      </c>
      <c r="AX295" s="23">
        <v>46426</v>
      </c>
      <c r="AY295" s="22" t="s">
        <v>1836</v>
      </c>
    </row>
    <row r="296" spans="1:51" ht="159.5" x14ac:dyDescent="0.35">
      <c r="A296" s="22" t="s">
        <v>1993</v>
      </c>
      <c r="B296" s="22" t="s">
        <v>347</v>
      </c>
      <c r="C296" s="22" t="s">
        <v>51</v>
      </c>
      <c r="D296" s="22" t="s">
        <v>1918</v>
      </c>
      <c r="E296" s="22" t="s">
        <v>108</v>
      </c>
      <c r="F296" s="22" t="s">
        <v>1919</v>
      </c>
      <c r="G296" s="22" t="s">
        <v>606</v>
      </c>
      <c r="H296" s="22" t="s">
        <v>1732</v>
      </c>
      <c r="I296" s="22" t="s">
        <v>101</v>
      </c>
      <c r="J296" s="22" t="s">
        <v>717</v>
      </c>
      <c r="K296" s="22" t="s">
        <v>561</v>
      </c>
      <c r="L296" s="22" t="s">
        <v>57</v>
      </c>
      <c r="M296" s="22" t="s">
        <v>55</v>
      </c>
      <c r="N296" s="22" t="s">
        <v>55</v>
      </c>
      <c r="O296" s="22" t="s">
        <v>1922</v>
      </c>
      <c r="P296" s="22" t="s">
        <v>1994</v>
      </c>
      <c r="Q296" s="22" t="s">
        <v>1995</v>
      </c>
      <c r="R296" s="22" t="s">
        <v>132</v>
      </c>
      <c r="S296" s="22" t="s">
        <v>1996</v>
      </c>
      <c r="T296" s="22" t="s">
        <v>1997</v>
      </c>
      <c r="U296" s="22" t="s">
        <v>63</v>
      </c>
      <c r="V296" s="23">
        <v>45991</v>
      </c>
      <c r="W296" s="22" t="s">
        <v>55</v>
      </c>
      <c r="X296" s="22" t="s">
        <v>1940</v>
      </c>
      <c r="Y296" s="22" t="s">
        <v>65</v>
      </c>
      <c r="Z296" s="22" t="s">
        <v>55</v>
      </c>
      <c r="AA296" s="22" t="s">
        <v>152</v>
      </c>
      <c r="AB296" s="22" t="s">
        <v>55</v>
      </c>
      <c r="AC296" s="22" t="s">
        <v>55</v>
      </c>
      <c r="AD296" s="22" t="s">
        <v>67</v>
      </c>
      <c r="AE296" s="22" t="s">
        <v>257</v>
      </c>
      <c r="AF296" s="22" t="s">
        <v>55</v>
      </c>
      <c r="AG296" s="22" t="s">
        <v>55</v>
      </c>
      <c r="AH296" s="22" t="s">
        <v>55</v>
      </c>
      <c r="AI296" s="22" t="s">
        <v>55</v>
      </c>
      <c r="AJ296" s="22" t="s">
        <v>55</v>
      </c>
      <c r="AK296" s="22" t="s">
        <v>55</v>
      </c>
      <c r="AL296" s="22" t="s">
        <v>55</v>
      </c>
      <c r="AM296" s="22" t="s">
        <v>55</v>
      </c>
      <c r="AN296" s="22" t="s">
        <v>55</v>
      </c>
      <c r="AO296" s="22" t="s">
        <v>55</v>
      </c>
      <c r="AP296" s="22" t="s">
        <v>55</v>
      </c>
      <c r="AQ296" s="22" t="s">
        <v>55</v>
      </c>
      <c r="AR296" s="22" t="s">
        <v>55</v>
      </c>
      <c r="AS296" s="22" t="s">
        <v>55</v>
      </c>
      <c r="AT296" s="22" t="s">
        <v>55</v>
      </c>
      <c r="AU296" s="22" t="s">
        <v>55</v>
      </c>
      <c r="AV296" s="22" t="s">
        <v>55</v>
      </c>
      <c r="AW296" s="23">
        <v>46089</v>
      </c>
      <c r="AX296" s="23">
        <v>46426</v>
      </c>
      <c r="AY296" s="22" t="s">
        <v>1836</v>
      </c>
    </row>
    <row r="297" spans="1:51" ht="116" x14ac:dyDescent="0.35">
      <c r="A297" s="22" t="s">
        <v>1998</v>
      </c>
      <c r="B297" s="22" t="s">
        <v>347</v>
      </c>
      <c r="C297" s="22" t="s">
        <v>51</v>
      </c>
      <c r="D297" s="22" t="s">
        <v>1918</v>
      </c>
      <c r="E297" s="22" t="s">
        <v>108</v>
      </c>
      <c r="F297" s="22" t="s">
        <v>1919</v>
      </c>
      <c r="G297" s="22" t="s">
        <v>606</v>
      </c>
      <c r="H297" s="22" t="s">
        <v>1732</v>
      </c>
      <c r="I297" s="22" t="s">
        <v>1999</v>
      </c>
      <c r="J297" s="22" t="s">
        <v>2000</v>
      </c>
      <c r="K297" s="22" t="s">
        <v>745</v>
      </c>
      <c r="L297" s="22" t="s">
        <v>57</v>
      </c>
      <c r="M297" s="22" t="s">
        <v>55</v>
      </c>
      <c r="N297" s="22" t="s">
        <v>55</v>
      </c>
      <c r="O297" s="22" t="s">
        <v>1922</v>
      </c>
      <c r="P297" s="22" t="s">
        <v>2001</v>
      </c>
      <c r="Q297" s="22" t="s">
        <v>2002</v>
      </c>
      <c r="R297" s="22" t="s">
        <v>63</v>
      </c>
      <c r="S297" s="22" t="s">
        <v>2003</v>
      </c>
      <c r="T297" s="22" t="s">
        <v>2004</v>
      </c>
      <c r="U297" s="22" t="s">
        <v>132</v>
      </c>
      <c r="V297" s="23">
        <v>45991</v>
      </c>
      <c r="W297" s="22" t="s">
        <v>55</v>
      </c>
      <c r="X297" s="22" t="s">
        <v>1947</v>
      </c>
      <c r="Y297" s="22" t="s">
        <v>65</v>
      </c>
      <c r="Z297" s="22" t="s">
        <v>55</v>
      </c>
      <c r="AA297" s="22" t="s">
        <v>152</v>
      </c>
      <c r="AB297" s="22" t="s">
        <v>55</v>
      </c>
      <c r="AC297" s="22" t="s">
        <v>55</v>
      </c>
      <c r="AD297" s="22" t="s">
        <v>67</v>
      </c>
      <c r="AE297" s="22" t="s">
        <v>257</v>
      </c>
      <c r="AF297" s="22" t="s">
        <v>55</v>
      </c>
      <c r="AG297" s="22" t="s">
        <v>55</v>
      </c>
      <c r="AH297" s="22" t="s">
        <v>55</v>
      </c>
      <c r="AI297" s="22" t="s">
        <v>55</v>
      </c>
      <c r="AJ297" s="22" t="s">
        <v>55</v>
      </c>
      <c r="AK297" s="22" t="s">
        <v>55</v>
      </c>
      <c r="AL297" s="22" t="s">
        <v>55</v>
      </c>
      <c r="AM297" s="22" t="s">
        <v>55</v>
      </c>
      <c r="AN297" s="22" t="s">
        <v>55</v>
      </c>
      <c r="AO297" s="22" t="s">
        <v>55</v>
      </c>
      <c r="AP297" s="22" t="s">
        <v>55</v>
      </c>
      <c r="AQ297" s="22" t="s">
        <v>55</v>
      </c>
      <c r="AR297" s="22" t="s">
        <v>55</v>
      </c>
      <c r="AS297" s="22" t="s">
        <v>55</v>
      </c>
      <c r="AT297" s="22" t="s">
        <v>55</v>
      </c>
      <c r="AU297" s="22" t="s">
        <v>55</v>
      </c>
      <c r="AV297" s="22" t="s">
        <v>55</v>
      </c>
      <c r="AW297" s="23">
        <v>46089</v>
      </c>
      <c r="AX297" s="23">
        <v>46426</v>
      </c>
      <c r="AY297" s="22" t="s">
        <v>1836</v>
      </c>
    </row>
    <row r="298" spans="1:51" ht="130.5" x14ac:dyDescent="0.35">
      <c r="A298" s="22" t="s">
        <v>2005</v>
      </c>
      <c r="B298" s="22" t="s">
        <v>347</v>
      </c>
      <c r="C298" s="22" t="s">
        <v>51</v>
      </c>
      <c r="D298" s="22" t="s">
        <v>1918</v>
      </c>
      <c r="E298" s="22" t="s">
        <v>52</v>
      </c>
      <c r="F298" s="22" t="s">
        <v>1919</v>
      </c>
      <c r="G298" s="22" t="s">
        <v>606</v>
      </c>
      <c r="H298" s="22" t="s">
        <v>1732</v>
      </c>
      <c r="I298" s="22" t="s">
        <v>119</v>
      </c>
      <c r="J298" s="22" t="s">
        <v>2006</v>
      </c>
      <c r="K298" s="22" t="s">
        <v>603</v>
      </c>
      <c r="L298" s="22" t="s">
        <v>57</v>
      </c>
      <c r="M298" s="22" t="s">
        <v>545</v>
      </c>
      <c r="N298" s="22" t="s">
        <v>55</v>
      </c>
      <c r="O298" s="22" t="s">
        <v>1922</v>
      </c>
      <c r="P298" s="22" t="s">
        <v>2007</v>
      </c>
      <c r="Q298" s="22" t="s">
        <v>2008</v>
      </c>
      <c r="R298" s="22" t="s">
        <v>63</v>
      </c>
      <c r="S298" s="22" t="s">
        <v>2009</v>
      </c>
      <c r="T298" s="22" t="s">
        <v>2010</v>
      </c>
      <c r="U298" s="22" t="s">
        <v>63</v>
      </c>
      <c r="V298" s="23">
        <v>46023</v>
      </c>
      <c r="W298" s="22" t="s">
        <v>55</v>
      </c>
      <c r="X298" s="22" t="s">
        <v>2011</v>
      </c>
      <c r="Y298" s="22" t="s">
        <v>65</v>
      </c>
      <c r="Z298" s="22" t="s">
        <v>55</v>
      </c>
      <c r="AA298" s="22" t="s">
        <v>221</v>
      </c>
      <c r="AB298" s="22" t="s">
        <v>55</v>
      </c>
      <c r="AC298" s="22" t="s">
        <v>55</v>
      </c>
      <c r="AD298" s="22" t="s">
        <v>67</v>
      </c>
      <c r="AE298" s="22" t="s">
        <v>257</v>
      </c>
      <c r="AF298" s="22" t="s">
        <v>69</v>
      </c>
      <c r="AG298" s="22" t="s">
        <v>55</v>
      </c>
      <c r="AH298" s="22" t="s">
        <v>55</v>
      </c>
      <c r="AI298" s="22" t="s">
        <v>55</v>
      </c>
      <c r="AJ298" s="22" t="s">
        <v>55</v>
      </c>
      <c r="AK298" s="22" t="s">
        <v>55</v>
      </c>
      <c r="AL298" s="22" t="s">
        <v>55</v>
      </c>
      <c r="AM298" s="22" t="s">
        <v>55</v>
      </c>
      <c r="AN298" s="22" t="s">
        <v>55</v>
      </c>
      <c r="AO298" s="22" t="s">
        <v>55</v>
      </c>
      <c r="AP298" s="22" t="s">
        <v>55</v>
      </c>
      <c r="AQ298" s="22" t="s">
        <v>55</v>
      </c>
      <c r="AR298" s="22" t="s">
        <v>55</v>
      </c>
      <c r="AS298" s="22" t="s">
        <v>55</v>
      </c>
      <c r="AT298" s="22" t="s">
        <v>55</v>
      </c>
      <c r="AU298" s="22" t="s">
        <v>55</v>
      </c>
      <c r="AV298" s="22" t="s">
        <v>55</v>
      </c>
      <c r="AW298" s="23">
        <v>46089</v>
      </c>
      <c r="AX298" s="23">
        <v>46426</v>
      </c>
      <c r="AY298" s="22" t="s">
        <v>1836</v>
      </c>
    </row>
    <row r="299" spans="1:51" ht="203" x14ac:dyDescent="0.35">
      <c r="A299" s="22" t="s">
        <v>2012</v>
      </c>
      <c r="B299" s="22" t="s">
        <v>347</v>
      </c>
      <c r="C299" s="22" t="s">
        <v>51</v>
      </c>
      <c r="D299" s="22" t="s">
        <v>1918</v>
      </c>
      <c r="E299" s="22" t="s">
        <v>108</v>
      </c>
      <c r="F299" s="22" t="s">
        <v>1919</v>
      </c>
      <c r="G299" s="22" t="s">
        <v>606</v>
      </c>
      <c r="H299" s="22" t="s">
        <v>1732</v>
      </c>
      <c r="I299" s="22" t="s">
        <v>117</v>
      </c>
      <c r="J299" s="22" t="s">
        <v>2013</v>
      </c>
      <c r="K299" s="22" t="s">
        <v>576</v>
      </c>
      <c r="L299" s="22" t="s">
        <v>57</v>
      </c>
      <c r="M299" s="22" t="s">
        <v>55</v>
      </c>
      <c r="N299" s="22" t="s">
        <v>55</v>
      </c>
      <c r="O299" s="22" t="s">
        <v>1922</v>
      </c>
      <c r="P299" s="22" t="s">
        <v>2014</v>
      </c>
      <c r="Q299" s="22" t="s">
        <v>2015</v>
      </c>
      <c r="R299" s="22" t="s">
        <v>63</v>
      </c>
      <c r="S299" s="22" t="s">
        <v>2016</v>
      </c>
      <c r="T299" s="22" t="s">
        <v>2017</v>
      </c>
      <c r="U299" s="22" t="s">
        <v>132</v>
      </c>
      <c r="V299" s="23">
        <v>45991</v>
      </c>
      <c r="W299" s="22" t="s">
        <v>55</v>
      </c>
      <c r="X299" s="22" t="s">
        <v>2018</v>
      </c>
      <c r="Y299" s="22" t="s">
        <v>65</v>
      </c>
      <c r="Z299" s="22" t="s">
        <v>55</v>
      </c>
      <c r="AA299" s="22" t="s">
        <v>152</v>
      </c>
      <c r="AB299" s="22" t="s">
        <v>55</v>
      </c>
      <c r="AC299" s="22" t="s">
        <v>55</v>
      </c>
      <c r="AD299" s="22" t="s">
        <v>67</v>
      </c>
      <c r="AE299" s="22" t="s">
        <v>257</v>
      </c>
      <c r="AF299" s="22" t="s">
        <v>55</v>
      </c>
      <c r="AG299" s="22" t="s">
        <v>55</v>
      </c>
      <c r="AH299" s="22" t="s">
        <v>55</v>
      </c>
      <c r="AI299" s="22" t="s">
        <v>55</v>
      </c>
      <c r="AJ299" s="22" t="s">
        <v>55</v>
      </c>
      <c r="AK299" s="22" t="s">
        <v>55</v>
      </c>
      <c r="AL299" s="22" t="s">
        <v>55</v>
      </c>
      <c r="AM299" s="22" t="s">
        <v>55</v>
      </c>
      <c r="AN299" s="22" t="s">
        <v>55</v>
      </c>
      <c r="AO299" s="22" t="s">
        <v>55</v>
      </c>
      <c r="AP299" s="22" t="s">
        <v>55</v>
      </c>
      <c r="AQ299" s="22" t="s">
        <v>55</v>
      </c>
      <c r="AR299" s="22" t="s">
        <v>55</v>
      </c>
      <c r="AS299" s="22" t="s">
        <v>55</v>
      </c>
      <c r="AT299" s="22" t="s">
        <v>55</v>
      </c>
      <c r="AU299" s="22" t="s">
        <v>55</v>
      </c>
      <c r="AV299" s="22" t="s">
        <v>55</v>
      </c>
      <c r="AW299" s="23">
        <v>46089</v>
      </c>
      <c r="AX299" s="23">
        <v>46426</v>
      </c>
      <c r="AY299" s="22" t="s">
        <v>1836</v>
      </c>
    </row>
    <row r="300" spans="1:51" ht="87" x14ac:dyDescent="0.35">
      <c r="A300" s="22" t="s">
        <v>2019</v>
      </c>
      <c r="B300" s="22" t="s">
        <v>347</v>
      </c>
      <c r="C300" s="22" t="s">
        <v>51</v>
      </c>
      <c r="D300" s="22" t="s">
        <v>1918</v>
      </c>
      <c r="E300" s="22" t="s">
        <v>108</v>
      </c>
      <c r="F300" s="22" t="s">
        <v>1919</v>
      </c>
      <c r="G300" s="22" t="s">
        <v>606</v>
      </c>
      <c r="H300" s="22" t="s">
        <v>1732</v>
      </c>
      <c r="I300" s="22" t="s">
        <v>117</v>
      </c>
      <c r="J300" s="22" t="s">
        <v>2020</v>
      </c>
      <c r="K300" s="22" t="s">
        <v>587</v>
      </c>
      <c r="L300" s="22" t="s">
        <v>57</v>
      </c>
      <c r="M300" s="22" t="s">
        <v>55</v>
      </c>
      <c r="N300" s="22" t="s">
        <v>55</v>
      </c>
      <c r="O300" s="22" t="s">
        <v>1922</v>
      </c>
      <c r="P300" s="22" t="s">
        <v>2021</v>
      </c>
      <c r="Q300" s="22" t="s">
        <v>2022</v>
      </c>
      <c r="R300" s="22" t="s">
        <v>63</v>
      </c>
      <c r="S300" s="22" t="s">
        <v>2023</v>
      </c>
      <c r="T300" s="22" t="s">
        <v>2024</v>
      </c>
      <c r="U300" s="22" t="s">
        <v>63</v>
      </c>
      <c r="V300" s="23">
        <v>45991</v>
      </c>
      <c r="W300" s="22" t="s">
        <v>55</v>
      </c>
      <c r="X300" s="22" t="s">
        <v>2018</v>
      </c>
      <c r="Y300" s="22" t="s">
        <v>65</v>
      </c>
      <c r="Z300" s="22" t="s">
        <v>55</v>
      </c>
      <c r="AA300" s="22" t="s">
        <v>152</v>
      </c>
      <c r="AB300" s="22" t="s">
        <v>55</v>
      </c>
      <c r="AC300" s="22" t="s">
        <v>55</v>
      </c>
      <c r="AD300" s="22" t="s">
        <v>67</v>
      </c>
      <c r="AE300" s="22" t="s">
        <v>257</v>
      </c>
      <c r="AF300" s="22" t="s">
        <v>55</v>
      </c>
      <c r="AG300" s="22" t="s">
        <v>55</v>
      </c>
      <c r="AH300" s="22" t="s">
        <v>55</v>
      </c>
      <c r="AI300" s="22" t="s">
        <v>55</v>
      </c>
      <c r="AJ300" s="22" t="s">
        <v>55</v>
      </c>
      <c r="AK300" s="22" t="s">
        <v>55</v>
      </c>
      <c r="AL300" s="22" t="s">
        <v>55</v>
      </c>
      <c r="AM300" s="22" t="s">
        <v>55</v>
      </c>
      <c r="AN300" s="22" t="s">
        <v>55</v>
      </c>
      <c r="AO300" s="22" t="s">
        <v>55</v>
      </c>
      <c r="AP300" s="22" t="s">
        <v>55</v>
      </c>
      <c r="AQ300" s="22" t="s">
        <v>55</v>
      </c>
      <c r="AR300" s="22" t="s">
        <v>55</v>
      </c>
      <c r="AS300" s="22" t="s">
        <v>55</v>
      </c>
      <c r="AT300" s="22" t="s">
        <v>55</v>
      </c>
      <c r="AU300" s="22" t="s">
        <v>55</v>
      </c>
      <c r="AV300" s="22" t="s">
        <v>55</v>
      </c>
      <c r="AW300" s="23">
        <v>46089</v>
      </c>
      <c r="AX300" s="23">
        <v>46426</v>
      </c>
      <c r="AY300" s="22" t="s">
        <v>1836</v>
      </c>
    </row>
    <row r="301" spans="1:51" ht="145" x14ac:dyDescent="0.35">
      <c r="A301" s="22" t="s">
        <v>2025</v>
      </c>
      <c r="B301" s="22" t="s">
        <v>347</v>
      </c>
      <c r="C301" s="22" t="s">
        <v>51</v>
      </c>
      <c r="D301" s="22" t="s">
        <v>1918</v>
      </c>
      <c r="E301" s="22" t="s">
        <v>108</v>
      </c>
      <c r="F301" s="22" t="s">
        <v>1919</v>
      </c>
      <c r="G301" s="22" t="s">
        <v>606</v>
      </c>
      <c r="H301" s="22" t="s">
        <v>1732</v>
      </c>
      <c r="I301" s="22" t="s">
        <v>86</v>
      </c>
      <c r="J301" s="22" t="s">
        <v>744</v>
      </c>
      <c r="K301" s="22" t="s">
        <v>594</v>
      </c>
      <c r="L301" s="22" t="s">
        <v>57</v>
      </c>
      <c r="M301" s="22" t="s">
        <v>55</v>
      </c>
      <c r="N301" s="22" t="s">
        <v>55</v>
      </c>
      <c r="O301" s="22" t="s">
        <v>1922</v>
      </c>
      <c r="P301" s="22" t="s">
        <v>1912</v>
      </c>
      <c r="Q301" s="22" t="s">
        <v>2026</v>
      </c>
      <c r="R301" s="22" t="s">
        <v>63</v>
      </c>
      <c r="S301" s="22" t="s">
        <v>2027</v>
      </c>
      <c r="T301" s="22" t="s">
        <v>2028</v>
      </c>
      <c r="U301" s="22" t="s">
        <v>63</v>
      </c>
      <c r="V301" s="23">
        <v>45991</v>
      </c>
      <c r="W301" s="22" t="s">
        <v>55</v>
      </c>
      <c r="X301" s="22" t="s">
        <v>1927</v>
      </c>
      <c r="Y301" s="22" t="s">
        <v>65</v>
      </c>
      <c r="Z301" s="22" t="s">
        <v>55</v>
      </c>
      <c r="AA301" s="22" t="s">
        <v>152</v>
      </c>
      <c r="AB301" s="22" t="s">
        <v>55</v>
      </c>
      <c r="AC301" s="22" t="s">
        <v>55</v>
      </c>
      <c r="AD301" s="22" t="s">
        <v>67</v>
      </c>
      <c r="AE301" s="22" t="s">
        <v>257</v>
      </c>
      <c r="AF301" s="22" t="s">
        <v>55</v>
      </c>
      <c r="AG301" s="22" t="s">
        <v>55</v>
      </c>
      <c r="AH301" s="22" t="s">
        <v>55</v>
      </c>
      <c r="AI301" s="22" t="s">
        <v>55</v>
      </c>
      <c r="AJ301" s="22" t="s">
        <v>55</v>
      </c>
      <c r="AK301" s="22" t="s">
        <v>55</v>
      </c>
      <c r="AL301" s="22" t="s">
        <v>55</v>
      </c>
      <c r="AM301" s="22" t="s">
        <v>55</v>
      </c>
      <c r="AN301" s="22" t="s">
        <v>55</v>
      </c>
      <c r="AO301" s="22" t="s">
        <v>55</v>
      </c>
      <c r="AP301" s="22" t="s">
        <v>55</v>
      </c>
      <c r="AQ301" s="22" t="s">
        <v>55</v>
      </c>
      <c r="AR301" s="22" t="s">
        <v>55</v>
      </c>
      <c r="AS301" s="22" t="s">
        <v>55</v>
      </c>
      <c r="AT301" s="22" t="s">
        <v>55</v>
      </c>
      <c r="AU301" s="22" t="s">
        <v>55</v>
      </c>
      <c r="AV301" s="22" t="s">
        <v>55</v>
      </c>
      <c r="AW301" s="23">
        <v>46089</v>
      </c>
      <c r="AX301" s="23">
        <v>46426</v>
      </c>
      <c r="AY301" s="22" t="s">
        <v>1836</v>
      </c>
    </row>
    <row r="302" spans="1:51" ht="29" x14ac:dyDescent="0.35">
      <c r="A302" s="22" t="s">
        <v>2029</v>
      </c>
      <c r="B302" s="22" t="s">
        <v>347</v>
      </c>
      <c r="C302" s="22" t="s">
        <v>116</v>
      </c>
      <c r="D302" s="22" t="s">
        <v>465</v>
      </c>
      <c r="E302" s="22" t="s">
        <v>52</v>
      </c>
      <c r="F302" s="22" t="s">
        <v>2030</v>
      </c>
      <c r="G302" s="22" t="s">
        <v>126</v>
      </c>
      <c r="H302" s="22" t="s">
        <v>157</v>
      </c>
      <c r="I302" s="22" t="s">
        <v>526</v>
      </c>
      <c r="J302" s="22" t="s">
        <v>1343</v>
      </c>
      <c r="K302" s="22" t="s">
        <v>868</v>
      </c>
      <c r="L302" s="22" t="s">
        <v>55</v>
      </c>
      <c r="M302" s="22" t="s">
        <v>1688</v>
      </c>
      <c r="N302" s="22" t="s">
        <v>55</v>
      </c>
      <c r="O302" s="22" t="s">
        <v>2031</v>
      </c>
      <c r="P302" s="22" t="s">
        <v>1700</v>
      </c>
      <c r="Q302" s="22" t="s">
        <v>2032</v>
      </c>
      <c r="R302" s="22" t="s">
        <v>55</v>
      </c>
      <c r="S302" s="22" t="s">
        <v>55</v>
      </c>
      <c r="T302" s="22" t="s">
        <v>2033</v>
      </c>
      <c r="U302" s="22" t="s">
        <v>132</v>
      </c>
      <c r="V302" s="23">
        <v>46022</v>
      </c>
      <c r="W302" s="22" t="s">
        <v>55</v>
      </c>
      <c r="X302" s="22" t="s">
        <v>2034</v>
      </c>
      <c r="Y302" s="22" t="s">
        <v>65</v>
      </c>
      <c r="Z302" s="22" t="s">
        <v>55</v>
      </c>
      <c r="AA302" s="22" t="s">
        <v>221</v>
      </c>
      <c r="AB302" s="22" t="s">
        <v>55</v>
      </c>
      <c r="AC302" s="22" t="s">
        <v>55</v>
      </c>
      <c r="AD302" s="22" t="s">
        <v>118</v>
      </c>
      <c r="AE302" s="22" t="s">
        <v>97</v>
      </c>
      <c r="AF302" s="22" t="s">
        <v>100</v>
      </c>
      <c r="AG302" s="22" t="s">
        <v>55</v>
      </c>
      <c r="AH302" s="22" t="s">
        <v>55</v>
      </c>
      <c r="AI302" s="22" t="s">
        <v>55</v>
      </c>
      <c r="AJ302" s="22" t="s">
        <v>55</v>
      </c>
      <c r="AK302" s="22" t="s">
        <v>55</v>
      </c>
      <c r="AL302" s="22" t="s">
        <v>55</v>
      </c>
      <c r="AM302" s="22" t="s">
        <v>55</v>
      </c>
      <c r="AN302" s="22" t="s">
        <v>55</v>
      </c>
      <c r="AO302" s="22" t="s">
        <v>55</v>
      </c>
      <c r="AP302" s="22" t="s">
        <v>55</v>
      </c>
      <c r="AQ302" s="22" t="s">
        <v>55</v>
      </c>
      <c r="AR302" s="22" t="s">
        <v>55</v>
      </c>
      <c r="AS302" s="22" t="s">
        <v>55</v>
      </c>
      <c r="AT302" s="22" t="s">
        <v>55</v>
      </c>
      <c r="AU302" s="22" t="s">
        <v>55</v>
      </c>
      <c r="AV302" s="22" t="s">
        <v>55</v>
      </c>
      <c r="AW302" s="22" t="s">
        <v>55</v>
      </c>
      <c r="AX302" s="22" t="s">
        <v>55</v>
      </c>
      <c r="AY302" s="22" t="s">
        <v>2035</v>
      </c>
    </row>
    <row r="303" spans="1:51" ht="43.5" x14ac:dyDescent="0.35">
      <c r="A303" s="22" t="s">
        <v>2036</v>
      </c>
      <c r="B303" s="22" t="s">
        <v>347</v>
      </c>
      <c r="C303" s="22" t="s">
        <v>116</v>
      </c>
      <c r="D303" s="22" t="s">
        <v>465</v>
      </c>
      <c r="E303" s="22" t="s">
        <v>52</v>
      </c>
      <c r="F303" s="22" t="s">
        <v>159</v>
      </c>
      <c r="G303" s="22" t="s">
        <v>94</v>
      </c>
      <c r="H303" s="22" t="s">
        <v>95</v>
      </c>
      <c r="I303" s="22" t="s">
        <v>803</v>
      </c>
      <c r="J303" s="22" t="s">
        <v>815</v>
      </c>
      <c r="K303" s="22" t="s">
        <v>572</v>
      </c>
      <c r="L303" s="22" t="s">
        <v>55</v>
      </c>
      <c r="M303" s="22" t="s">
        <v>816</v>
      </c>
      <c r="N303" s="22" t="s">
        <v>55</v>
      </c>
      <c r="O303" s="22" t="s">
        <v>847</v>
      </c>
      <c r="P303" s="22" t="s">
        <v>1345</v>
      </c>
      <c r="Q303" s="22" t="s">
        <v>2037</v>
      </c>
      <c r="R303" s="22" t="s">
        <v>55</v>
      </c>
      <c r="S303" s="22" t="s">
        <v>55</v>
      </c>
      <c r="T303" s="22" t="s">
        <v>2038</v>
      </c>
      <c r="U303" s="22" t="s">
        <v>63</v>
      </c>
      <c r="V303" s="23">
        <v>45991</v>
      </c>
      <c r="W303" s="22" t="s">
        <v>55</v>
      </c>
      <c r="X303" s="22" t="s">
        <v>2039</v>
      </c>
      <c r="Y303" s="22" t="s">
        <v>65</v>
      </c>
      <c r="Z303" s="22" t="s">
        <v>55</v>
      </c>
      <c r="AA303" s="22" t="s">
        <v>152</v>
      </c>
      <c r="AB303" s="22" t="s">
        <v>55</v>
      </c>
      <c r="AC303" s="22" t="s">
        <v>55</v>
      </c>
      <c r="AD303" s="22" t="s">
        <v>118</v>
      </c>
      <c r="AE303" s="22" t="s">
        <v>97</v>
      </c>
      <c r="AF303" s="22" t="s">
        <v>69</v>
      </c>
      <c r="AG303" s="22" t="s">
        <v>55</v>
      </c>
      <c r="AH303" s="22" t="s">
        <v>55</v>
      </c>
      <c r="AI303" s="22" t="s">
        <v>55</v>
      </c>
      <c r="AJ303" s="22" t="s">
        <v>55</v>
      </c>
      <c r="AK303" s="22" t="s">
        <v>55</v>
      </c>
      <c r="AL303" s="22" t="s">
        <v>55</v>
      </c>
      <c r="AM303" s="22" t="s">
        <v>55</v>
      </c>
      <c r="AN303" s="22" t="s">
        <v>55</v>
      </c>
      <c r="AO303" s="22" t="s">
        <v>55</v>
      </c>
      <c r="AP303" s="22" t="s">
        <v>55</v>
      </c>
      <c r="AQ303" s="22" t="s">
        <v>55</v>
      </c>
      <c r="AR303" s="22" t="s">
        <v>55</v>
      </c>
      <c r="AS303" s="22" t="s">
        <v>55</v>
      </c>
      <c r="AT303" s="22" t="s">
        <v>55</v>
      </c>
      <c r="AU303" s="22" t="s">
        <v>55</v>
      </c>
      <c r="AV303" s="22" t="s">
        <v>55</v>
      </c>
      <c r="AW303" s="22" t="s">
        <v>55</v>
      </c>
      <c r="AX303" s="22" t="s">
        <v>55</v>
      </c>
      <c r="AY303" s="22" t="s">
        <v>2035</v>
      </c>
    </row>
    <row r="304" spans="1:51" ht="43.5" x14ac:dyDescent="0.35">
      <c r="A304" s="22" t="s">
        <v>2040</v>
      </c>
      <c r="B304" s="22" t="s">
        <v>347</v>
      </c>
      <c r="C304" s="22" t="s">
        <v>116</v>
      </c>
      <c r="D304" s="22" t="s">
        <v>465</v>
      </c>
      <c r="E304" s="22" t="s">
        <v>52</v>
      </c>
      <c r="F304" s="22" t="s">
        <v>159</v>
      </c>
      <c r="G304" s="22" t="s">
        <v>94</v>
      </c>
      <c r="H304" s="22" t="s">
        <v>95</v>
      </c>
      <c r="I304" s="22" t="s">
        <v>160</v>
      </c>
      <c r="J304" s="22" t="s">
        <v>857</v>
      </c>
      <c r="K304" s="22" t="s">
        <v>572</v>
      </c>
      <c r="L304" s="22" t="s">
        <v>55</v>
      </c>
      <c r="M304" s="22" t="s">
        <v>161</v>
      </c>
      <c r="N304" s="22" t="s">
        <v>55</v>
      </c>
      <c r="O304" s="22" t="s">
        <v>847</v>
      </c>
      <c r="P304" s="22" t="s">
        <v>1345</v>
      </c>
      <c r="Q304" s="22" t="s">
        <v>2041</v>
      </c>
      <c r="R304" s="22" t="s">
        <v>55</v>
      </c>
      <c r="S304" s="22" t="s">
        <v>55</v>
      </c>
      <c r="T304" s="22" t="s">
        <v>2042</v>
      </c>
      <c r="U304" s="22" t="s">
        <v>63</v>
      </c>
      <c r="V304" s="23">
        <v>45991</v>
      </c>
      <c r="W304" s="22" t="s">
        <v>55</v>
      </c>
      <c r="X304" s="22" t="s">
        <v>2039</v>
      </c>
      <c r="Y304" s="22" t="s">
        <v>65</v>
      </c>
      <c r="Z304" s="22" t="s">
        <v>55</v>
      </c>
      <c r="AA304" s="22" t="s">
        <v>152</v>
      </c>
      <c r="AB304" s="22" t="s">
        <v>55</v>
      </c>
      <c r="AC304" s="22" t="s">
        <v>55</v>
      </c>
      <c r="AD304" s="22" t="s">
        <v>118</v>
      </c>
      <c r="AE304" s="22" t="s">
        <v>97</v>
      </c>
      <c r="AF304" s="22" t="s">
        <v>69</v>
      </c>
      <c r="AG304" s="22" t="s">
        <v>55</v>
      </c>
      <c r="AH304" s="22" t="s">
        <v>55</v>
      </c>
      <c r="AI304" s="22" t="s">
        <v>55</v>
      </c>
      <c r="AJ304" s="22" t="s">
        <v>55</v>
      </c>
      <c r="AK304" s="22" t="s">
        <v>55</v>
      </c>
      <c r="AL304" s="22" t="s">
        <v>55</v>
      </c>
      <c r="AM304" s="22" t="s">
        <v>55</v>
      </c>
      <c r="AN304" s="22" t="s">
        <v>55</v>
      </c>
      <c r="AO304" s="22" t="s">
        <v>55</v>
      </c>
      <c r="AP304" s="22" t="s">
        <v>55</v>
      </c>
      <c r="AQ304" s="22" t="s">
        <v>55</v>
      </c>
      <c r="AR304" s="22" t="s">
        <v>55</v>
      </c>
      <c r="AS304" s="22" t="s">
        <v>55</v>
      </c>
      <c r="AT304" s="22" t="s">
        <v>55</v>
      </c>
      <c r="AU304" s="22" t="s">
        <v>55</v>
      </c>
      <c r="AV304" s="22" t="s">
        <v>55</v>
      </c>
      <c r="AW304" s="22" t="s">
        <v>55</v>
      </c>
      <c r="AX304" s="22" t="s">
        <v>55</v>
      </c>
      <c r="AY304" s="22" t="s">
        <v>2035</v>
      </c>
    </row>
    <row r="305" spans="1:51" ht="43.5" x14ac:dyDescent="0.35">
      <c r="A305" s="22" t="s">
        <v>2043</v>
      </c>
      <c r="B305" s="22" t="s">
        <v>347</v>
      </c>
      <c r="C305" s="22" t="s">
        <v>116</v>
      </c>
      <c r="D305" s="22" t="s">
        <v>465</v>
      </c>
      <c r="E305" s="22" t="s">
        <v>52</v>
      </c>
      <c r="F305" s="22" t="s">
        <v>159</v>
      </c>
      <c r="G305" s="22" t="s">
        <v>94</v>
      </c>
      <c r="H305" s="22" t="s">
        <v>95</v>
      </c>
      <c r="I305" s="22" t="s">
        <v>526</v>
      </c>
      <c r="J305" s="22" t="s">
        <v>993</v>
      </c>
      <c r="K305" s="22" t="s">
        <v>572</v>
      </c>
      <c r="L305" s="22" t="s">
        <v>55</v>
      </c>
      <c r="M305" s="22" t="s">
        <v>58</v>
      </c>
      <c r="N305" s="22" t="s">
        <v>55</v>
      </c>
      <c r="O305" s="22" t="s">
        <v>847</v>
      </c>
      <c r="P305" s="22" t="s">
        <v>1345</v>
      </c>
      <c r="Q305" s="22" t="s">
        <v>2044</v>
      </c>
      <c r="R305" s="22" t="s">
        <v>55</v>
      </c>
      <c r="S305" s="22" t="s">
        <v>55</v>
      </c>
      <c r="T305" s="22" t="s">
        <v>2045</v>
      </c>
      <c r="U305" s="22" t="s">
        <v>63</v>
      </c>
      <c r="V305" s="23">
        <v>45991</v>
      </c>
      <c r="W305" s="22" t="s">
        <v>55</v>
      </c>
      <c r="X305" s="22" t="s">
        <v>2039</v>
      </c>
      <c r="Y305" s="22" t="s">
        <v>65</v>
      </c>
      <c r="Z305" s="22" t="s">
        <v>55</v>
      </c>
      <c r="AA305" s="22" t="s">
        <v>152</v>
      </c>
      <c r="AB305" s="22" t="s">
        <v>55</v>
      </c>
      <c r="AC305" s="22" t="s">
        <v>55</v>
      </c>
      <c r="AD305" s="22" t="s">
        <v>118</v>
      </c>
      <c r="AE305" s="22" t="s">
        <v>97</v>
      </c>
      <c r="AF305" s="22" t="s">
        <v>69</v>
      </c>
      <c r="AG305" s="22" t="s">
        <v>55</v>
      </c>
      <c r="AH305" s="22" t="s">
        <v>55</v>
      </c>
      <c r="AI305" s="22" t="s">
        <v>55</v>
      </c>
      <c r="AJ305" s="22" t="s">
        <v>55</v>
      </c>
      <c r="AK305" s="22" t="s">
        <v>55</v>
      </c>
      <c r="AL305" s="22" t="s">
        <v>55</v>
      </c>
      <c r="AM305" s="22" t="s">
        <v>55</v>
      </c>
      <c r="AN305" s="22" t="s">
        <v>55</v>
      </c>
      <c r="AO305" s="22" t="s">
        <v>55</v>
      </c>
      <c r="AP305" s="22" t="s">
        <v>55</v>
      </c>
      <c r="AQ305" s="22" t="s">
        <v>55</v>
      </c>
      <c r="AR305" s="22" t="s">
        <v>55</v>
      </c>
      <c r="AS305" s="22" t="s">
        <v>55</v>
      </c>
      <c r="AT305" s="22" t="s">
        <v>55</v>
      </c>
      <c r="AU305" s="22" t="s">
        <v>55</v>
      </c>
      <c r="AV305" s="22" t="s">
        <v>55</v>
      </c>
      <c r="AW305" s="22" t="s">
        <v>55</v>
      </c>
      <c r="AX305" s="22" t="s">
        <v>55</v>
      </c>
      <c r="AY305" s="22" t="s">
        <v>2035</v>
      </c>
    </row>
    <row r="306" spans="1:51" ht="43.5" x14ac:dyDescent="0.35">
      <c r="A306" s="22" t="s">
        <v>2046</v>
      </c>
      <c r="B306" s="22" t="s">
        <v>347</v>
      </c>
      <c r="C306" s="22" t="s">
        <v>116</v>
      </c>
      <c r="D306" s="22" t="s">
        <v>465</v>
      </c>
      <c r="E306" s="22" t="s">
        <v>52</v>
      </c>
      <c r="F306" s="22" t="s">
        <v>159</v>
      </c>
      <c r="G306" s="22" t="s">
        <v>94</v>
      </c>
      <c r="H306" s="22" t="s">
        <v>95</v>
      </c>
      <c r="I306" s="22" t="s">
        <v>119</v>
      </c>
      <c r="J306" s="22" t="s">
        <v>242</v>
      </c>
      <c r="K306" s="22" t="s">
        <v>572</v>
      </c>
      <c r="L306" s="22" t="s">
        <v>55</v>
      </c>
      <c r="M306" s="22" t="s">
        <v>545</v>
      </c>
      <c r="N306" s="22" t="s">
        <v>55</v>
      </c>
      <c r="O306" s="22" t="s">
        <v>847</v>
      </c>
      <c r="P306" s="22" t="s">
        <v>1345</v>
      </c>
      <c r="Q306" s="22" t="s">
        <v>2044</v>
      </c>
      <c r="R306" s="22" t="s">
        <v>55</v>
      </c>
      <c r="S306" s="22" t="s">
        <v>55</v>
      </c>
      <c r="T306" s="22" t="s">
        <v>2045</v>
      </c>
      <c r="U306" s="22" t="s">
        <v>63</v>
      </c>
      <c r="V306" s="23">
        <v>45991</v>
      </c>
      <c r="W306" s="22" t="s">
        <v>55</v>
      </c>
      <c r="X306" s="22" t="s">
        <v>2039</v>
      </c>
      <c r="Y306" s="22" t="s">
        <v>65</v>
      </c>
      <c r="Z306" s="22" t="s">
        <v>55</v>
      </c>
      <c r="AA306" s="22" t="s">
        <v>152</v>
      </c>
      <c r="AB306" s="22" t="s">
        <v>55</v>
      </c>
      <c r="AC306" s="22" t="s">
        <v>55</v>
      </c>
      <c r="AD306" s="22" t="s">
        <v>118</v>
      </c>
      <c r="AE306" s="22" t="s">
        <v>97</v>
      </c>
      <c r="AF306" s="22" t="s">
        <v>69</v>
      </c>
      <c r="AG306" s="22" t="s">
        <v>55</v>
      </c>
      <c r="AH306" s="22" t="s">
        <v>55</v>
      </c>
      <c r="AI306" s="22" t="s">
        <v>55</v>
      </c>
      <c r="AJ306" s="22" t="s">
        <v>55</v>
      </c>
      <c r="AK306" s="22" t="s">
        <v>55</v>
      </c>
      <c r="AL306" s="22" t="s">
        <v>55</v>
      </c>
      <c r="AM306" s="22" t="s">
        <v>55</v>
      </c>
      <c r="AN306" s="22" t="s">
        <v>55</v>
      </c>
      <c r="AO306" s="22" t="s">
        <v>55</v>
      </c>
      <c r="AP306" s="22" t="s">
        <v>55</v>
      </c>
      <c r="AQ306" s="22" t="s">
        <v>55</v>
      </c>
      <c r="AR306" s="22" t="s">
        <v>55</v>
      </c>
      <c r="AS306" s="22" t="s">
        <v>55</v>
      </c>
      <c r="AT306" s="22" t="s">
        <v>55</v>
      </c>
      <c r="AU306" s="22" t="s">
        <v>55</v>
      </c>
      <c r="AV306" s="22" t="s">
        <v>55</v>
      </c>
      <c r="AW306" s="22" t="s">
        <v>55</v>
      </c>
      <c r="AX306" s="22" t="s">
        <v>55</v>
      </c>
      <c r="AY306" s="22" t="s">
        <v>2035</v>
      </c>
    </row>
    <row r="307" spans="1:51" ht="174" x14ac:dyDescent="0.35">
      <c r="A307" s="22" t="s">
        <v>2047</v>
      </c>
      <c r="B307" s="22" t="s">
        <v>347</v>
      </c>
      <c r="C307" s="22" t="s">
        <v>51</v>
      </c>
      <c r="D307" s="22" t="s">
        <v>465</v>
      </c>
      <c r="E307" s="22" t="s">
        <v>52</v>
      </c>
      <c r="F307" s="22" t="s">
        <v>1532</v>
      </c>
      <c r="G307" s="22" t="s">
        <v>126</v>
      </c>
      <c r="H307" s="22" t="s">
        <v>138</v>
      </c>
      <c r="I307" s="22" t="s">
        <v>160</v>
      </c>
      <c r="J307" s="22" t="s">
        <v>2048</v>
      </c>
      <c r="K307" s="22" t="s">
        <v>558</v>
      </c>
      <c r="L307" s="22" t="s">
        <v>103</v>
      </c>
      <c r="M307" s="22" t="s">
        <v>1487</v>
      </c>
      <c r="N307" s="22" t="s">
        <v>1487</v>
      </c>
      <c r="O307" s="22" t="s">
        <v>2049</v>
      </c>
      <c r="P307" s="22" t="s">
        <v>2050</v>
      </c>
      <c r="Q307" s="22" t="s">
        <v>2051</v>
      </c>
      <c r="R307" s="22" t="s">
        <v>63</v>
      </c>
      <c r="S307" s="22" t="s">
        <v>2052</v>
      </c>
      <c r="T307" s="22" t="s">
        <v>2053</v>
      </c>
      <c r="U307" s="22" t="s">
        <v>63</v>
      </c>
      <c r="V307" s="23">
        <v>46022</v>
      </c>
      <c r="W307" s="22" t="s">
        <v>55</v>
      </c>
      <c r="X307" s="22" t="s">
        <v>2054</v>
      </c>
      <c r="Y307" s="22" t="s">
        <v>65</v>
      </c>
      <c r="Z307" s="22" t="s">
        <v>55</v>
      </c>
      <c r="AA307" s="22" t="s">
        <v>221</v>
      </c>
      <c r="AB307" s="22" t="s">
        <v>55</v>
      </c>
      <c r="AC307" s="22" t="s">
        <v>55</v>
      </c>
      <c r="AD307" s="22" t="s">
        <v>67</v>
      </c>
      <c r="AE307" s="22" t="s">
        <v>257</v>
      </c>
      <c r="AF307" s="22" t="s">
        <v>1488</v>
      </c>
      <c r="AG307" s="22" t="s">
        <v>55</v>
      </c>
      <c r="AH307" s="22" t="s">
        <v>55</v>
      </c>
      <c r="AI307" s="22" t="s">
        <v>55</v>
      </c>
      <c r="AJ307" s="22" t="s">
        <v>55</v>
      </c>
      <c r="AK307" s="22" t="s">
        <v>55</v>
      </c>
      <c r="AL307" s="22" t="s">
        <v>55</v>
      </c>
      <c r="AM307" s="22" t="s">
        <v>55</v>
      </c>
      <c r="AN307" s="22" t="s">
        <v>55</v>
      </c>
      <c r="AO307" s="22" t="s">
        <v>55</v>
      </c>
      <c r="AP307" s="22" t="s">
        <v>55</v>
      </c>
      <c r="AQ307" s="22" t="s">
        <v>55</v>
      </c>
      <c r="AR307" s="22" t="s">
        <v>55</v>
      </c>
      <c r="AS307" s="22" t="s">
        <v>55</v>
      </c>
      <c r="AT307" s="22" t="s">
        <v>55</v>
      </c>
      <c r="AU307" s="22" t="s">
        <v>55</v>
      </c>
      <c r="AV307" s="22" t="s">
        <v>55</v>
      </c>
      <c r="AW307" s="23">
        <v>45922</v>
      </c>
      <c r="AX307" s="23">
        <v>45965</v>
      </c>
      <c r="AY307" s="22" t="s">
        <v>2055</v>
      </c>
    </row>
    <row r="308" spans="1:51" ht="304.5" x14ac:dyDescent="0.35">
      <c r="A308" s="22" t="s">
        <v>2056</v>
      </c>
      <c r="B308" s="22" t="s">
        <v>347</v>
      </c>
      <c r="C308" s="22" t="s">
        <v>51</v>
      </c>
      <c r="D308" s="22" t="s">
        <v>465</v>
      </c>
      <c r="E308" s="22" t="s">
        <v>52</v>
      </c>
      <c r="F308" s="22" t="s">
        <v>1532</v>
      </c>
      <c r="G308" s="22" t="s">
        <v>126</v>
      </c>
      <c r="H308" s="22" t="s">
        <v>138</v>
      </c>
      <c r="I308" s="22" t="s">
        <v>119</v>
      </c>
      <c r="J308" s="22" t="s">
        <v>2057</v>
      </c>
      <c r="K308" s="22" t="s">
        <v>544</v>
      </c>
      <c r="L308" s="22" t="s">
        <v>57</v>
      </c>
      <c r="M308" s="22" t="s">
        <v>2058</v>
      </c>
      <c r="N308" s="22" t="s">
        <v>2058</v>
      </c>
      <c r="O308" s="22" t="s">
        <v>2049</v>
      </c>
      <c r="P308" s="22" t="s">
        <v>2059</v>
      </c>
      <c r="Q308" s="22" t="s">
        <v>2060</v>
      </c>
      <c r="R308" s="22" t="s">
        <v>63</v>
      </c>
      <c r="S308" s="22" t="s">
        <v>2061</v>
      </c>
      <c r="T308" s="22" t="s">
        <v>2062</v>
      </c>
      <c r="U308" s="22" t="s">
        <v>63</v>
      </c>
      <c r="V308" s="23">
        <v>46022</v>
      </c>
      <c r="W308" s="22" t="s">
        <v>55</v>
      </c>
      <c r="X308" s="22" t="s">
        <v>2063</v>
      </c>
      <c r="Y308" s="22" t="s">
        <v>65</v>
      </c>
      <c r="Z308" s="22" t="s">
        <v>55</v>
      </c>
      <c r="AA308" s="22" t="s">
        <v>221</v>
      </c>
      <c r="AB308" s="22" t="s">
        <v>55</v>
      </c>
      <c r="AC308" s="22" t="s">
        <v>55</v>
      </c>
      <c r="AD308" s="22" t="s">
        <v>67</v>
      </c>
      <c r="AE308" s="22" t="s">
        <v>257</v>
      </c>
      <c r="AF308" s="22" t="s">
        <v>100</v>
      </c>
      <c r="AG308" s="22" t="s">
        <v>55</v>
      </c>
      <c r="AH308" s="22" t="s">
        <v>55</v>
      </c>
      <c r="AI308" s="22" t="s">
        <v>55</v>
      </c>
      <c r="AJ308" s="22" t="s">
        <v>55</v>
      </c>
      <c r="AK308" s="22" t="s">
        <v>55</v>
      </c>
      <c r="AL308" s="22" t="s">
        <v>55</v>
      </c>
      <c r="AM308" s="22" t="s">
        <v>55</v>
      </c>
      <c r="AN308" s="22" t="s">
        <v>55</v>
      </c>
      <c r="AO308" s="22" t="s">
        <v>55</v>
      </c>
      <c r="AP308" s="22" t="s">
        <v>55</v>
      </c>
      <c r="AQ308" s="22" t="s">
        <v>55</v>
      </c>
      <c r="AR308" s="22" t="s">
        <v>55</v>
      </c>
      <c r="AS308" s="22" t="s">
        <v>55</v>
      </c>
      <c r="AT308" s="22" t="s">
        <v>55</v>
      </c>
      <c r="AU308" s="22" t="s">
        <v>55</v>
      </c>
      <c r="AV308" s="22" t="s">
        <v>55</v>
      </c>
      <c r="AW308" s="23">
        <v>45922</v>
      </c>
      <c r="AX308" s="23">
        <v>45965</v>
      </c>
      <c r="AY308" s="22" t="s">
        <v>2055</v>
      </c>
    </row>
    <row r="309" spans="1:51" ht="130.5" x14ac:dyDescent="0.35">
      <c r="A309" s="22" t="s">
        <v>2064</v>
      </c>
      <c r="B309" s="22" t="s">
        <v>347</v>
      </c>
      <c r="C309" s="22" t="s">
        <v>51</v>
      </c>
      <c r="D309" s="22" t="s">
        <v>465</v>
      </c>
      <c r="E309" s="22" t="s">
        <v>52</v>
      </c>
      <c r="F309" s="22" t="s">
        <v>1532</v>
      </c>
      <c r="G309" s="22" t="s">
        <v>126</v>
      </c>
      <c r="H309" s="22" t="s">
        <v>138</v>
      </c>
      <c r="I309" s="22" t="s">
        <v>119</v>
      </c>
      <c r="J309" s="22" t="s">
        <v>2065</v>
      </c>
      <c r="K309" s="22" t="s">
        <v>544</v>
      </c>
      <c r="L309" s="22" t="s">
        <v>57</v>
      </c>
      <c r="M309" s="22" t="s">
        <v>122</v>
      </c>
      <c r="N309" s="22" t="s">
        <v>122</v>
      </c>
      <c r="O309" s="22" t="s">
        <v>2049</v>
      </c>
      <c r="P309" s="22" t="s">
        <v>2066</v>
      </c>
      <c r="Q309" s="22" t="s">
        <v>2067</v>
      </c>
      <c r="R309" s="22" t="s">
        <v>63</v>
      </c>
      <c r="S309" s="22" t="s">
        <v>2068</v>
      </c>
      <c r="T309" s="22" t="s">
        <v>2069</v>
      </c>
      <c r="U309" s="22" t="s">
        <v>63</v>
      </c>
      <c r="V309" s="23">
        <v>46022</v>
      </c>
      <c r="W309" s="22" t="s">
        <v>55</v>
      </c>
      <c r="X309" s="22" t="s">
        <v>2070</v>
      </c>
      <c r="Y309" s="22" t="s">
        <v>65</v>
      </c>
      <c r="Z309" s="22" t="s">
        <v>55</v>
      </c>
      <c r="AA309" s="22" t="s">
        <v>221</v>
      </c>
      <c r="AB309" s="22" t="s">
        <v>55</v>
      </c>
      <c r="AC309" s="22" t="s">
        <v>55</v>
      </c>
      <c r="AD309" s="22" t="s">
        <v>67</v>
      </c>
      <c r="AE309" s="22" t="s">
        <v>257</v>
      </c>
      <c r="AF309" s="22" t="s">
        <v>123</v>
      </c>
      <c r="AG309" s="22" t="s">
        <v>55</v>
      </c>
      <c r="AH309" s="22" t="s">
        <v>55</v>
      </c>
      <c r="AI309" s="22" t="s">
        <v>55</v>
      </c>
      <c r="AJ309" s="22" t="s">
        <v>55</v>
      </c>
      <c r="AK309" s="22" t="s">
        <v>55</v>
      </c>
      <c r="AL309" s="22" t="s">
        <v>55</v>
      </c>
      <c r="AM309" s="22" t="s">
        <v>55</v>
      </c>
      <c r="AN309" s="22" t="s">
        <v>55</v>
      </c>
      <c r="AO309" s="22" t="s">
        <v>55</v>
      </c>
      <c r="AP309" s="22" t="s">
        <v>55</v>
      </c>
      <c r="AQ309" s="22" t="s">
        <v>55</v>
      </c>
      <c r="AR309" s="22" t="s">
        <v>55</v>
      </c>
      <c r="AS309" s="22" t="s">
        <v>55</v>
      </c>
      <c r="AT309" s="22" t="s">
        <v>55</v>
      </c>
      <c r="AU309" s="22" t="s">
        <v>55</v>
      </c>
      <c r="AV309" s="22" t="s">
        <v>55</v>
      </c>
      <c r="AW309" s="23">
        <v>45922</v>
      </c>
      <c r="AX309" s="23">
        <v>45965</v>
      </c>
      <c r="AY309" s="22" t="s">
        <v>2055</v>
      </c>
    </row>
    <row r="310" spans="1:51" ht="217.5" x14ac:dyDescent="0.35">
      <c r="A310" s="22" t="s">
        <v>2071</v>
      </c>
      <c r="B310" s="22" t="s">
        <v>347</v>
      </c>
      <c r="C310" s="22" t="s">
        <v>51</v>
      </c>
      <c r="D310" s="22" t="s">
        <v>465</v>
      </c>
      <c r="E310" s="22" t="s">
        <v>52</v>
      </c>
      <c r="F310" s="22" t="s">
        <v>1532</v>
      </c>
      <c r="G310" s="22" t="s">
        <v>126</v>
      </c>
      <c r="H310" s="22" t="s">
        <v>138</v>
      </c>
      <c r="I310" s="22" t="s">
        <v>121</v>
      </c>
      <c r="J310" s="22" t="s">
        <v>2072</v>
      </c>
      <c r="K310" s="22" t="s">
        <v>867</v>
      </c>
      <c r="L310" s="22" t="s">
        <v>57</v>
      </c>
      <c r="M310" s="22" t="s">
        <v>844</v>
      </c>
      <c r="N310" s="22" t="s">
        <v>844</v>
      </c>
      <c r="O310" s="22" t="s">
        <v>2049</v>
      </c>
      <c r="P310" s="22" t="s">
        <v>2073</v>
      </c>
      <c r="Q310" s="22" t="s">
        <v>2074</v>
      </c>
      <c r="R310" s="22" t="s">
        <v>63</v>
      </c>
      <c r="S310" s="22" t="s">
        <v>2075</v>
      </c>
      <c r="T310" s="22" t="s">
        <v>2076</v>
      </c>
      <c r="U310" s="22" t="s">
        <v>63</v>
      </c>
      <c r="V310" s="23">
        <v>45991</v>
      </c>
      <c r="W310" s="22" t="s">
        <v>55</v>
      </c>
      <c r="X310" s="22" t="s">
        <v>2077</v>
      </c>
      <c r="Y310" s="22" t="s">
        <v>65</v>
      </c>
      <c r="Z310" s="22" t="s">
        <v>55</v>
      </c>
      <c r="AA310" s="22" t="s">
        <v>152</v>
      </c>
      <c r="AB310" s="22" t="s">
        <v>55</v>
      </c>
      <c r="AC310" s="22" t="s">
        <v>55</v>
      </c>
      <c r="AD310" s="22" t="s">
        <v>67</v>
      </c>
      <c r="AE310" s="22" t="s">
        <v>257</v>
      </c>
      <c r="AF310" s="22" t="s">
        <v>583</v>
      </c>
      <c r="AG310" s="22" t="s">
        <v>55</v>
      </c>
      <c r="AH310" s="22" t="s">
        <v>55</v>
      </c>
      <c r="AI310" s="22" t="s">
        <v>55</v>
      </c>
      <c r="AJ310" s="22" t="s">
        <v>55</v>
      </c>
      <c r="AK310" s="22" t="s">
        <v>55</v>
      </c>
      <c r="AL310" s="22" t="s">
        <v>55</v>
      </c>
      <c r="AM310" s="22" t="s">
        <v>55</v>
      </c>
      <c r="AN310" s="22" t="s">
        <v>55</v>
      </c>
      <c r="AO310" s="22" t="s">
        <v>55</v>
      </c>
      <c r="AP310" s="22" t="s">
        <v>55</v>
      </c>
      <c r="AQ310" s="22" t="s">
        <v>55</v>
      </c>
      <c r="AR310" s="22" t="s">
        <v>55</v>
      </c>
      <c r="AS310" s="22" t="s">
        <v>55</v>
      </c>
      <c r="AT310" s="22" t="s">
        <v>55</v>
      </c>
      <c r="AU310" s="22" t="s">
        <v>55</v>
      </c>
      <c r="AV310" s="22" t="s">
        <v>55</v>
      </c>
      <c r="AW310" s="23">
        <v>45922</v>
      </c>
      <c r="AX310" s="23">
        <v>45965</v>
      </c>
      <c r="AY310" s="22" t="s">
        <v>2055</v>
      </c>
    </row>
    <row r="311" spans="1:51" ht="290" x14ac:dyDescent="0.35">
      <c r="A311" s="22" t="s">
        <v>2078</v>
      </c>
      <c r="B311" s="22" t="s">
        <v>347</v>
      </c>
      <c r="C311" s="22" t="s">
        <v>51</v>
      </c>
      <c r="D311" s="22" t="s">
        <v>465</v>
      </c>
      <c r="E311" s="22" t="s">
        <v>52</v>
      </c>
      <c r="F311" s="22" t="s">
        <v>1532</v>
      </c>
      <c r="G311" s="22" t="s">
        <v>126</v>
      </c>
      <c r="H311" s="22" t="s">
        <v>138</v>
      </c>
      <c r="I311" s="22" t="s">
        <v>121</v>
      </c>
      <c r="J311" s="22" t="s">
        <v>752</v>
      </c>
      <c r="K311" s="22" t="s">
        <v>868</v>
      </c>
      <c r="L311" s="22" t="s">
        <v>57</v>
      </c>
      <c r="M311" s="22" t="s">
        <v>2079</v>
      </c>
      <c r="N311" s="22" t="s">
        <v>2079</v>
      </c>
      <c r="O311" s="22" t="s">
        <v>2049</v>
      </c>
      <c r="P311" s="22" t="s">
        <v>2080</v>
      </c>
      <c r="Q311" s="22" t="s">
        <v>2081</v>
      </c>
      <c r="R311" s="22" t="s">
        <v>63</v>
      </c>
      <c r="S311" s="22" t="s">
        <v>2082</v>
      </c>
      <c r="T311" s="22" t="s">
        <v>2083</v>
      </c>
      <c r="U311" s="22" t="s">
        <v>63</v>
      </c>
      <c r="V311" s="23">
        <v>45961</v>
      </c>
      <c r="W311" s="22" t="s">
        <v>55</v>
      </c>
      <c r="X311" s="22" t="s">
        <v>2084</v>
      </c>
      <c r="Y311" s="22" t="s">
        <v>65</v>
      </c>
      <c r="Z311" s="22" t="s">
        <v>55</v>
      </c>
      <c r="AA311" s="22" t="s">
        <v>66</v>
      </c>
      <c r="AB311" s="22" t="s">
        <v>55</v>
      </c>
      <c r="AC311" s="22" t="s">
        <v>55</v>
      </c>
      <c r="AD311" s="22" t="s">
        <v>67</v>
      </c>
      <c r="AE311" s="22" t="s">
        <v>257</v>
      </c>
      <c r="AF311" s="22" t="s">
        <v>1382</v>
      </c>
      <c r="AG311" s="22" t="s">
        <v>55</v>
      </c>
      <c r="AH311" s="22" t="s">
        <v>55</v>
      </c>
      <c r="AI311" s="22" t="s">
        <v>55</v>
      </c>
      <c r="AJ311" s="22" t="s">
        <v>55</v>
      </c>
      <c r="AK311" s="22" t="s">
        <v>55</v>
      </c>
      <c r="AL311" s="22" t="s">
        <v>55</v>
      </c>
      <c r="AM311" s="22" t="s">
        <v>55</v>
      </c>
      <c r="AN311" s="22" t="s">
        <v>55</v>
      </c>
      <c r="AO311" s="22" t="s">
        <v>55</v>
      </c>
      <c r="AP311" s="22" t="s">
        <v>55</v>
      </c>
      <c r="AQ311" s="22" t="s">
        <v>55</v>
      </c>
      <c r="AR311" s="22" t="s">
        <v>55</v>
      </c>
      <c r="AS311" s="22" t="s">
        <v>55</v>
      </c>
      <c r="AT311" s="22" t="s">
        <v>55</v>
      </c>
      <c r="AU311" s="22" t="s">
        <v>55</v>
      </c>
      <c r="AV311" s="22" t="s">
        <v>55</v>
      </c>
      <c r="AW311" s="23">
        <v>45922</v>
      </c>
      <c r="AX311" s="23">
        <v>45965</v>
      </c>
      <c r="AY311" s="22" t="s">
        <v>2055</v>
      </c>
    </row>
    <row r="312" spans="1:51" ht="188.5" x14ac:dyDescent="0.35">
      <c r="A312" s="22" t="s">
        <v>2085</v>
      </c>
      <c r="B312" s="22" t="s">
        <v>347</v>
      </c>
      <c r="C312" s="22" t="s">
        <v>51</v>
      </c>
      <c r="D312" s="22" t="s">
        <v>465</v>
      </c>
      <c r="E312" s="22" t="s">
        <v>108</v>
      </c>
      <c r="F312" s="22" t="s">
        <v>2086</v>
      </c>
      <c r="G312" s="22" t="s">
        <v>493</v>
      </c>
      <c r="H312" s="22" t="s">
        <v>1729</v>
      </c>
      <c r="I312" s="22" t="s">
        <v>160</v>
      </c>
      <c r="J312" s="22" t="s">
        <v>649</v>
      </c>
      <c r="K312" s="22" t="s">
        <v>559</v>
      </c>
      <c r="L312" s="22" t="s">
        <v>103</v>
      </c>
      <c r="M312" s="22" t="s">
        <v>55</v>
      </c>
      <c r="N312" s="22" t="s">
        <v>55</v>
      </c>
      <c r="O312" s="22" t="s">
        <v>2087</v>
      </c>
      <c r="P312" s="22" t="s">
        <v>2088</v>
      </c>
      <c r="Q312" s="22" t="s">
        <v>2089</v>
      </c>
      <c r="R312" s="22" t="s">
        <v>132</v>
      </c>
      <c r="S312" s="22" t="s">
        <v>2090</v>
      </c>
      <c r="T312" s="22" t="s">
        <v>2091</v>
      </c>
      <c r="U312" s="22" t="s">
        <v>63</v>
      </c>
      <c r="V312" s="23">
        <v>45991</v>
      </c>
      <c r="W312" s="22" t="s">
        <v>55</v>
      </c>
      <c r="X312" s="22" t="s">
        <v>2092</v>
      </c>
      <c r="Y312" s="22" t="s">
        <v>65</v>
      </c>
      <c r="Z312" s="22" t="s">
        <v>55</v>
      </c>
      <c r="AA312" s="22" t="s">
        <v>152</v>
      </c>
      <c r="AB312" s="22" t="s">
        <v>55</v>
      </c>
      <c r="AC312" s="22" t="s">
        <v>55</v>
      </c>
      <c r="AD312" s="22" t="s">
        <v>67</v>
      </c>
      <c r="AE312" s="22" t="s">
        <v>257</v>
      </c>
      <c r="AF312" s="22" t="s">
        <v>55</v>
      </c>
      <c r="AG312" s="22" t="s">
        <v>55</v>
      </c>
      <c r="AH312" s="22" t="s">
        <v>55</v>
      </c>
      <c r="AI312" s="22" t="s">
        <v>55</v>
      </c>
      <c r="AJ312" s="22" t="s">
        <v>55</v>
      </c>
      <c r="AK312" s="22" t="s">
        <v>55</v>
      </c>
      <c r="AL312" s="22" t="s">
        <v>55</v>
      </c>
      <c r="AM312" s="22" t="s">
        <v>55</v>
      </c>
      <c r="AN312" s="22" t="s">
        <v>55</v>
      </c>
      <c r="AO312" s="22" t="s">
        <v>55</v>
      </c>
      <c r="AP312" s="22" t="s">
        <v>55</v>
      </c>
      <c r="AQ312" s="22" t="s">
        <v>55</v>
      </c>
      <c r="AR312" s="22" t="s">
        <v>55</v>
      </c>
      <c r="AS312" s="22" t="s">
        <v>55</v>
      </c>
      <c r="AT312" s="22" t="s">
        <v>55</v>
      </c>
      <c r="AU312" s="22" t="s">
        <v>55</v>
      </c>
      <c r="AV312" s="22" t="s">
        <v>55</v>
      </c>
      <c r="AW312" s="23">
        <v>45922</v>
      </c>
      <c r="AX312" s="23">
        <v>45967</v>
      </c>
      <c r="AY312" s="22" t="s">
        <v>2055</v>
      </c>
    </row>
    <row r="313" spans="1:51" ht="203" x14ac:dyDescent="0.35">
      <c r="A313" s="22" t="s">
        <v>2093</v>
      </c>
      <c r="B313" s="22" t="s">
        <v>347</v>
      </c>
      <c r="C313" s="22" t="s">
        <v>51</v>
      </c>
      <c r="D313" s="22" t="s">
        <v>465</v>
      </c>
      <c r="E313" s="22" t="s">
        <v>52</v>
      </c>
      <c r="F313" s="22" t="s">
        <v>2086</v>
      </c>
      <c r="G313" s="22" t="s">
        <v>493</v>
      </c>
      <c r="H313" s="22" t="s">
        <v>1729</v>
      </c>
      <c r="I313" s="22" t="s">
        <v>121</v>
      </c>
      <c r="J313" s="22" t="s">
        <v>2072</v>
      </c>
      <c r="K313" s="22" t="s">
        <v>867</v>
      </c>
      <c r="L313" s="22" t="s">
        <v>103</v>
      </c>
      <c r="M313" s="22" t="s">
        <v>844</v>
      </c>
      <c r="N313" s="22" t="s">
        <v>844</v>
      </c>
      <c r="O313" s="22" t="s">
        <v>2087</v>
      </c>
      <c r="P313" s="22" t="s">
        <v>2094</v>
      </c>
      <c r="Q313" s="22" t="s">
        <v>2095</v>
      </c>
      <c r="R313" s="22" t="s">
        <v>132</v>
      </c>
      <c r="S313" s="22" t="s">
        <v>2096</v>
      </c>
      <c r="T313" s="22" t="s">
        <v>2097</v>
      </c>
      <c r="U313" s="22" t="s">
        <v>63</v>
      </c>
      <c r="V313" s="23">
        <v>45991</v>
      </c>
      <c r="W313" s="22" t="s">
        <v>55</v>
      </c>
      <c r="X313" s="22" t="s">
        <v>2098</v>
      </c>
      <c r="Y313" s="22" t="s">
        <v>65</v>
      </c>
      <c r="Z313" s="22" t="s">
        <v>55</v>
      </c>
      <c r="AA313" s="22" t="s">
        <v>152</v>
      </c>
      <c r="AB313" s="22" t="s">
        <v>55</v>
      </c>
      <c r="AC313" s="22" t="s">
        <v>55</v>
      </c>
      <c r="AD313" s="22" t="s">
        <v>67</v>
      </c>
      <c r="AE313" s="22" t="s">
        <v>257</v>
      </c>
      <c r="AF313" s="22" t="s">
        <v>583</v>
      </c>
      <c r="AG313" s="22" t="s">
        <v>55</v>
      </c>
      <c r="AH313" s="22" t="s">
        <v>55</v>
      </c>
      <c r="AI313" s="22" t="s">
        <v>55</v>
      </c>
      <c r="AJ313" s="22" t="s">
        <v>55</v>
      </c>
      <c r="AK313" s="22" t="s">
        <v>55</v>
      </c>
      <c r="AL313" s="22" t="s">
        <v>55</v>
      </c>
      <c r="AM313" s="22" t="s">
        <v>55</v>
      </c>
      <c r="AN313" s="22" t="s">
        <v>55</v>
      </c>
      <c r="AO313" s="22" t="s">
        <v>55</v>
      </c>
      <c r="AP313" s="22" t="s">
        <v>55</v>
      </c>
      <c r="AQ313" s="22" t="s">
        <v>55</v>
      </c>
      <c r="AR313" s="22" t="s">
        <v>55</v>
      </c>
      <c r="AS313" s="22" t="s">
        <v>55</v>
      </c>
      <c r="AT313" s="22" t="s">
        <v>55</v>
      </c>
      <c r="AU313" s="22" t="s">
        <v>55</v>
      </c>
      <c r="AV313" s="22" t="s">
        <v>55</v>
      </c>
      <c r="AW313" s="23">
        <v>45922</v>
      </c>
      <c r="AX313" s="23">
        <v>45967</v>
      </c>
      <c r="AY313" s="22" t="s">
        <v>2055</v>
      </c>
    </row>
    <row r="314" spans="1:51" ht="275.5" x14ac:dyDescent="0.35">
      <c r="A314" s="22" t="s">
        <v>2099</v>
      </c>
      <c r="B314" s="22" t="s">
        <v>347</v>
      </c>
      <c r="C314" s="22" t="s">
        <v>51</v>
      </c>
      <c r="D314" s="22" t="s">
        <v>465</v>
      </c>
      <c r="E314" s="22" t="s">
        <v>52</v>
      </c>
      <c r="F314" s="22" t="s">
        <v>2086</v>
      </c>
      <c r="G314" s="22" t="s">
        <v>493</v>
      </c>
      <c r="H314" s="22" t="s">
        <v>1729</v>
      </c>
      <c r="I314" s="22" t="s">
        <v>101</v>
      </c>
      <c r="J314" s="22" t="s">
        <v>101</v>
      </c>
      <c r="K314" s="22" t="s">
        <v>561</v>
      </c>
      <c r="L314" s="22" t="s">
        <v>57</v>
      </c>
      <c r="M314" s="22" t="s">
        <v>2100</v>
      </c>
      <c r="N314" s="22" t="s">
        <v>2100</v>
      </c>
      <c r="O314" s="22" t="s">
        <v>2087</v>
      </c>
      <c r="P314" s="22" t="s">
        <v>2101</v>
      </c>
      <c r="Q314" s="22" t="s">
        <v>2102</v>
      </c>
      <c r="R314" s="22" t="s">
        <v>63</v>
      </c>
      <c r="S314" s="22" t="s">
        <v>2103</v>
      </c>
      <c r="T314" s="22" t="s">
        <v>2104</v>
      </c>
      <c r="U314" s="22" t="s">
        <v>63</v>
      </c>
      <c r="V314" s="23">
        <v>45991</v>
      </c>
      <c r="W314" s="22" t="s">
        <v>55</v>
      </c>
      <c r="X314" s="22" t="s">
        <v>2105</v>
      </c>
      <c r="Y314" s="22" t="s">
        <v>65</v>
      </c>
      <c r="Z314" s="22" t="s">
        <v>55</v>
      </c>
      <c r="AA314" s="22" t="s">
        <v>152</v>
      </c>
      <c r="AB314" s="22" t="s">
        <v>55</v>
      </c>
      <c r="AC314" s="22" t="s">
        <v>55</v>
      </c>
      <c r="AD314" s="22" t="s">
        <v>67</v>
      </c>
      <c r="AE314" s="22" t="s">
        <v>257</v>
      </c>
      <c r="AF314" s="22" t="s">
        <v>98</v>
      </c>
      <c r="AG314" s="22" t="s">
        <v>55</v>
      </c>
      <c r="AH314" s="22" t="s">
        <v>55</v>
      </c>
      <c r="AI314" s="22" t="s">
        <v>55</v>
      </c>
      <c r="AJ314" s="22" t="s">
        <v>55</v>
      </c>
      <c r="AK314" s="22" t="s">
        <v>55</v>
      </c>
      <c r="AL314" s="22" t="s">
        <v>55</v>
      </c>
      <c r="AM314" s="22" t="s">
        <v>55</v>
      </c>
      <c r="AN314" s="22" t="s">
        <v>55</v>
      </c>
      <c r="AO314" s="22" t="s">
        <v>55</v>
      </c>
      <c r="AP314" s="22" t="s">
        <v>55</v>
      </c>
      <c r="AQ314" s="22" t="s">
        <v>55</v>
      </c>
      <c r="AR314" s="22" t="s">
        <v>55</v>
      </c>
      <c r="AS314" s="22" t="s">
        <v>55</v>
      </c>
      <c r="AT314" s="22" t="s">
        <v>55</v>
      </c>
      <c r="AU314" s="22" t="s">
        <v>55</v>
      </c>
      <c r="AV314" s="22" t="s">
        <v>55</v>
      </c>
      <c r="AW314" s="23">
        <v>45922</v>
      </c>
      <c r="AX314" s="23">
        <v>45967</v>
      </c>
      <c r="AY314" s="22" t="s">
        <v>2055</v>
      </c>
    </row>
    <row r="315" spans="1:51" ht="188.5" x14ac:dyDescent="0.35">
      <c r="A315" s="22" t="s">
        <v>2106</v>
      </c>
      <c r="B315" s="22" t="s">
        <v>347</v>
      </c>
      <c r="C315" s="22" t="s">
        <v>51</v>
      </c>
      <c r="D315" s="22" t="s">
        <v>465</v>
      </c>
      <c r="E315" s="22" t="s">
        <v>108</v>
      </c>
      <c r="F315" s="22" t="s">
        <v>2086</v>
      </c>
      <c r="G315" s="22" t="s">
        <v>493</v>
      </c>
      <c r="H315" s="22" t="s">
        <v>1729</v>
      </c>
      <c r="I315" s="22" t="s">
        <v>56</v>
      </c>
      <c r="J315" s="22" t="s">
        <v>2107</v>
      </c>
      <c r="K315" s="22" t="s">
        <v>572</v>
      </c>
      <c r="L315" s="22" t="s">
        <v>57</v>
      </c>
      <c r="M315" s="22" t="s">
        <v>55</v>
      </c>
      <c r="N315" s="22" t="s">
        <v>55</v>
      </c>
      <c r="O315" s="22" t="s">
        <v>2087</v>
      </c>
      <c r="P315" s="22" t="s">
        <v>2108</v>
      </c>
      <c r="Q315" s="22" t="s">
        <v>2109</v>
      </c>
      <c r="R315" s="22" t="s">
        <v>63</v>
      </c>
      <c r="S315" s="22" t="s">
        <v>2110</v>
      </c>
      <c r="T315" s="22" t="s">
        <v>2111</v>
      </c>
      <c r="U315" s="22" t="s">
        <v>132</v>
      </c>
      <c r="V315" s="23">
        <v>45991</v>
      </c>
      <c r="W315" s="22" t="s">
        <v>55</v>
      </c>
      <c r="X315" s="22" t="s">
        <v>2112</v>
      </c>
      <c r="Y315" s="22" t="s">
        <v>65</v>
      </c>
      <c r="Z315" s="22" t="s">
        <v>55</v>
      </c>
      <c r="AA315" s="22" t="s">
        <v>152</v>
      </c>
      <c r="AB315" s="22" t="s">
        <v>55</v>
      </c>
      <c r="AC315" s="22" t="s">
        <v>55</v>
      </c>
      <c r="AD315" s="22" t="s">
        <v>67</v>
      </c>
      <c r="AE315" s="22" t="s">
        <v>257</v>
      </c>
      <c r="AF315" s="22" t="s">
        <v>55</v>
      </c>
      <c r="AG315" s="22" t="s">
        <v>55</v>
      </c>
      <c r="AH315" s="22" t="s">
        <v>55</v>
      </c>
      <c r="AI315" s="22" t="s">
        <v>55</v>
      </c>
      <c r="AJ315" s="22" t="s">
        <v>55</v>
      </c>
      <c r="AK315" s="22" t="s">
        <v>55</v>
      </c>
      <c r="AL315" s="22" t="s">
        <v>55</v>
      </c>
      <c r="AM315" s="22" t="s">
        <v>55</v>
      </c>
      <c r="AN315" s="22" t="s">
        <v>55</v>
      </c>
      <c r="AO315" s="22" t="s">
        <v>55</v>
      </c>
      <c r="AP315" s="22" t="s">
        <v>55</v>
      </c>
      <c r="AQ315" s="22" t="s">
        <v>55</v>
      </c>
      <c r="AR315" s="22" t="s">
        <v>55</v>
      </c>
      <c r="AS315" s="22" t="s">
        <v>55</v>
      </c>
      <c r="AT315" s="22" t="s">
        <v>55</v>
      </c>
      <c r="AU315" s="22" t="s">
        <v>55</v>
      </c>
      <c r="AV315" s="22" t="s">
        <v>55</v>
      </c>
      <c r="AW315" s="23">
        <v>45922</v>
      </c>
      <c r="AX315" s="23">
        <v>45967</v>
      </c>
      <c r="AY315" s="22" t="s">
        <v>2055</v>
      </c>
    </row>
    <row r="316" spans="1:51" ht="145" x14ac:dyDescent="0.35">
      <c r="A316" s="22" t="s">
        <v>2113</v>
      </c>
      <c r="B316" s="22" t="s">
        <v>347</v>
      </c>
      <c r="C316" s="22" t="s">
        <v>51</v>
      </c>
      <c r="D316" s="22" t="s">
        <v>465</v>
      </c>
      <c r="E316" s="22" t="s">
        <v>108</v>
      </c>
      <c r="F316" s="22" t="s">
        <v>2086</v>
      </c>
      <c r="G316" s="22" t="s">
        <v>493</v>
      </c>
      <c r="H316" s="22" t="s">
        <v>1729</v>
      </c>
      <c r="I316" s="22" t="s">
        <v>119</v>
      </c>
      <c r="J316" s="22" t="s">
        <v>2114</v>
      </c>
      <c r="K316" s="22" t="s">
        <v>552</v>
      </c>
      <c r="L316" s="22" t="s">
        <v>57</v>
      </c>
      <c r="M316" s="22" t="s">
        <v>55</v>
      </c>
      <c r="N316" s="22" t="s">
        <v>55</v>
      </c>
      <c r="O316" s="22" t="s">
        <v>2087</v>
      </c>
      <c r="P316" s="22" t="s">
        <v>2115</v>
      </c>
      <c r="Q316" s="22" t="s">
        <v>2116</v>
      </c>
      <c r="R316" s="22" t="s">
        <v>63</v>
      </c>
      <c r="S316" s="22" t="s">
        <v>2117</v>
      </c>
      <c r="T316" s="22" t="s">
        <v>2118</v>
      </c>
      <c r="U316" s="22" t="s">
        <v>63</v>
      </c>
      <c r="V316" s="23">
        <v>46112</v>
      </c>
      <c r="W316" s="22" t="s">
        <v>55</v>
      </c>
      <c r="X316" s="22" t="s">
        <v>2119</v>
      </c>
      <c r="Y316" s="22" t="s">
        <v>65</v>
      </c>
      <c r="Z316" s="22" t="s">
        <v>55</v>
      </c>
      <c r="AA316" s="22" t="s">
        <v>155</v>
      </c>
      <c r="AB316" s="22" t="s">
        <v>55</v>
      </c>
      <c r="AC316" s="22" t="s">
        <v>55</v>
      </c>
      <c r="AD316" s="22" t="s">
        <v>67</v>
      </c>
      <c r="AE316" s="22" t="s">
        <v>257</v>
      </c>
      <c r="AF316" s="22" t="s">
        <v>55</v>
      </c>
      <c r="AG316" s="22" t="s">
        <v>55</v>
      </c>
      <c r="AH316" s="22" t="s">
        <v>55</v>
      </c>
      <c r="AI316" s="22" t="s">
        <v>55</v>
      </c>
      <c r="AJ316" s="22" t="s">
        <v>55</v>
      </c>
      <c r="AK316" s="22" t="s">
        <v>55</v>
      </c>
      <c r="AL316" s="22" t="s">
        <v>55</v>
      </c>
      <c r="AM316" s="22" t="s">
        <v>55</v>
      </c>
      <c r="AN316" s="22" t="s">
        <v>55</v>
      </c>
      <c r="AO316" s="22" t="s">
        <v>55</v>
      </c>
      <c r="AP316" s="22" t="s">
        <v>55</v>
      </c>
      <c r="AQ316" s="22" t="s">
        <v>55</v>
      </c>
      <c r="AR316" s="22" t="s">
        <v>55</v>
      </c>
      <c r="AS316" s="22" t="s">
        <v>55</v>
      </c>
      <c r="AT316" s="22" t="s">
        <v>55</v>
      </c>
      <c r="AU316" s="22" t="s">
        <v>55</v>
      </c>
      <c r="AV316" s="22" t="s">
        <v>55</v>
      </c>
      <c r="AW316" s="23">
        <v>45922</v>
      </c>
      <c r="AX316" s="23">
        <v>45967</v>
      </c>
      <c r="AY316" s="22" t="s">
        <v>2055</v>
      </c>
    </row>
    <row r="317" spans="1:51" ht="188.5" x14ac:dyDescent="0.35">
      <c r="A317" s="22" t="s">
        <v>2120</v>
      </c>
      <c r="B317" s="22" t="s">
        <v>347</v>
      </c>
      <c r="C317" s="22" t="s">
        <v>51</v>
      </c>
      <c r="D317" s="22" t="s">
        <v>465</v>
      </c>
      <c r="E317" s="22" t="s">
        <v>108</v>
      </c>
      <c r="F317" s="22" t="s">
        <v>2086</v>
      </c>
      <c r="G317" s="22" t="s">
        <v>493</v>
      </c>
      <c r="H317" s="22" t="s">
        <v>1729</v>
      </c>
      <c r="I317" s="22" t="s">
        <v>109</v>
      </c>
      <c r="J317" s="22" t="s">
        <v>2121</v>
      </c>
      <c r="K317" s="22" t="s">
        <v>867</v>
      </c>
      <c r="L317" s="22" t="s">
        <v>57</v>
      </c>
      <c r="M317" s="22" t="s">
        <v>55</v>
      </c>
      <c r="N317" s="22" t="s">
        <v>55</v>
      </c>
      <c r="O317" s="22" t="s">
        <v>2087</v>
      </c>
      <c r="P317" s="22" t="s">
        <v>2122</v>
      </c>
      <c r="Q317" s="22" t="s">
        <v>2123</v>
      </c>
      <c r="R317" s="22" t="s">
        <v>63</v>
      </c>
      <c r="S317" s="22" t="s">
        <v>2124</v>
      </c>
      <c r="T317" s="22" t="s">
        <v>2125</v>
      </c>
      <c r="U317" s="22" t="s">
        <v>63</v>
      </c>
      <c r="V317" s="23">
        <v>45961</v>
      </c>
      <c r="W317" s="22" t="s">
        <v>55</v>
      </c>
      <c r="X317" s="22" t="s">
        <v>2126</v>
      </c>
      <c r="Y317" s="22" t="s">
        <v>65</v>
      </c>
      <c r="Z317" s="22" t="s">
        <v>55</v>
      </c>
      <c r="AA317" s="22" t="s">
        <v>66</v>
      </c>
      <c r="AB317" s="22" t="s">
        <v>55</v>
      </c>
      <c r="AC317" s="22" t="s">
        <v>55</v>
      </c>
      <c r="AD317" s="22" t="s">
        <v>67</v>
      </c>
      <c r="AE317" s="22" t="s">
        <v>257</v>
      </c>
      <c r="AF317" s="22" t="s">
        <v>55</v>
      </c>
      <c r="AG317" s="22" t="s">
        <v>55</v>
      </c>
      <c r="AH317" s="22" t="s">
        <v>55</v>
      </c>
      <c r="AI317" s="22" t="s">
        <v>55</v>
      </c>
      <c r="AJ317" s="22" t="s">
        <v>55</v>
      </c>
      <c r="AK317" s="22" t="s">
        <v>55</v>
      </c>
      <c r="AL317" s="22" t="s">
        <v>55</v>
      </c>
      <c r="AM317" s="22" t="s">
        <v>55</v>
      </c>
      <c r="AN317" s="22" t="s">
        <v>55</v>
      </c>
      <c r="AO317" s="22" t="s">
        <v>55</v>
      </c>
      <c r="AP317" s="22" t="s">
        <v>55</v>
      </c>
      <c r="AQ317" s="22" t="s">
        <v>55</v>
      </c>
      <c r="AR317" s="22" t="s">
        <v>55</v>
      </c>
      <c r="AS317" s="22" t="s">
        <v>55</v>
      </c>
      <c r="AT317" s="22" t="s">
        <v>55</v>
      </c>
      <c r="AU317" s="22" t="s">
        <v>55</v>
      </c>
      <c r="AV317" s="22" t="s">
        <v>55</v>
      </c>
      <c r="AW317" s="23">
        <v>45922</v>
      </c>
      <c r="AX317" s="23">
        <v>45967</v>
      </c>
      <c r="AY317" s="22" t="s">
        <v>2055</v>
      </c>
    </row>
    <row r="318" spans="1:51" ht="261" x14ac:dyDescent="0.35">
      <c r="A318" s="22" t="s">
        <v>2127</v>
      </c>
      <c r="B318" s="22" t="s">
        <v>347</v>
      </c>
      <c r="C318" s="22" t="s">
        <v>51</v>
      </c>
      <c r="D318" s="22" t="s">
        <v>465</v>
      </c>
      <c r="E318" s="22" t="s">
        <v>52</v>
      </c>
      <c r="F318" s="22" t="s">
        <v>2086</v>
      </c>
      <c r="G318" s="22" t="s">
        <v>493</v>
      </c>
      <c r="H318" s="22" t="s">
        <v>1729</v>
      </c>
      <c r="I318" s="22" t="s">
        <v>160</v>
      </c>
      <c r="J318" s="22" t="s">
        <v>2128</v>
      </c>
      <c r="K318" s="22" t="s">
        <v>572</v>
      </c>
      <c r="L318" s="22" t="s">
        <v>57</v>
      </c>
      <c r="M318" s="22" t="s">
        <v>1328</v>
      </c>
      <c r="N318" s="22" t="s">
        <v>1328</v>
      </c>
      <c r="O318" s="22" t="s">
        <v>2087</v>
      </c>
      <c r="P318" s="22" t="s">
        <v>2129</v>
      </c>
      <c r="Q318" s="22" t="s">
        <v>2130</v>
      </c>
      <c r="R318" s="22" t="s">
        <v>63</v>
      </c>
      <c r="S318" s="22" t="s">
        <v>2131</v>
      </c>
      <c r="T318" s="22" t="s">
        <v>2132</v>
      </c>
      <c r="U318" s="22" t="s">
        <v>63</v>
      </c>
      <c r="V318" s="23">
        <v>45991</v>
      </c>
      <c r="W318" s="22" t="s">
        <v>55</v>
      </c>
      <c r="X318" s="22" t="s">
        <v>2133</v>
      </c>
      <c r="Y318" s="22" t="s">
        <v>65</v>
      </c>
      <c r="Z318" s="22" t="s">
        <v>55</v>
      </c>
      <c r="AA318" s="22" t="s">
        <v>152</v>
      </c>
      <c r="AB318" s="22" t="s">
        <v>55</v>
      </c>
      <c r="AC318" s="22" t="s">
        <v>55</v>
      </c>
      <c r="AD318" s="22" t="s">
        <v>67</v>
      </c>
      <c r="AE318" s="22" t="s">
        <v>257</v>
      </c>
      <c r="AF318" s="22" t="s">
        <v>779</v>
      </c>
      <c r="AG318" s="22" t="s">
        <v>55</v>
      </c>
      <c r="AH318" s="22" t="s">
        <v>55</v>
      </c>
      <c r="AI318" s="22" t="s">
        <v>55</v>
      </c>
      <c r="AJ318" s="22" t="s">
        <v>55</v>
      </c>
      <c r="AK318" s="22" t="s">
        <v>55</v>
      </c>
      <c r="AL318" s="22" t="s">
        <v>55</v>
      </c>
      <c r="AM318" s="22" t="s">
        <v>55</v>
      </c>
      <c r="AN318" s="22" t="s">
        <v>55</v>
      </c>
      <c r="AO318" s="22" t="s">
        <v>55</v>
      </c>
      <c r="AP318" s="22" t="s">
        <v>55</v>
      </c>
      <c r="AQ318" s="22" t="s">
        <v>55</v>
      </c>
      <c r="AR318" s="22" t="s">
        <v>55</v>
      </c>
      <c r="AS318" s="22" t="s">
        <v>55</v>
      </c>
      <c r="AT318" s="22" t="s">
        <v>55</v>
      </c>
      <c r="AU318" s="22" t="s">
        <v>55</v>
      </c>
      <c r="AV318" s="22" t="s">
        <v>55</v>
      </c>
      <c r="AW318" s="23">
        <v>45922</v>
      </c>
      <c r="AX318" s="23">
        <v>45967</v>
      </c>
      <c r="AY318" s="22" t="s">
        <v>2055</v>
      </c>
    </row>
    <row r="319" spans="1:51" ht="217.5" x14ac:dyDescent="0.35">
      <c r="A319" s="22" t="s">
        <v>2134</v>
      </c>
      <c r="B319" s="22" t="s">
        <v>347</v>
      </c>
      <c r="C319" s="22" t="s">
        <v>51</v>
      </c>
      <c r="D319" s="22" t="s">
        <v>465</v>
      </c>
      <c r="E319" s="22" t="s">
        <v>52</v>
      </c>
      <c r="F319" s="22" t="s">
        <v>1715</v>
      </c>
      <c r="G319" s="22" t="s">
        <v>94</v>
      </c>
      <c r="H319" s="22" t="s">
        <v>162</v>
      </c>
      <c r="I319" s="22" t="s">
        <v>121</v>
      </c>
      <c r="J319" s="22" t="s">
        <v>2135</v>
      </c>
      <c r="K319" s="22" t="s">
        <v>564</v>
      </c>
      <c r="L319" s="22" t="s">
        <v>57</v>
      </c>
      <c r="M319" s="22" t="s">
        <v>154</v>
      </c>
      <c r="N319" s="22" t="s">
        <v>154</v>
      </c>
      <c r="O319" s="22" t="s">
        <v>2136</v>
      </c>
      <c r="P319" s="22" t="s">
        <v>2137</v>
      </c>
      <c r="Q319" s="22" t="s">
        <v>2138</v>
      </c>
      <c r="R319" s="22" t="s">
        <v>63</v>
      </c>
      <c r="S319" s="22" t="s">
        <v>2139</v>
      </c>
      <c r="T319" s="22" t="s">
        <v>2140</v>
      </c>
      <c r="U319" s="22" t="s">
        <v>63</v>
      </c>
      <c r="V319" s="23">
        <v>46006</v>
      </c>
      <c r="W319" s="22" t="s">
        <v>55</v>
      </c>
      <c r="X319" s="22" t="s">
        <v>2141</v>
      </c>
      <c r="Y319" s="22" t="s">
        <v>65</v>
      </c>
      <c r="Z319" s="22" t="s">
        <v>55</v>
      </c>
      <c r="AA319" s="22" t="s">
        <v>152</v>
      </c>
      <c r="AB319" s="22" t="s">
        <v>55</v>
      </c>
      <c r="AC319" s="22" t="s">
        <v>55</v>
      </c>
      <c r="AD319" s="22" t="s">
        <v>67</v>
      </c>
      <c r="AE319" s="22" t="s">
        <v>257</v>
      </c>
      <c r="AF319" s="22" t="s">
        <v>156</v>
      </c>
      <c r="AG319" s="22" t="s">
        <v>55</v>
      </c>
      <c r="AH319" s="22" t="s">
        <v>55</v>
      </c>
      <c r="AI319" s="22" t="s">
        <v>55</v>
      </c>
      <c r="AJ319" s="22" t="s">
        <v>55</v>
      </c>
      <c r="AK319" s="22" t="s">
        <v>55</v>
      </c>
      <c r="AL319" s="22" t="s">
        <v>55</v>
      </c>
      <c r="AM319" s="22" t="s">
        <v>55</v>
      </c>
      <c r="AN319" s="22" t="s">
        <v>55</v>
      </c>
      <c r="AO319" s="22" t="s">
        <v>55</v>
      </c>
      <c r="AP319" s="22" t="s">
        <v>55</v>
      </c>
      <c r="AQ319" s="22" t="s">
        <v>55</v>
      </c>
      <c r="AR319" s="22" t="s">
        <v>55</v>
      </c>
      <c r="AS319" s="22" t="s">
        <v>55</v>
      </c>
      <c r="AT319" s="22" t="s">
        <v>55</v>
      </c>
      <c r="AU319" s="22" t="s">
        <v>55</v>
      </c>
      <c r="AV319" s="22" t="s">
        <v>55</v>
      </c>
      <c r="AW319" s="23">
        <v>45807</v>
      </c>
      <c r="AX319" s="23">
        <v>45966</v>
      </c>
      <c r="AY319" s="22" t="s">
        <v>2055</v>
      </c>
    </row>
    <row r="320" spans="1:51" ht="232" x14ac:dyDescent="0.35">
      <c r="A320" s="22" t="s">
        <v>2142</v>
      </c>
      <c r="B320" s="22" t="s">
        <v>347</v>
      </c>
      <c r="C320" s="22" t="s">
        <v>51</v>
      </c>
      <c r="D320" s="22" t="s">
        <v>465</v>
      </c>
      <c r="E320" s="22" t="s">
        <v>108</v>
      </c>
      <c r="F320" s="22" t="s">
        <v>1715</v>
      </c>
      <c r="G320" s="22" t="s">
        <v>94</v>
      </c>
      <c r="H320" s="22" t="s">
        <v>162</v>
      </c>
      <c r="I320" s="22" t="s">
        <v>526</v>
      </c>
      <c r="J320" s="22" t="s">
        <v>1785</v>
      </c>
      <c r="K320" s="22" t="s">
        <v>868</v>
      </c>
      <c r="L320" s="22" t="s">
        <v>57</v>
      </c>
      <c r="M320" s="22" t="s">
        <v>55</v>
      </c>
      <c r="N320" s="22" t="s">
        <v>55</v>
      </c>
      <c r="O320" s="22" t="s">
        <v>2136</v>
      </c>
      <c r="P320" s="22" t="s">
        <v>2143</v>
      </c>
      <c r="Q320" s="22" t="s">
        <v>2144</v>
      </c>
      <c r="R320" s="22" t="s">
        <v>63</v>
      </c>
      <c r="S320" s="22" t="s">
        <v>2145</v>
      </c>
      <c r="T320" s="22" t="s">
        <v>2146</v>
      </c>
      <c r="U320" s="22" t="s">
        <v>63</v>
      </c>
      <c r="V320" s="23">
        <v>46112</v>
      </c>
      <c r="W320" s="22" t="s">
        <v>55</v>
      </c>
      <c r="X320" s="22" t="s">
        <v>2147</v>
      </c>
      <c r="Y320" s="22" t="s">
        <v>65</v>
      </c>
      <c r="Z320" s="22" t="s">
        <v>55</v>
      </c>
      <c r="AA320" s="22" t="s">
        <v>155</v>
      </c>
      <c r="AB320" s="22" t="s">
        <v>55</v>
      </c>
      <c r="AC320" s="22" t="s">
        <v>55</v>
      </c>
      <c r="AD320" s="22" t="s">
        <v>67</v>
      </c>
      <c r="AE320" s="22" t="s">
        <v>257</v>
      </c>
      <c r="AF320" s="22" t="s">
        <v>55</v>
      </c>
      <c r="AG320" s="22" t="s">
        <v>55</v>
      </c>
      <c r="AH320" s="22" t="s">
        <v>55</v>
      </c>
      <c r="AI320" s="22" t="s">
        <v>55</v>
      </c>
      <c r="AJ320" s="22" t="s">
        <v>55</v>
      </c>
      <c r="AK320" s="22" t="s">
        <v>55</v>
      </c>
      <c r="AL320" s="22" t="s">
        <v>55</v>
      </c>
      <c r="AM320" s="22" t="s">
        <v>55</v>
      </c>
      <c r="AN320" s="22" t="s">
        <v>55</v>
      </c>
      <c r="AO320" s="22" t="s">
        <v>55</v>
      </c>
      <c r="AP320" s="22" t="s">
        <v>55</v>
      </c>
      <c r="AQ320" s="22" t="s">
        <v>55</v>
      </c>
      <c r="AR320" s="22" t="s">
        <v>55</v>
      </c>
      <c r="AS320" s="22" t="s">
        <v>55</v>
      </c>
      <c r="AT320" s="22" t="s">
        <v>55</v>
      </c>
      <c r="AU320" s="22" t="s">
        <v>55</v>
      </c>
      <c r="AV320" s="22" t="s">
        <v>55</v>
      </c>
      <c r="AW320" s="23">
        <v>45807</v>
      </c>
      <c r="AX320" s="23">
        <v>45966</v>
      </c>
      <c r="AY320" s="22" t="s">
        <v>2055</v>
      </c>
    </row>
    <row r="321" spans="1:51" ht="174" x14ac:dyDescent="0.35">
      <c r="A321" s="22" t="s">
        <v>2148</v>
      </c>
      <c r="B321" s="22" t="s">
        <v>347</v>
      </c>
      <c r="C321" s="22" t="s">
        <v>51</v>
      </c>
      <c r="D321" s="22" t="s">
        <v>465</v>
      </c>
      <c r="E321" s="22" t="s">
        <v>108</v>
      </c>
      <c r="F321" s="22" t="s">
        <v>1715</v>
      </c>
      <c r="G321" s="22" t="s">
        <v>94</v>
      </c>
      <c r="H321" s="22" t="s">
        <v>162</v>
      </c>
      <c r="I321" s="22" t="s">
        <v>526</v>
      </c>
      <c r="J321" s="22" t="s">
        <v>1785</v>
      </c>
      <c r="K321" s="22" t="s">
        <v>868</v>
      </c>
      <c r="L321" s="22" t="s">
        <v>57</v>
      </c>
      <c r="M321" s="22" t="s">
        <v>55</v>
      </c>
      <c r="N321" s="22" t="s">
        <v>55</v>
      </c>
      <c r="O321" s="22" t="s">
        <v>2136</v>
      </c>
      <c r="P321" s="22" t="s">
        <v>2149</v>
      </c>
      <c r="Q321" s="22" t="s">
        <v>2150</v>
      </c>
      <c r="R321" s="22" t="s">
        <v>63</v>
      </c>
      <c r="S321" s="22" t="s">
        <v>2151</v>
      </c>
      <c r="T321" s="22" t="s">
        <v>2152</v>
      </c>
      <c r="U321" s="22" t="s">
        <v>63</v>
      </c>
      <c r="V321" s="23">
        <v>46068</v>
      </c>
      <c r="W321" s="22" t="s">
        <v>55</v>
      </c>
      <c r="X321" s="22" t="s">
        <v>2153</v>
      </c>
      <c r="Y321" s="22" t="s">
        <v>65</v>
      </c>
      <c r="Z321" s="22" t="s">
        <v>55</v>
      </c>
      <c r="AA321" s="22" t="s">
        <v>155</v>
      </c>
      <c r="AB321" s="22" t="s">
        <v>55</v>
      </c>
      <c r="AC321" s="22" t="s">
        <v>55</v>
      </c>
      <c r="AD321" s="22" t="s">
        <v>67</v>
      </c>
      <c r="AE321" s="22" t="s">
        <v>257</v>
      </c>
      <c r="AF321" s="22" t="s">
        <v>55</v>
      </c>
      <c r="AG321" s="22" t="s">
        <v>55</v>
      </c>
      <c r="AH321" s="22" t="s">
        <v>55</v>
      </c>
      <c r="AI321" s="22" t="s">
        <v>55</v>
      </c>
      <c r="AJ321" s="22" t="s">
        <v>55</v>
      </c>
      <c r="AK321" s="22" t="s">
        <v>55</v>
      </c>
      <c r="AL321" s="22" t="s">
        <v>55</v>
      </c>
      <c r="AM321" s="22" t="s">
        <v>55</v>
      </c>
      <c r="AN321" s="22" t="s">
        <v>55</v>
      </c>
      <c r="AO321" s="22" t="s">
        <v>55</v>
      </c>
      <c r="AP321" s="22" t="s">
        <v>55</v>
      </c>
      <c r="AQ321" s="22" t="s">
        <v>55</v>
      </c>
      <c r="AR321" s="22" t="s">
        <v>55</v>
      </c>
      <c r="AS321" s="22" t="s">
        <v>55</v>
      </c>
      <c r="AT321" s="22" t="s">
        <v>55</v>
      </c>
      <c r="AU321" s="22" t="s">
        <v>55</v>
      </c>
      <c r="AV321" s="22" t="s">
        <v>55</v>
      </c>
      <c r="AW321" s="23">
        <v>45807</v>
      </c>
      <c r="AX321" s="23">
        <v>45966</v>
      </c>
      <c r="AY321" s="22" t="s">
        <v>2055</v>
      </c>
    </row>
    <row r="322" spans="1:51" ht="130.5" x14ac:dyDescent="0.35">
      <c r="A322" s="22" t="s">
        <v>2154</v>
      </c>
      <c r="B322" s="22" t="s">
        <v>347</v>
      </c>
      <c r="C322" s="22" t="s">
        <v>588</v>
      </c>
      <c r="D322" s="22" t="s">
        <v>118</v>
      </c>
      <c r="E322" s="22" t="s">
        <v>52</v>
      </c>
      <c r="F322" s="22" t="s">
        <v>1644</v>
      </c>
      <c r="G322" s="22" t="s">
        <v>54</v>
      </c>
      <c r="H322" s="22" t="s">
        <v>1728</v>
      </c>
      <c r="I322" s="22" t="s">
        <v>526</v>
      </c>
      <c r="J322" s="22" t="s">
        <v>153</v>
      </c>
      <c r="K322" s="22" t="s">
        <v>589</v>
      </c>
      <c r="L322" s="22" t="s">
        <v>57</v>
      </c>
      <c r="M322" s="22" t="s">
        <v>258</v>
      </c>
      <c r="N322" s="22" t="s">
        <v>55</v>
      </c>
      <c r="O322" s="22" t="s">
        <v>2155</v>
      </c>
      <c r="P322" s="22" t="s">
        <v>2156</v>
      </c>
      <c r="Q322" s="22" t="s">
        <v>2157</v>
      </c>
      <c r="R322" s="22" t="s">
        <v>55</v>
      </c>
      <c r="S322" s="22" t="s">
        <v>2158</v>
      </c>
      <c r="T322" s="22" t="s">
        <v>2159</v>
      </c>
      <c r="U322" s="22" t="s">
        <v>55</v>
      </c>
      <c r="V322" s="23">
        <v>45961</v>
      </c>
      <c r="W322" s="22" t="s">
        <v>55</v>
      </c>
      <c r="X322" s="22" t="s">
        <v>2160</v>
      </c>
      <c r="Y322" s="22" t="s">
        <v>65</v>
      </c>
      <c r="Z322" s="22" t="s">
        <v>55</v>
      </c>
      <c r="AA322" s="22" t="s">
        <v>66</v>
      </c>
      <c r="AB322" s="22" t="s">
        <v>55</v>
      </c>
      <c r="AC322" s="22" t="s">
        <v>55</v>
      </c>
      <c r="AD322" s="22" t="s">
        <v>67</v>
      </c>
      <c r="AE322" s="22" t="s">
        <v>97</v>
      </c>
      <c r="AF322" s="22" t="s">
        <v>226</v>
      </c>
      <c r="AG322" s="22" t="s">
        <v>55</v>
      </c>
      <c r="AH322" s="22" t="s">
        <v>55</v>
      </c>
      <c r="AI322" s="22" t="s">
        <v>55</v>
      </c>
      <c r="AJ322" s="22" t="s">
        <v>55</v>
      </c>
      <c r="AK322" s="22" t="s">
        <v>55</v>
      </c>
      <c r="AL322" s="22" t="s">
        <v>55</v>
      </c>
      <c r="AM322" s="22" t="s">
        <v>55</v>
      </c>
      <c r="AN322" s="22" t="s">
        <v>55</v>
      </c>
      <c r="AO322" s="22" t="s">
        <v>55</v>
      </c>
      <c r="AP322" s="22" t="s">
        <v>55</v>
      </c>
      <c r="AQ322" s="22" t="s">
        <v>55</v>
      </c>
      <c r="AR322" s="22" t="s">
        <v>55</v>
      </c>
      <c r="AS322" s="22" t="s">
        <v>55</v>
      </c>
      <c r="AT322" s="22" t="s">
        <v>55</v>
      </c>
      <c r="AU322" s="22" t="s">
        <v>55</v>
      </c>
      <c r="AV322" s="22" t="s">
        <v>55</v>
      </c>
      <c r="AW322" s="23">
        <v>45919</v>
      </c>
      <c r="AX322" s="23">
        <v>45919</v>
      </c>
      <c r="AY322" s="22" t="s">
        <v>2161</v>
      </c>
    </row>
    <row r="323" spans="1:51" ht="72.5" x14ac:dyDescent="0.35">
      <c r="A323" s="22" t="s">
        <v>2162</v>
      </c>
      <c r="B323" s="22" t="s">
        <v>347</v>
      </c>
      <c r="C323" s="22" t="s">
        <v>588</v>
      </c>
      <c r="D323" s="22" t="s">
        <v>118</v>
      </c>
      <c r="E323" s="22" t="s">
        <v>52</v>
      </c>
      <c r="F323" s="22" t="s">
        <v>1644</v>
      </c>
      <c r="G323" s="22" t="s">
        <v>54</v>
      </c>
      <c r="H323" s="22" t="s">
        <v>1728</v>
      </c>
      <c r="I323" s="22" t="s">
        <v>117</v>
      </c>
      <c r="J323" s="22" t="s">
        <v>153</v>
      </c>
      <c r="K323" s="22" t="s">
        <v>572</v>
      </c>
      <c r="L323" s="22" t="s">
        <v>57</v>
      </c>
      <c r="M323" s="22" t="s">
        <v>128</v>
      </c>
      <c r="N323" s="22" t="s">
        <v>55</v>
      </c>
      <c r="O323" s="22" t="s">
        <v>2155</v>
      </c>
      <c r="P323" s="22" t="s">
        <v>2163</v>
      </c>
      <c r="Q323" s="22" t="s">
        <v>2164</v>
      </c>
      <c r="R323" s="22" t="s">
        <v>55</v>
      </c>
      <c r="S323" s="22" t="s">
        <v>2165</v>
      </c>
      <c r="T323" s="22" t="s">
        <v>2166</v>
      </c>
      <c r="U323" s="22" t="s">
        <v>55</v>
      </c>
      <c r="V323" s="23">
        <v>45961</v>
      </c>
      <c r="W323" s="22" t="s">
        <v>55</v>
      </c>
      <c r="X323" s="22" t="s">
        <v>2160</v>
      </c>
      <c r="Y323" s="22" t="s">
        <v>65</v>
      </c>
      <c r="Z323" s="22" t="s">
        <v>55</v>
      </c>
      <c r="AA323" s="22" t="s">
        <v>66</v>
      </c>
      <c r="AB323" s="22" t="s">
        <v>55</v>
      </c>
      <c r="AC323" s="22" t="s">
        <v>55</v>
      </c>
      <c r="AD323" s="22" t="s">
        <v>67</v>
      </c>
      <c r="AE323" s="22" t="s">
        <v>97</v>
      </c>
      <c r="AF323" s="22" t="s">
        <v>69</v>
      </c>
      <c r="AG323" s="22" t="s">
        <v>55</v>
      </c>
      <c r="AH323" s="22" t="s">
        <v>55</v>
      </c>
      <c r="AI323" s="22" t="s">
        <v>55</v>
      </c>
      <c r="AJ323" s="22" t="s">
        <v>55</v>
      </c>
      <c r="AK323" s="22" t="s">
        <v>55</v>
      </c>
      <c r="AL323" s="22" t="s">
        <v>55</v>
      </c>
      <c r="AM323" s="22" t="s">
        <v>55</v>
      </c>
      <c r="AN323" s="22" t="s">
        <v>55</v>
      </c>
      <c r="AO323" s="22" t="s">
        <v>55</v>
      </c>
      <c r="AP323" s="22" t="s">
        <v>55</v>
      </c>
      <c r="AQ323" s="22" t="s">
        <v>55</v>
      </c>
      <c r="AR323" s="22" t="s">
        <v>55</v>
      </c>
      <c r="AS323" s="22" t="s">
        <v>55</v>
      </c>
      <c r="AT323" s="22" t="s">
        <v>55</v>
      </c>
      <c r="AU323" s="22" t="s">
        <v>55</v>
      </c>
      <c r="AV323" s="22" t="s">
        <v>55</v>
      </c>
      <c r="AW323" s="23">
        <v>45919</v>
      </c>
      <c r="AX323" s="23">
        <v>45919</v>
      </c>
      <c r="AY323" s="22" t="s">
        <v>2161</v>
      </c>
    </row>
    <row r="324" spans="1:51" ht="362.5" x14ac:dyDescent="0.35">
      <c r="A324" s="22" t="s">
        <v>2167</v>
      </c>
      <c r="B324" s="22" t="s">
        <v>347</v>
      </c>
      <c r="C324" s="22" t="s">
        <v>588</v>
      </c>
      <c r="D324" s="22" t="s">
        <v>118</v>
      </c>
      <c r="E324" s="22" t="s">
        <v>52</v>
      </c>
      <c r="F324" s="22" t="s">
        <v>1644</v>
      </c>
      <c r="G324" s="22" t="s">
        <v>54</v>
      </c>
      <c r="H324" s="22" t="s">
        <v>1728</v>
      </c>
      <c r="I324" s="22" t="s">
        <v>2168</v>
      </c>
      <c r="J324" s="22" t="s">
        <v>153</v>
      </c>
      <c r="K324" s="22" t="s">
        <v>572</v>
      </c>
      <c r="L324" s="22" t="s">
        <v>57</v>
      </c>
      <c r="M324" s="22" t="s">
        <v>58</v>
      </c>
      <c r="N324" s="22" t="s">
        <v>55</v>
      </c>
      <c r="O324" s="22" t="s">
        <v>2155</v>
      </c>
      <c r="P324" s="22" t="s">
        <v>2169</v>
      </c>
      <c r="Q324" s="22" t="s">
        <v>2170</v>
      </c>
      <c r="R324" s="22" t="s">
        <v>55</v>
      </c>
      <c r="S324" s="22" t="s">
        <v>2171</v>
      </c>
      <c r="T324" s="22" t="s">
        <v>2172</v>
      </c>
      <c r="U324" s="22" t="s">
        <v>55</v>
      </c>
      <c r="V324" s="23">
        <v>45961</v>
      </c>
      <c r="W324" s="22" t="s">
        <v>55</v>
      </c>
      <c r="X324" s="22" t="s">
        <v>2160</v>
      </c>
      <c r="Y324" s="22" t="s">
        <v>65</v>
      </c>
      <c r="Z324" s="22" t="s">
        <v>55</v>
      </c>
      <c r="AA324" s="22" t="s">
        <v>66</v>
      </c>
      <c r="AB324" s="22" t="s">
        <v>55</v>
      </c>
      <c r="AC324" s="22" t="s">
        <v>55</v>
      </c>
      <c r="AD324" s="22" t="s">
        <v>67</v>
      </c>
      <c r="AE324" s="22" t="s">
        <v>97</v>
      </c>
      <c r="AF324" s="22" t="s">
        <v>69</v>
      </c>
      <c r="AG324" s="22" t="s">
        <v>55</v>
      </c>
      <c r="AH324" s="22" t="s">
        <v>55</v>
      </c>
      <c r="AI324" s="22" t="s">
        <v>55</v>
      </c>
      <c r="AJ324" s="22" t="s">
        <v>55</v>
      </c>
      <c r="AK324" s="22" t="s">
        <v>55</v>
      </c>
      <c r="AL324" s="22" t="s">
        <v>55</v>
      </c>
      <c r="AM324" s="22" t="s">
        <v>55</v>
      </c>
      <c r="AN324" s="22" t="s">
        <v>55</v>
      </c>
      <c r="AO324" s="22" t="s">
        <v>55</v>
      </c>
      <c r="AP324" s="22" t="s">
        <v>55</v>
      </c>
      <c r="AQ324" s="22" t="s">
        <v>55</v>
      </c>
      <c r="AR324" s="22" t="s">
        <v>55</v>
      </c>
      <c r="AS324" s="22" t="s">
        <v>55</v>
      </c>
      <c r="AT324" s="22" t="s">
        <v>55</v>
      </c>
      <c r="AU324" s="22" t="s">
        <v>55</v>
      </c>
      <c r="AV324" s="22" t="s">
        <v>55</v>
      </c>
      <c r="AW324" s="23">
        <v>45919</v>
      </c>
      <c r="AX324" s="23">
        <v>45919</v>
      </c>
      <c r="AY324" s="22" t="s">
        <v>2161</v>
      </c>
    </row>
    <row r="325" spans="1:51" ht="145" x14ac:dyDescent="0.35">
      <c r="A325" s="22" t="s">
        <v>2173</v>
      </c>
      <c r="B325" s="22" t="s">
        <v>347</v>
      </c>
      <c r="C325" s="22" t="s">
        <v>588</v>
      </c>
      <c r="D325" s="22" t="s">
        <v>118</v>
      </c>
      <c r="E325" s="22" t="s">
        <v>52</v>
      </c>
      <c r="F325" s="22" t="s">
        <v>1136</v>
      </c>
      <c r="G325" s="22" t="s">
        <v>126</v>
      </c>
      <c r="H325" s="22" t="s">
        <v>1137</v>
      </c>
      <c r="I325" s="22" t="s">
        <v>526</v>
      </c>
      <c r="J325" s="22" t="s">
        <v>153</v>
      </c>
      <c r="K325" s="22" t="s">
        <v>572</v>
      </c>
      <c r="L325" s="22" t="s">
        <v>57</v>
      </c>
      <c r="M325" s="22" t="s">
        <v>58</v>
      </c>
      <c r="N325" s="22" t="s">
        <v>55</v>
      </c>
      <c r="O325" s="22" t="s">
        <v>2174</v>
      </c>
      <c r="P325" s="22" t="s">
        <v>2175</v>
      </c>
      <c r="Q325" s="22" t="s">
        <v>2176</v>
      </c>
      <c r="R325" s="22" t="s">
        <v>55</v>
      </c>
      <c r="S325" s="22" t="s">
        <v>2177</v>
      </c>
      <c r="T325" s="22" t="s">
        <v>2178</v>
      </c>
      <c r="U325" s="22" t="s">
        <v>55</v>
      </c>
      <c r="V325" s="23">
        <v>46020</v>
      </c>
      <c r="W325" s="22" t="s">
        <v>55</v>
      </c>
      <c r="X325" s="22" t="s">
        <v>2179</v>
      </c>
      <c r="Y325" s="22" t="s">
        <v>65</v>
      </c>
      <c r="Z325" s="22" t="s">
        <v>55</v>
      </c>
      <c r="AA325" s="22" t="s">
        <v>221</v>
      </c>
      <c r="AB325" s="22" t="s">
        <v>55</v>
      </c>
      <c r="AC325" s="22" t="s">
        <v>55</v>
      </c>
      <c r="AD325" s="22" t="s">
        <v>67</v>
      </c>
      <c r="AE325" s="22" t="s">
        <v>97</v>
      </c>
      <c r="AF325" s="22" t="s">
        <v>69</v>
      </c>
      <c r="AG325" s="22" t="s">
        <v>55</v>
      </c>
      <c r="AH325" s="22" t="s">
        <v>55</v>
      </c>
      <c r="AI325" s="22" t="s">
        <v>55</v>
      </c>
      <c r="AJ325" s="22" t="s">
        <v>55</v>
      </c>
      <c r="AK325" s="22" t="s">
        <v>55</v>
      </c>
      <c r="AL325" s="22" t="s">
        <v>55</v>
      </c>
      <c r="AM325" s="22" t="s">
        <v>55</v>
      </c>
      <c r="AN325" s="22" t="s">
        <v>55</v>
      </c>
      <c r="AO325" s="22" t="s">
        <v>55</v>
      </c>
      <c r="AP325" s="22" t="s">
        <v>55</v>
      </c>
      <c r="AQ325" s="22" t="s">
        <v>55</v>
      </c>
      <c r="AR325" s="22" t="s">
        <v>55</v>
      </c>
      <c r="AS325" s="22" t="s">
        <v>55</v>
      </c>
      <c r="AT325" s="22" t="s">
        <v>55</v>
      </c>
      <c r="AU325" s="22" t="s">
        <v>55</v>
      </c>
      <c r="AV325" s="22" t="s">
        <v>55</v>
      </c>
      <c r="AW325" s="23">
        <v>45917</v>
      </c>
      <c r="AX325" s="23">
        <v>45917</v>
      </c>
      <c r="AY325" s="22" t="s">
        <v>2161</v>
      </c>
    </row>
    <row r="326" spans="1:51" ht="72.5" x14ac:dyDescent="0.35">
      <c r="A326" s="22" t="s">
        <v>2180</v>
      </c>
      <c r="B326" s="22" t="s">
        <v>347</v>
      </c>
      <c r="C326" s="22" t="s">
        <v>588</v>
      </c>
      <c r="D326" s="22" t="s">
        <v>118</v>
      </c>
      <c r="E326" s="22" t="s">
        <v>52</v>
      </c>
      <c r="F326" s="22" t="s">
        <v>2030</v>
      </c>
      <c r="G326" s="22" t="s">
        <v>126</v>
      </c>
      <c r="H326" s="22" t="s">
        <v>157</v>
      </c>
      <c r="I326" s="22" t="s">
        <v>121</v>
      </c>
      <c r="J326" s="22" t="s">
        <v>562</v>
      </c>
      <c r="K326" s="22" t="s">
        <v>594</v>
      </c>
      <c r="L326" s="22" t="s">
        <v>103</v>
      </c>
      <c r="M326" s="22" t="s">
        <v>96</v>
      </c>
      <c r="N326" s="22" t="s">
        <v>55</v>
      </c>
      <c r="O326" s="22" t="s">
        <v>2181</v>
      </c>
      <c r="P326" s="22" t="s">
        <v>2182</v>
      </c>
      <c r="Q326" s="22" t="s">
        <v>2183</v>
      </c>
      <c r="R326" s="22" t="s">
        <v>55</v>
      </c>
      <c r="S326" s="22" t="s">
        <v>2184</v>
      </c>
      <c r="T326" s="22" t="s">
        <v>2185</v>
      </c>
      <c r="U326" s="22" t="s">
        <v>63</v>
      </c>
      <c r="V326" s="23">
        <v>46053</v>
      </c>
      <c r="W326" s="22" t="s">
        <v>55</v>
      </c>
      <c r="X326" s="22" t="s">
        <v>2186</v>
      </c>
      <c r="Y326" s="22" t="s">
        <v>65</v>
      </c>
      <c r="Z326" s="22" t="s">
        <v>55</v>
      </c>
      <c r="AA326" s="22" t="s">
        <v>155</v>
      </c>
      <c r="AB326" s="22" t="s">
        <v>55</v>
      </c>
      <c r="AC326" s="22" t="s">
        <v>55</v>
      </c>
      <c r="AD326" s="22" t="s">
        <v>67</v>
      </c>
      <c r="AE326" s="22" t="s">
        <v>97</v>
      </c>
      <c r="AF326" s="22" t="s">
        <v>98</v>
      </c>
      <c r="AG326" s="22" t="s">
        <v>55</v>
      </c>
      <c r="AH326" s="22" t="s">
        <v>55</v>
      </c>
      <c r="AI326" s="22" t="s">
        <v>55</v>
      </c>
      <c r="AJ326" s="22" t="s">
        <v>55</v>
      </c>
      <c r="AK326" s="22" t="s">
        <v>55</v>
      </c>
      <c r="AL326" s="22" t="s">
        <v>55</v>
      </c>
      <c r="AM326" s="22" t="s">
        <v>55</v>
      </c>
      <c r="AN326" s="22" t="s">
        <v>55</v>
      </c>
      <c r="AO326" s="22" t="s">
        <v>55</v>
      </c>
      <c r="AP326" s="22" t="s">
        <v>55</v>
      </c>
      <c r="AQ326" s="22" t="s">
        <v>55</v>
      </c>
      <c r="AR326" s="22" t="s">
        <v>55</v>
      </c>
      <c r="AS326" s="22" t="s">
        <v>55</v>
      </c>
      <c r="AT326" s="22" t="s">
        <v>55</v>
      </c>
      <c r="AU326" s="22" t="s">
        <v>55</v>
      </c>
      <c r="AV326" s="22" t="s">
        <v>55</v>
      </c>
      <c r="AW326" s="23">
        <v>45938</v>
      </c>
      <c r="AX326" s="23">
        <v>45939</v>
      </c>
      <c r="AY326" s="22" t="s">
        <v>2161</v>
      </c>
    </row>
    <row r="327" spans="1:51" ht="72.5" x14ac:dyDescent="0.35">
      <c r="A327" s="22" t="s">
        <v>2187</v>
      </c>
      <c r="B327" s="22" t="s">
        <v>347</v>
      </c>
      <c r="C327" s="22" t="s">
        <v>588</v>
      </c>
      <c r="D327" s="22" t="s">
        <v>118</v>
      </c>
      <c r="E327" s="22" t="s">
        <v>52</v>
      </c>
      <c r="F327" s="22" t="s">
        <v>2030</v>
      </c>
      <c r="G327" s="22" t="s">
        <v>126</v>
      </c>
      <c r="H327" s="22" t="s">
        <v>157</v>
      </c>
      <c r="I327" s="22" t="s">
        <v>119</v>
      </c>
      <c r="J327" s="22" t="s">
        <v>2188</v>
      </c>
      <c r="K327" s="22" t="s">
        <v>544</v>
      </c>
      <c r="L327" s="22" t="s">
        <v>57</v>
      </c>
      <c r="M327" s="22" t="s">
        <v>1386</v>
      </c>
      <c r="N327" s="22" t="s">
        <v>55</v>
      </c>
      <c r="O327" s="22" t="s">
        <v>2181</v>
      </c>
      <c r="P327" s="22" t="s">
        <v>2189</v>
      </c>
      <c r="Q327" s="22" t="s">
        <v>2190</v>
      </c>
      <c r="R327" s="22" t="s">
        <v>55</v>
      </c>
      <c r="S327" s="22" t="s">
        <v>2191</v>
      </c>
      <c r="T327" s="22" t="s">
        <v>2192</v>
      </c>
      <c r="U327" s="22" t="s">
        <v>63</v>
      </c>
      <c r="V327" s="23">
        <v>45991</v>
      </c>
      <c r="W327" s="22" t="s">
        <v>55</v>
      </c>
      <c r="X327" s="22" t="s">
        <v>2186</v>
      </c>
      <c r="Y327" s="22" t="s">
        <v>65</v>
      </c>
      <c r="Z327" s="22" t="s">
        <v>55</v>
      </c>
      <c r="AA327" s="22" t="s">
        <v>152</v>
      </c>
      <c r="AB327" s="22" t="s">
        <v>55</v>
      </c>
      <c r="AC327" s="22" t="s">
        <v>55</v>
      </c>
      <c r="AD327" s="22" t="s">
        <v>67</v>
      </c>
      <c r="AE327" s="22" t="s">
        <v>97</v>
      </c>
      <c r="AF327" s="22" t="s">
        <v>1238</v>
      </c>
      <c r="AG327" s="22" t="s">
        <v>55</v>
      </c>
      <c r="AH327" s="22" t="s">
        <v>55</v>
      </c>
      <c r="AI327" s="22" t="s">
        <v>55</v>
      </c>
      <c r="AJ327" s="22" t="s">
        <v>55</v>
      </c>
      <c r="AK327" s="22" t="s">
        <v>55</v>
      </c>
      <c r="AL327" s="22" t="s">
        <v>55</v>
      </c>
      <c r="AM327" s="22" t="s">
        <v>55</v>
      </c>
      <c r="AN327" s="22" t="s">
        <v>55</v>
      </c>
      <c r="AO327" s="22" t="s">
        <v>55</v>
      </c>
      <c r="AP327" s="22" t="s">
        <v>55</v>
      </c>
      <c r="AQ327" s="22" t="s">
        <v>55</v>
      </c>
      <c r="AR327" s="22" t="s">
        <v>55</v>
      </c>
      <c r="AS327" s="22" t="s">
        <v>55</v>
      </c>
      <c r="AT327" s="22" t="s">
        <v>55</v>
      </c>
      <c r="AU327" s="22" t="s">
        <v>55</v>
      </c>
      <c r="AV327" s="22" t="s">
        <v>55</v>
      </c>
      <c r="AW327" s="23">
        <v>45938</v>
      </c>
      <c r="AX327" s="23">
        <v>45939</v>
      </c>
      <c r="AY327" s="22" t="s">
        <v>2161</v>
      </c>
    </row>
    <row r="328" spans="1:51" ht="188.5" x14ac:dyDescent="0.35">
      <c r="A328" s="22" t="s">
        <v>2193</v>
      </c>
      <c r="B328" s="22" t="s">
        <v>347</v>
      </c>
      <c r="C328" s="22" t="s">
        <v>588</v>
      </c>
      <c r="D328" s="22" t="s">
        <v>118</v>
      </c>
      <c r="E328" s="22" t="s">
        <v>52</v>
      </c>
      <c r="F328" s="22" t="s">
        <v>2030</v>
      </c>
      <c r="G328" s="22" t="s">
        <v>126</v>
      </c>
      <c r="H328" s="22" t="s">
        <v>157</v>
      </c>
      <c r="I328" s="22" t="s">
        <v>526</v>
      </c>
      <c r="J328" s="22" t="s">
        <v>153</v>
      </c>
      <c r="K328" s="22" t="s">
        <v>572</v>
      </c>
      <c r="L328" s="22" t="s">
        <v>57</v>
      </c>
      <c r="M328" s="22" t="s">
        <v>58</v>
      </c>
      <c r="N328" s="22" t="s">
        <v>55</v>
      </c>
      <c r="O328" s="22" t="s">
        <v>2181</v>
      </c>
      <c r="P328" s="22" t="s">
        <v>2194</v>
      </c>
      <c r="Q328" s="22" t="s">
        <v>2195</v>
      </c>
      <c r="R328" s="22" t="s">
        <v>55</v>
      </c>
      <c r="S328" s="22" t="s">
        <v>2196</v>
      </c>
      <c r="T328" s="22" t="s">
        <v>2197</v>
      </c>
      <c r="U328" s="22" t="s">
        <v>63</v>
      </c>
      <c r="V328" s="23">
        <v>45991</v>
      </c>
      <c r="W328" s="22" t="s">
        <v>55</v>
      </c>
      <c r="X328" s="22" t="s">
        <v>2186</v>
      </c>
      <c r="Y328" s="22" t="s">
        <v>65</v>
      </c>
      <c r="Z328" s="22" t="s">
        <v>55</v>
      </c>
      <c r="AA328" s="22" t="s">
        <v>152</v>
      </c>
      <c r="AB328" s="22" t="s">
        <v>55</v>
      </c>
      <c r="AC328" s="22" t="s">
        <v>55</v>
      </c>
      <c r="AD328" s="22" t="s">
        <v>67</v>
      </c>
      <c r="AE328" s="22" t="s">
        <v>97</v>
      </c>
      <c r="AF328" s="22" t="s">
        <v>69</v>
      </c>
      <c r="AG328" s="22" t="s">
        <v>55</v>
      </c>
      <c r="AH328" s="22" t="s">
        <v>55</v>
      </c>
      <c r="AI328" s="22" t="s">
        <v>55</v>
      </c>
      <c r="AJ328" s="22" t="s">
        <v>55</v>
      </c>
      <c r="AK328" s="22" t="s">
        <v>55</v>
      </c>
      <c r="AL328" s="22" t="s">
        <v>55</v>
      </c>
      <c r="AM328" s="22" t="s">
        <v>55</v>
      </c>
      <c r="AN328" s="22" t="s">
        <v>55</v>
      </c>
      <c r="AO328" s="22" t="s">
        <v>55</v>
      </c>
      <c r="AP328" s="22" t="s">
        <v>55</v>
      </c>
      <c r="AQ328" s="22" t="s">
        <v>55</v>
      </c>
      <c r="AR328" s="22" t="s">
        <v>55</v>
      </c>
      <c r="AS328" s="22" t="s">
        <v>55</v>
      </c>
      <c r="AT328" s="22" t="s">
        <v>55</v>
      </c>
      <c r="AU328" s="22" t="s">
        <v>55</v>
      </c>
      <c r="AV328" s="22" t="s">
        <v>55</v>
      </c>
      <c r="AW328" s="23">
        <v>45938</v>
      </c>
      <c r="AX328" s="23">
        <v>45939</v>
      </c>
      <c r="AY328" s="22" t="s">
        <v>2161</v>
      </c>
    </row>
    <row r="329" spans="1:51" ht="188.5" x14ac:dyDescent="0.35">
      <c r="A329" s="22" t="s">
        <v>2198</v>
      </c>
      <c r="B329" s="22" t="s">
        <v>347</v>
      </c>
      <c r="C329" s="22" t="s">
        <v>588</v>
      </c>
      <c r="D329" s="22" t="s">
        <v>118</v>
      </c>
      <c r="E329" s="22" t="s">
        <v>52</v>
      </c>
      <c r="F329" s="22" t="s">
        <v>2199</v>
      </c>
      <c r="G329" s="22" t="s">
        <v>126</v>
      </c>
      <c r="H329" s="22" t="s">
        <v>138</v>
      </c>
      <c r="I329" s="22" t="s">
        <v>121</v>
      </c>
      <c r="J329" s="22" t="s">
        <v>223</v>
      </c>
      <c r="K329" s="22" t="s">
        <v>564</v>
      </c>
      <c r="L329" s="22" t="s">
        <v>57</v>
      </c>
      <c r="M329" s="22" t="s">
        <v>154</v>
      </c>
      <c r="N329" s="22" t="s">
        <v>55</v>
      </c>
      <c r="O329" s="22" t="s">
        <v>2200</v>
      </c>
      <c r="P329" s="22" t="s">
        <v>2201</v>
      </c>
      <c r="Q329" s="22" t="s">
        <v>2202</v>
      </c>
      <c r="R329" s="22" t="s">
        <v>55</v>
      </c>
      <c r="S329" s="22" t="s">
        <v>2203</v>
      </c>
      <c r="T329" s="22" t="s">
        <v>2204</v>
      </c>
      <c r="U329" s="22" t="s">
        <v>63</v>
      </c>
      <c r="V329" s="23">
        <v>46023</v>
      </c>
      <c r="W329" s="22" t="s">
        <v>55</v>
      </c>
      <c r="X329" s="22" t="s">
        <v>2205</v>
      </c>
      <c r="Y329" s="22" t="s">
        <v>65</v>
      </c>
      <c r="Z329" s="22" t="s">
        <v>55</v>
      </c>
      <c r="AA329" s="22" t="s">
        <v>221</v>
      </c>
      <c r="AB329" s="22" t="s">
        <v>55</v>
      </c>
      <c r="AC329" s="22" t="s">
        <v>55</v>
      </c>
      <c r="AD329" s="22" t="s">
        <v>67</v>
      </c>
      <c r="AE329" s="22" t="s">
        <v>97</v>
      </c>
      <c r="AF329" s="22" t="s">
        <v>156</v>
      </c>
      <c r="AG329" s="22" t="s">
        <v>55</v>
      </c>
      <c r="AH329" s="22" t="s">
        <v>55</v>
      </c>
      <c r="AI329" s="22" t="s">
        <v>55</v>
      </c>
      <c r="AJ329" s="22" t="s">
        <v>55</v>
      </c>
      <c r="AK329" s="22" t="s">
        <v>55</v>
      </c>
      <c r="AL329" s="22" t="s">
        <v>55</v>
      </c>
      <c r="AM329" s="22" t="s">
        <v>55</v>
      </c>
      <c r="AN329" s="22" t="s">
        <v>55</v>
      </c>
      <c r="AO329" s="22" t="s">
        <v>55</v>
      </c>
      <c r="AP329" s="22" t="s">
        <v>55</v>
      </c>
      <c r="AQ329" s="22" t="s">
        <v>55</v>
      </c>
      <c r="AR329" s="22" t="s">
        <v>55</v>
      </c>
      <c r="AS329" s="22" t="s">
        <v>55</v>
      </c>
      <c r="AT329" s="22" t="s">
        <v>55</v>
      </c>
      <c r="AU329" s="22" t="s">
        <v>55</v>
      </c>
      <c r="AV329" s="22" t="s">
        <v>55</v>
      </c>
      <c r="AW329" s="23">
        <v>45909</v>
      </c>
      <c r="AX329" s="23">
        <v>45945</v>
      </c>
      <c r="AY329" s="22" t="s">
        <v>2161</v>
      </c>
    </row>
    <row r="330" spans="1:51" ht="203" x14ac:dyDescent="0.35">
      <c r="A330" s="22" t="s">
        <v>2206</v>
      </c>
      <c r="B330" s="22" t="s">
        <v>347</v>
      </c>
      <c r="C330" s="22" t="s">
        <v>588</v>
      </c>
      <c r="D330" s="22" t="s">
        <v>118</v>
      </c>
      <c r="E330" s="22" t="s">
        <v>52</v>
      </c>
      <c r="F330" s="22" t="s">
        <v>2199</v>
      </c>
      <c r="G330" s="22" t="s">
        <v>126</v>
      </c>
      <c r="H330" s="22" t="s">
        <v>138</v>
      </c>
      <c r="I330" s="22" t="s">
        <v>101</v>
      </c>
      <c r="J330" s="22" t="s">
        <v>253</v>
      </c>
      <c r="K330" s="22" t="s">
        <v>868</v>
      </c>
      <c r="L330" s="22" t="s">
        <v>103</v>
      </c>
      <c r="M330" s="22" t="s">
        <v>139</v>
      </c>
      <c r="N330" s="22" t="s">
        <v>55</v>
      </c>
      <c r="O330" s="22" t="s">
        <v>2200</v>
      </c>
      <c r="P330" s="22" t="s">
        <v>2207</v>
      </c>
      <c r="Q330" s="22" t="s">
        <v>2208</v>
      </c>
      <c r="R330" s="22" t="s">
        <v>55</v>
      </c>
      <c r="S330" s="22" t="s">
        <v>2209</v>
      </c>
      <c r="T330" s="22" t="s">
        <v>2210</v>
      </c>
      <c r="U330" s="22" t="s">
        <v>132</v>
      </c>
      <c r="V330" s="23">
        <v>46022</v>
      </c>
      <c r="W330" s="22" t="s">
        <v>55</v>
      </c>
      <c r="X330" s="22" t="s">
        <v>2205</v>
      </c>
      <c r="Y330" s="22" t="s">
        <v>65</v>
      </c>
      <c r="Z330" s="22" t="s">
        <v>55</v>
      </c>
      <c r="AA330" s="22" t="s">
        <v>221</v>
      </c>
      <c r="AB330" s="22" t="s">
        <v>55</v>
      </c>
      <c r="AC330" s="22" t="s">
        <v>55</v>
      </c>
      <c r="AD330" s="22" t="s">
        <v>67</v>
      </c>
      <c r="AE330" s="22" t="s">
        <v>97</v>
      </c>
      <c r="AF330" s="22" t="s">
        <v>98</v>
      </c>
      <c r="AG330" s="22" t="s">
        <v>55</v>
      </c>
      <c r="AH330" s="22" t="s">
        <v>55</v>
      </c>
      <c r="AI330" s="22" t="s">
        <v>55</v>
      </c>
      <c r="AJ330" s="22" t="s">
        <v>55</v>
      </c>
      <c r="AK330" s="22" t="s">
        <v>55</v>
      </c>
      <c r="AL330" s="22" t="s">
        <v>55</v>
      </c>
      <c r="AM330" s="22" t="s">
        <v>55</v>
      </c>
      <c r="AN330" s="22" t="s">
        <v>55</v>
      </c>
      <c r="AO330" s="22" t="s">
        <v>55</v>
      </c>
      <c r="AP330" s="22" t="s">
        <v>55</v>
      </c>
      <c r="AQ330" s="22" t="s">
        <v>55</v>
      </c>
      <c r="AR330" s="22" t="s">
        <v>55</v>
      </c>
      <c r="AS330" s="22" t="s">
        <v>55</v>
      </c>
      <c r="AT330" s="22" t="s">
        <v>55</v>
      </c>
      <c r="AU330" s="22" t="s">
        <v>55</v>
      </c>
      <c r="AV330" s="22" t="s">
        <v>55</v>
      </c>
      <c r="AW330" s="23">
        <v>45923</v>
      </c>
      <c r="AX330" s="23">
        <v>45945</v>
      </c>
      <c r="AY330" s="22" t="s">
        <v>2161</v>
      </c>
    </row>
    <row r="331" spans="1:51" ht="246.5" x14ac:dyDescent="0.35">
      <c r="A331" s="22" t="s">
        <v>2211</v>
      </c>
      <c r="B331" s="22" t="s">
        <v>347</v>
      </c>
      <c r="C331" s="22" t="s">
        <v>588</v>
      </c>
      <c r="D331" s="22" t="s">
        <v>118</v>
      </c>
      <c r="E331" s="22" t="s">
        <v>52</v>
      </c>
      <c r="F331" s="22" t="s">
        <v>2199</v>
      </c>
      <c r="G331" s="22" t="s">
        <v>126</v>
      </c>
      <c r="H331" s="22" t="s">
        <v>138</v>
      </c>
      <c r="I331" s="22" t="s">
        <v>526</v>
      </c>
      <c r="J331" s="22" t="s">
        <v>2212</v>
      </c>
      <c r="K331" s="22" t="s">
        <v>572</v>
      </c>
      <c r="L331" s="22" t="s">
        <v>57</v>
      </c>
      <c r="M331" s="22" t="s">
        <v>58</v>
      </c>
      <c r="N331" s="22" t="s">
        <v>55</v>
      </c>
      <c r="O331" s="22" t="s">
        <v>2200</v>
      </c>
      <c r="P331" s="22" t="s">
        <v>2213</v>
      </c>
      <c r="Q331" s="22" t="s">
        <v>2214</v>
      </c>
      <c r="R331" s="22" t="s">
        <v>55</v>
      </c>
      <c r="S331" s="22" t="s">
        <v>2215</v>
      </c>
      <c r="T331" s="22" t="s">
        <v>2216</v>
      </c>
      <c r="U331" s="22" t="s">
        <v>63</v>
      </c>
      <c r="V331" s="23">
        <v>46006</v>
      </c>
      <c r="W331" s="22" t="s">
        <v>55</v>
      </c>
      <c r="X331" s="22" t="s">
        <v>2205</v>
      </c>
      <c r="Y331" s="22" t="s">
        <v>65</v>
      </c>
      <c r="Z331" s="22" t="s">
        <v>55</v>
      </c>
      <c r="AA331" s="22" t="s">
        <v>152</v>
      </c>
      <c r="AB331" s="22" t="s">
        <v>55</v>
      </c>
      <c r="AC331" s="22" t="s">
        <v>55</v>
      </c>
      <c r="AD331" s="22" t="s">
        <v>67</v>
      </c>
      <c r="AE331" s="22" t="s">
        <v>97</v>
      </c>
      <c r="AF331" s="22" t="s">
        <v>69</v>
      </c>
      <c r="AG331" s="22" t="s">
        <v>55</v>
      </c>
      <c r="AH331" s="22" t="s">
        <v>55</v>
      </c>
      <c r="AI331" s="22" t="s">
        <v>55</v>
      </c>
      <c r="AJ331" s="22" t="s">
        <v>55</v>
      </c>
      <c r="AK331" s="22" t="s">
        <v>55</v>
      </c>
      <c r="AL331" s="22" t="s">
        <v>55</v>
      </c>
      <c r="AM331" s="22" t="s">
        <v>55</v>
      </c>
      <c r="AN331" s="22" t="s">
        <v>55</v>
      </c>
      <c r="AO331" s="22" t="s">
        <v>55</v>
      </c>
      <c r="AP331" s="22" t="s">
        <v>55</v>
      </c>
      <c r="AQ331" s="22" t="s">
        <v>55</v>
      </c>
      <c r="AR331" s="22" t="s">
        <v>55</v>
      </c>
      <c r="AS331" s="22" t="s">
        <v>55</v>
      </c>
      <c r="AT331" s="22" t="s">
        <v>55</v>
      </c>
      <c r="AU331" s="22" t="s">
        <v>55</v>
      </c>
      <c r="AV331" s="22" t="s">
        <v>55</v>
      </c>
      <c r="AW331" s="23">
        <v>45930</v>
      </c>
      <c r="AX331" s="23">
        <v>45945</v>
      </c>
      <c r="AY331" s="22" t="s">
        <v>2161</v>
      </c>
    </row>
    <row r="332" spans="1:51" ht="130.5" x14ac:dyDescent="0.35">
      <c r="A332" s="22" t="s">
        <v>2217</v>
      </c>
      <c r="B332" s="22" t="s">
        <v>347</v>
      </c>
      <c r="C332" s="22" t="s">
        <v>588</v>
      </c>
      <c r="D332" s="22" t="s">
        <v>465</v>
      </c>
      <c r="E332" s="22" t="s">
        <v>52</v>
      </c>
      <c r="F332" s="22" t="s">
        <v>2218</v>
      </c>
      <c r="G332" s="22" t="s">
        <v>606</v>
      </c>
      <c r="H332" s="22" t="s">
        <v>607</v>
      </c>
      <c r="I332" s="22" t="s">
        <v>86</v>
      </c>
      <c r="J332" s="22" t="s">
        <v>2219</v>
      </c>
      <c r="K332" s="22" t="s">
        <v>584</v>
      </c>
      <c r="L332" s="22" t="s">
        <v>57</v>
      </c>
      <c r="M332" s="22" t="s">
        <v>2220</v>
      </c>
      <c r="N332" s="22" t="s">
        <v>55</v>
      </c>
      <c r="O332" s="22" t="s">
        <v>2221</v>
      </c>
      <c r="P332" s="22" t="s">
        <v>2222</v>
      </c>
      <c r="Q332" s="22" t="s">
        <v>2223</v>
      </c>
      <c r="R332" s="22" t="s">
        <v>63</v>
      </c>
      <c r="S332" s="22" t="s">
        <v>2224</v>
      </c>
      <c r="T332" s="22" t="s">
        <v>2225</v>
      </c>
      <c r="U332" s="22" t="s">
        <v>132</v>
      </c>
      <c r="V332" s="23">
        <v>45966</v>
      </c>
      <c r="W332" s="22" t="s">
        <v>55</v>
      </c>
      <c r="X332" s="22" t="s">
        <v>2226</v>
      </c>
      <c r="Y332" s="22" t="s">
        <v>65</v>
      </c>
      <c r="Z332" s="22" t="s">
        <v>55</v>
      </c>
      <c r="AA332" s="22" t="s">
        <v>66</v>
      </c>
      <c r="AB332" s="22" t="s">
        <v>55</v>
      </c>
      <c r="AC332" s="22" t="s">
        <v>55</v>
      </c>
      <c r="AD332" s="22" t="s">
        <v>67</v>
      </c>
      <c r="AE332" s="22" t="s">
        <v>97</v>
      </c>
      <c r="AF332" s="22" t="s">
        <v>1490</v>
      </c>
      <c r="AG332" s="22" t="s">
        <v>55</v>
      </c>
      <c r="AH332" s="22" t="s">
        <v>55</v>
      </c>
      <c r="AI332" s="22" t="s">
        <v>55</v>
      </c>
      <c r="AJ332" s="22" t="s">
        <v>55</v>
      </c>
      <c r="AK332" s="22" t="s">
        <v>55</v>
      </c>
      <c r="AL332" s="22" t="s">
        <v>55</v>
      </c>
      <c r="AM332" s="22" t="s">
        <v>55</v>
      </c>
      <c r="AN332" s="22" t="s">
        <v>55</v>
      </c>
      <c r="AO332" s="22" t="s">
        <v>55</v>
      </c>
      <c r="AP332" s="22" t="s">
        <v>55</v>
      </c>
      <c r="AQ332" s="22" t="s">
        <v>55</v>
      </c>
      <c r="AR332" s="22" t="s">
        <v>55</v>
      </c>
      <c r="AS332" s="22" t="s">
        <v>55</v>
      </c>
      <c r="AT332" s="22" t="s">
        <v>55</v>
      </c>
      <c r="AU332" s="22" t="s">
        <v>55</v>
      </c>
      <c r="AV332" s="22" t="s">
        <v>55</v>
      </c>
      <c r="AW332" s="23">
        <v>45919</v>
      </c>
      <c r="AX332" s="23">
        <v>45922</v>
      </c>
      <c r="AY332" s="22" t="s">
        <v>2161</v>
      </c>
    </row>
    <row r="333" spans="1:51" ht="203" x14ac:dyDescent="0.35">
      <c r="A333" s="22" t="s">
        <v>2227</v>
      </c>
      <c r="B333" s="22" t="s">
        <v>347</v>
      </c>
      <c r="C333" s="22" t="s">
        <v>588</v>
      </c>
      <c r="D333" s="22" t="s">
        <v>465</v>
      </c>
      <c r="E333" s="22" t="s">
        <v>52</v>
      </c>
      <c r="F333" s="22" t="s">
        <v>1105</v>
      </c>
      <c r="G333" s="22" t="s">
        <v>126</v>
      </c>
      <c r="H333" s="22" t="s">
        <v>127</v>
      </c>
      <c r="I333" s="22" t="s">
        <v>117</v>
      </c>
      <c r="J333" s="22" t="s">
        <v>153</v>
      </c>
      <c r="K333" s="22" t="s">
        <v>576</v>
      </c>
      <c r="L333" s="22" t="s">
        <v>103</v>
      </c>
      <c r="M333" s="22" t="s">
        <v>128</v>
      </c>
      <c r="N333" s="22" t="s">
        <v>55</v>
      </c>
      <c r="O333" s="22" t="s">
        <v>2228</v>
      </c>
      <c r="P333" s="22" t="s">
        <v>2229</v>
      </c>
      <c r="Q333" s="22" t="s">
        <v>2230</v>
      </c>
      <c r="R333" s="22" t="s">
        <v>63</v>
      </c>
      <c r="S333" s="22" t="s">
        <v>2231</v>
      </c>
      <c r="T333" s="22" t="s">
        <v>2232</v>
      </c>
      <c r="U333" s="22" t="s">
        <v>132</v>
      </c>
      <c r="V333" s="23">
        <v>46022</v>
      </c>
      <c r="W333" s="22" t="s">
        <v>55</v>
      </c>
      <c r="X333" s="22" t="s">
        <v>2233</v>
      </c>
      <c r="Y333" s="22" t="s">
        <v>65</v>
      </c>
      <c r="Z333" s="22" t="s">
        <v>55</v>
      </c>
      <c r="AA333" s="22" t="s">
        <v>221</v>
      </c>
      <c r="AB333" s="22" t="s">
        <v>55</v>
      </c>
      <c r="AC333" s="22" t="s">
        <v>55</v>
      </c>
      <c r="AD333" s="22" t="s">
        <v>67</v>
      </c>
      <c r="AE333" s="22" t="s">
        <v>97</v>
      </c>
      <c r="AF333" s="22" t="s">
        <v>69</v>
      </c>
      <c r="AG333" s="22" t="s">
        <v>55</v>
      </c>
      <c r="AH333" s="22" t="s">
        <v>55</v>
      </c>
      <c r="AI333" s="22" t="s">
        <v>55</v>
      </c>
      <c r="AJ333" s="22" t="s">
        <v>55</v>
      </c>
      <c r="AK333" s="22" t="s">
        <v>55</v>
      </c>
      <c r="AL333" s="22" t="s">
        <v>55</v>
      </c>
      <c r="AM333" s="22" t="s">
        <v>55</v>
      </c>
      <c r="AN333" s="22" t="s">
        <v>55</v>
      </c>
      <c r="AO333" s="22" t="s">
        <v>55</v>
      </c>
      <c r="AP333" s="22" t="s">
        <v>55</v>
      </c>
      <c r="AQ333" s="22" t="s">
        <v>55</v>
      </c>
      <c r="AR333" s="22" t="s">
        <v>55</v>
      </c>
      <c r="AS333" s="22" t="s">
        <v>55</v>
      </c>
      <c r="AT333" s="22" t="s">
        <v>55</v>
      </c>
      <c r="AU333" s="22" t="s">
        <v>55</v>
      </c>
      <c r="AV333" s="22" t="s">
        <v>55</v>
      </c>
      <c r="AW333" s="23">
        <v>45925</v>
      </c>
      <c r="AX333" s="23">
        <v>45936</v>
      </c>
      <c r="AY333" s="22" t="s">
        <v>2161</v>
      </c>
    </row>
    <row r="334" spans="1:51" ht="188.5" x14ac:dyDescent="0.35">
      <c r="A334" s="22" t="s">
        <v>2234</v>
      </c>
      <c r="B334" s="22" t="s">
        <v>347</v>
      </c>
      <c r="C334" s="22" t="s">
        <v>588</v>
      </c>
      <c r="D334" s="22" t="s">
        <v>465</v>
      </c>
      <c r="E334" s="22" t="s">
        <v>52</v>
      </c>
      <c r="F334" s="22" t="s">
        <v>2235</v>
      </c>
      <c r="G334" s="22" t="s">
        <v>606</v>
      </c>
      <c r="H334" s="22" t="s">
        <v>607</v>
      </c>
      <c r="I334" s="22" t="s">
        <v>119</v>
      </c>
      <c r="J334" s="22" t="s">
        <v>2188</v>
      </c>
      <c r="K334" s="22" t="s">
        <v>1385</v>
      </c>
      <c r="L334" s="22" t="s">
        <v>57</v>
      </c>
      <c r="M334" s="22" t="s">
        <v>1386</v>
      </c>
      <c r="N334" s="22" t="s">
        <v>55</v>
      </c>
      <c r="O334" s="22" t="s">
        <v>2236</v>
      </c>
      <c r="P334" s="22" t="s">
        <v>2237</v>
      </c>
      <c r="Q334" s="22" t="s">
        <v>2238</v>
      </c>
      <c r="R334" s="22" t="s">
        <v>63</v>
      </c>
      <c r="S334" s="22" t="s">
        <v>2239</v>
      </c>
      <c r="T334" s="22" t="s">
        <v>2240</v>
      </c>
      <c r="U334" s="22" t="s">
        <v>63</v>
      </c>
      <c r="V334" s="23">
        <v>45961</v>
      </c>
      <c r="W334" s="22" t="s">
        <v>55</v>
      </c>
      <c r="X334" s="22" t="s">
        <v>2241</v>
      </c>
      <c r="Y334" s="22" t="s">
        <v>65</v>
      </c>
      <c r="Z334" s="22" t="s">
        <v>55</v>
      </c>
      <c r="AA334" s="22" t="s">
        <v>66</v>
      </c>
      <c r="AB334" s="22" t="s">
        <v>55</v>
      </c>
      <c r="AC334" s="22" t="s">
        <v>55</v>
      </c>
      <c r="AD334" s="22" t="s">
        <v>67</v>
      </c>
      <c r="AE334" s="22" t="s">
        <v>97</v>
      </c>
      <c r="AF334" s="22" t="s">
        <v>1238</v>
      </c>
      <c r="AG334" s="22" t="s">
        <v>55</v>
      </c>
      <c r="AH334" s="22" t="s">
        <v>55</v>
      </c>
      <c r="AI334" s="22" t="s">
        <v>55</v>
      </c>
      <c r="AJ334" s="22" t="s">
        <v>55</v>
      </c>
      <c r="AK334" s="22" t="s">
        <v>55</v>
      </c>
      <c r="AL334" s="22" t="s">
        <v>55</v>
      </c>
      <c r="AM334" s="22" t="s">
        <v>55</v>
      </c>
      <c r="AN334" s="22" t="s">
        <v>55</v>
      </c>
      <c r="AO334" s="22" t="s">
        <v>55</v>
      </c>
      <c r="AP334" s="22" t="s">
        <v>55</v>
      </c>
      <c r="AQ334" s="22" t="s">
        <v>55</v>
      </c>
      <c r="AR334" s="22" t="s">
        <v>55</v>
      </c>
      <c r="AS334" s="22" t="s">
        <v>55</v>
      </c>
      <c r="AT334" s="22" t="s">
        <v>55</v>
      </c>
      <c r="AU334" s="22" t="s">
        <v>55</v>
      </c>
      <c r="AV334" s="22" t="s">
        <v>55</v>
      </c>
      <c r="AW334" s="23">
        <v>45915</v>
      </c>
      <c r="AX334" s="23">
        <v>45919</v>
      </c>
      <c r="AY334" s="22" t="s">
        <v>2161</v>
      </c>
    </row>
    <row r="335" spans="1:51" ht="174" x14ac:dyDescent="0.35">
      <c r="A335" s="22" t="s">
        <v>2242</v>
      </c>
      <c r="B335" s="22" t="s">
        <v>347</v>
      </c>
      <c r="C335" s="22" t="s">
        <v>588</v>
      </c>
      <c r="D335" s="22" t="s">
        <v>465</v>
      </c>
      <c r="E335" s="22" t="s">
        <v>52</v>
      </c>
      <c r="F335" s="22" t="s">
        <v>1322</v>
      </c>
      <c r="G335" s="22" t="s">
        <v>126</v>
      </c>
      <c r="H335" s="22" t="s">
        <v>127</v>
      </c>
      <c r="I335" s="22" t="s">
        <v>117</v>
      </c>
      <c r="J335" s="22" t="s">
        <v>153</v>
      </c>
      <c r="K335" s="22" t="s">
        <v>572</v>
      </c>
      <c r="L335" s="22" t="s">
        <v>103</v>
      </c>
      <c r="M335" s="22" t="s">
        <v>128</v>
      </c>
      <c r="N335" s="22" t="s">
        <v>55</v>
      </c>
      <c r="O335" s="22" t="s">
        <v>2243</v>
      </c>
      <c r="P335" s="22" t="s">
        <v>2244</v>
      </c>
      <c r="Q335" s="22" t="s">
        <v>2245</v>
      </c>
      <c r="R335" s="22" t="s">
        <v>63</v>
      </c>
      <c r="S335" s="22" t="s">
        <v>2246</v>
      </c>
      <c r="T335" s="22" t="s">
        <v>2247</v>
      </c>
      <c r="U335" s="22" t="s">
        <v>132</v>
      </c>
      <c r="V335" s="23">
        <v>46112</v>
      </c>
      <c r="W335" s="22" t="s">
        <v>55</v>
      </c>
      <c r="X335" s="22" t="s">
        <v>2248</v>
      </c>
      <c r="Y335" s="22" t="s">
        <v>65</v>
      </c>
      <c r="Z335" s="22" t="s">
        <v>55</v>
      </c>
      <c r="AA335" s="22" t="s">
        <v>155</v>
      </c>
      <c r="AB335" s="22" t="s">
        <v>55</v>
      </c>
      <c r="AC335" s="22" t="s">
        <v>55</v>
      </c>
      <c r="AD335" s="22" t="s">
        <v>67</v>
      </c>
      <c r="AE335" s="22" t="s">
        <v>97</v>
      </c>
      <c r="AF335" s="22" t="s">
        <v>69</v>
      </c>
      <c r="AG335" s="22" t="s">
        <v>55</v>
      </c>
      <c r="AH335" s="22" t="s">
        <v>55</v>
      </c>
      <c r="AI335" s="22" t="s">
        <v>55</v>
      </c>
      <c r="AJ335" s="22" t="s">
        <v>55</v>
      </c>
      <c r="AK335" s="22" t="s">
        <v>55</v>
      </c>
      <c r="AL335" s="22" t="s">
        <v>55</v>
      </c>
      <c r="AM335" s="22" t="s">
        <v>55</v>
      </c>
      <c r="AN335" s="22" t="s">
        <v>55</v>
      </c>
      <c r="AO335" s="22" t="s">
        <v>55</v>
      </c>
      <c r="AP335" s="22" t="s">
        <v>55</v>
      </c>
      <c r="AQ335" s="22" t="s">
        <v>55</v>
      </c>
      <c r="AR335" s="22" t="s">
        <v>55</v>
      </c>
      <c r="AS335" s="22" t="s">
        <v>55</v>
      </c>
      <c r="AT335" s="22" t="s">
        <v>55</v>
      </c>
      <c r="AU335" s="22" t="s">
        <v>55</v>
      </c>
      <c r="AV335" s="22" t="s">
        <v>55</v>
      </c>
      <c r="AW335" s="23">
        <v>45910</v>
      </c>
      <c r="AX335" s="23">
        <v>45933</v>
      </c>
      <c r="AY335" s="22" t="s">
        <v>2161</v>
      </c>
    </row>
    <row r="336" spans="1:51" ht="159.5" x14ac:dyDescent="0.35">
      <c r="A336" s="22" t="s">
        <v>2249</v>
      </c>
      <c r="B336" s="22" t="s">
        <v>347</v>
      </c>
      <c r="C336" s="22" t="s">
        <v>588</v>
      </c>
      <c r="D336" s="22" t="s">
        <v>465</v>
      </c>
      <c r="E336" s="22" t="s">
        <v>52</v>
      </c>
      <c r="F336" s="22" t="s">
        <v>1322</v>
      </c>
      <c r="G336" s="22" t="s">
        <v>126</v>
      </c>
      <c r="H336" s="22" t="s">
        <v>127</v>
      </c>
      <c r="I336" s="22" t="s">
        <v>526</v>
      </c>
      <c r="J336" s="22" t="s">
        <v>153</v>
      </c>
      <c r="K336" s="22" t="s">
        <v>601</v>
      </c>
      <c r="L336" s="22" t="s">
        <v>57</v>
      </c>
      <c r="M336" s="22" t="s">
        <v>777</v>
      </c>
      <c r="N336" s="22" t="s">
        <v>55</v>
      </c>
      <c r="O336" s="22" t="s">
        <v>2243</v>
      </c>
      <c r="P336" s="22" t="s">
        <v>2250</v>
      </c>
      <c r="Q336" s="22" t="s">
        <v>2251</v>
      </c>
      <c r="R336" s="22" t="s">
        <v>63</v>
      </c>
      <c r="S336" s="22" t="s">
        <v>2252</v>
      </c>
      <c r="T336" s="22" t="s">
        <v>2253</v>
      </c>
      <c r="U336" s="22" t="s">
        <v>63</v>
      </c>
      <c r="V336" s="23">
        <v>46022</v>
      </c>
      <c r="W336" s="22" t="s">
        <v>55</v>
      </c>
      <c r="X336" s="22" t="s">
        <v>2254</v>
      </c>
      <c r="Y336" s="22" t="s">
        <v>65</v>
      </c>
      <c r="Z336" s="22" t="s">
        <v>55</v>
      </c>
      <c r="AA336" s="22" t="s">
        <v>221</v>
      </c>
      <c r="AB336" s="22" t="s">
        <v>55</v>
      </c>
      <c r="AC336" s="22" t="s">
        <v>55</v>
      </c>
      <c r="AD336" s="22" t="s">
        <v>67</v>
      </c>
      <c r="AE336" s="22" t="s">
        <v>97</v>
      </c>
      <c r="AF336" s="22" t="s">
        <v>779</v>
      </c>
      <c r="AG336" s="22" t="s">
        <v>55</v>
      </c>
      <c r="AH336" s="22" t="s">
        <v>55</v>
      </c>
      <c r="AI336" s="22" t="s">
        <v>55</v>
      </c>
      <c r="AJ336" s="22" t="s">
        <v>55</v>
      </c>
      <c r="AK336" s="22" t="s">
        <v>55</v>
      </c>
      <c r="AL336" s="22" t="s">
        <v>55</v>
      </c>
      <c r="AM336" s="22" t="s">
        <v>55</v>
      </c>
      <c r="AN336" s="22" t="s">
        <v>55</v>
      </c>
      <c r="AO336" s="22" t="s">
        <v>55</v>
      </c>
      <c r="AP336" s="22" t="s">
        <v>55</v>
      </c>
      <c r="AQ336" s="22" t="s">
        <v>55</v>
      </c>
      <c r="AR336" s="22" t="s">
        <v>55</v>
      </c>
      <c r="AS336" s="22" t="s">
        <v>55</v>
      </c>
      <c r="AT336" s="22" t="s">
        <v>55</v>
      </c>
      <c r="AU336" s="22" t="s">
        <v>55</v>
      </c>
      <c r="AV336" s="22" t="s">
        <v>55</v>
      </c>
      <c r="AW336" s="23">
        <v>45920</v>
      </c>
      <c r="AX336" s="23">
        <v>45933</v>
      </c>
      <c r="AY336" s="22" t="s">
        <v>2161</v>
      </c>
    </row>
    <row r="337" spans="1:51" ht="188.5" x14ac:dyDescent="0.35">
      <c r="A337" s="22" t="s">
        <v>2255</v>
      </c>
      <c r="B337" s="22" t="s">
        <v>347</v>
      </c>
      <c r="C337" s="22" t="s">
        <v>588</v>
      </c>
      <c r="D337" s="22" t="s">
        <v>465</v>
      </c>
      <c r="E337" s="22" t="s">
        <v>52</v>
      </c>
      <c r="F337" s="22" t="s">
        <v>1672</v>
      </c>
      <c r="G337" s="22" t="s">
        <v>493</v>
      </c>
      <c r="H337" s="22" t="s">
        <v>1729</v>
      </c>
      <c r="I337" s="22" t="s">
        <v>121</v>
      </c>
      <c r="J337" s="22" t="s">
        <v>223</v>
      </c>
      <c r="K337" s="22" t="s">
        <v>594</v>
      </c>
      <c r="L337" s="22" t="s">
        <v>103</v>
      </c>
      <c r="M337" s="22" t="s">
        <v>154</v>
      </c>
      <c r="N337" s="22" t="s">
        <v>55</v>
      </c>
      <c r="O337" s="22" t="s">
        <v>2256</v>
      </c>
      <c r="P337" s="22" t="s">
        <v>2257</v>
      </c>
      <c r="Q337" s="22" t="s">
        <v>2258</v>
      </c>
      <c r="R337" s="22" t="s">
        <v>63</v>
      </c>
      <c r="S337" s="22" t="s">
        <v>2259</v>
      </c>
      <c r="T337" s="22" t="s">
        <v>2260</v>
      </c>
      <c r="U337" s="22" t="s">
        <v>63</v>
      </c>
      <c r="V337" s="23">
        <v>46023</v>
      </c>
      <c r="W337" s="22" t="s">
        <v>55</v>
      </c>
      <c r="X337" s="22" t="s">
        <v>2261</v>
      </c>
      <c r="Y337" s="22" t="s">
        <v>65</v>
      </c>
      <c r="Z337" s="22" t="s">
        <v>55</v>
      </c>
      <c r="AA337" s="22" t="s">
        <v>221</v>
      </c>
      <c r="AB337" s="22" t="s">
        <v>55</v>
      </c>
      <c r="AC337" s="22" t="s">
        <v>55</v>
      </c>
      <c r="AD337" s="22" t="s">
        <v>67</v>
      </c>
      <c r="AE337" s="22" t="s">
        <v>97</v>
      </c>
      <c r="AF337" s="22" t="s">
        <v>156</v>
      </c>
      <c r="AG337" s="22" t="s">
        <v>55</v>
      </c>
      <c r="AH337" s="22" t="s">
        <v>55</v>
      </c>
      <c r="AI337" s="22" t="s">
        <v>55</v>
      </c>
      <c r="AJ337" s="22" t="s">
        <v>55</v>
      </c>
      <c r="AK337" s="22" t="s">
        <v>55</v>
      </c>
      <c r="AL337" s="22" t="s">
        <v>55</v>
      </c>
      <c r="AM337" s="22" t="s">
        <v>55</v>
      </c>
      <c r="AN337" s="22" t="s">
        <v>55</v>
      </c>
      <c r="AO337" s="22" t="s">
        <v>55</v>
      </c>
      <c r="AP337" s="22" t="s">
        <v>55</v>
      </c>
      <c r="AQ337" s="22" t="s">
        <v>55</v>
      </c>
      <c r="AR337" s="22" t="s">
        <v>55</v>
      </c>
      <c r="AS337" s="22" t="s">
        <v>55</v>
      </c>
      <c r="AT337" s="22" t="s">
        <v>55</v>
      </c>
      <c r="AU337" s="22" t="s">
        <v>55</v>
      </c>
      <c r="AV337" s="22" t="s">
        <v>55</v>
      </c>
      <c r="AW337" s="23">
        <v>45953</v>
      </c>
      <c r="AX337" s="23">
        <v>45953</v>
      </c>
      <c r="AY337" s="22" t="s">
        <v>2161</v>
      </c>
    </row>
    <row r="338" spans="1:51" ht="43.5" x14ac:dyDescent="0.35">
      <c r="A338" s="22" t="s">
        <v>2262</v>
      </c>
      <c r="B338" s="22" t="s">
        <v>347</v>
      </c>
      <c r="C338" s="22" t="s">
        <v>588</v>
      </c>
      <c r="D338" s="22" t="s">
        <v>465</v>
      </c>
      <c r="E338" s="22" t="s">
        <v>52</v>
      </c>
      <c r="F338" s="22" t="s">
        <v>2263</v>
      </c>
      <c r="G338" s="22" t="s">
        <v>126</v>
      </c>
      <c r="H338" s="22" t="s">
        <v>157</v>
      </c>
      <c r="I338" s="22" t="s">
        <v>121</v>
      </c>
      <c r="J338" s="22" t="s">
        <v>562</v>
      </c>
      <c r="K338" s="22" t="s">
        <v>594</v>
      </c>
      <c r="L338" s="22" t="s">
        <v>57</v>
      </c>
      <c r="M338" s="22" t="s">
        <v>96</v>
      </c>
      <c r="N338" s="22" t="s">
        <v>55</v>
      </c>
      <c r="O338" s="22" t="s">
        <v>2264</v>
      </c>
      <c r="P338" s="22" t="s">
        <v>2265</v>
      </c>
      <c r="Q338" s="22" t="s">
        <v>2266</v>
      </c>
      <c r="R338" s="22" t="s">
        <v>63</v>
      </c>
      <c r="S338" s="22" t="s">
        <v>2267</v>
      </c>
      <c r="T338" s="22" t="s">
        <v>2268</v>
      </c>
      <c r="U338" s="22" t="s">
        <v>63</v>
      </c>
      <c r="V338" s="23">
        <v>45991</v>
      </c>
      <c r="W338" s="22" t="s">
        <v>55</v>
      </c>
      <c r="X338" s="22" t="s">
        <v>2269</v>
      </c>
      <c r="Y338" s="22" t="s">
        <v>65</v>
      </c>
      <c r="Z338" s="22" t="s">
        <v>55</v>
      </c>
      <c r="AA338" s="22" t="s">
        <v>152</v>
      </c>
      <c r="AB338" s="22" t="s">
        <v>55</v>
      </c>
      <c r="AC338" s="22" t="s">
        <v>55</v>
      </c>
      <c r="AD338" s="22" t="s">
        <v>67</v>
      </c>
      <c r="AE338" s="22" t="s">
        <v>97</v>
      </c>
      <c r="AF338" s="22" t="s">
        <v>98</v>
      </c>
      <c r="AG338" s="22" t="s">
        <v>55</v>
      </c>
      <c r="AH338" s="22" t="s">
        <v>55</v>
      </c>
      <c r="AI338" s="22" t="s">
        <v>55</v>
      </c>
      <c r="AJ338" s="22" t="s">
        <v>55</v>
      </c>
      <c r="AK338" s="22" t="s">
        <v>55</v>
      </c>
      <c r="AL338" s="22" t="s">
        <v>55</v>
      </c>
      <c r="AM338" s="22" t="s">
        <v>55</v>
      </c>
      <c r="AN338" s="22" t="s">
        <v>55</v>
      </c>
      <c r="AO338" s="22" t="s">
        <v>55</v>
      </c>
      <c r="AP338" s="22" t="s">
        <v>55</v>
      </c>
      <c r="AQ338" s="22" t="s">
        <v>55</v>
      </c>
      <c r="AR338" s="22" t="s">
        <v>55</v>
      </c>
      <c r="AS338" s="22" t="s">
        <v>55</v>
      </c>
      <c r="AT338" s="22" t="s">
        <v>55</v>
      </c>
      <c r="AU338" s="22" t="s">
        <v>55</v>
      </c>
      <c r="AV338" s="22" t="s">
        <v>55</v>
      </c>
      <c r="AW338" s="23">
        <v>45928</v>
      </c>
      <c r="AX338" s="23">
        <v>45929</v>
      </c>
      <c r="AY338" s="22" t="s">
        <v>2161</v>
      </c>
    </row>
    <row r="339" spans="1:51" ht="116" x14ac:dyDescent="0.35">
      <c r="A339" s="22" t="s">
        <v>2270</v>
      </c>
      <c r="B339" s="22" t="s">
        <v>347</v>
      </c>
      <c r="C339" s="22" t="s">
        <v>588</v>
      </c>
      <c r="D339" s="22" t="s">
        <v>465</v>
      </c>
      <c r="E339" s="22" t="s">
        <v>52</v>
      </c>
      <c r="F339" s="22" t="s">
        <v>2271</v>
      </c>
      <c r="G339" s="22" t="s">
        <v>606</v>
      </c>
      <c r="H339" s="22" t="s">
        <v>2272</v>
      </c>
      <c r="I339" s="22" t="s">
        <v>160</v>
      </c>
      <c r="J339" s="22" t="s">
        <v>153</v>
      </c>
      <c r="K339" s="22" t="s">
        <v>594</v>
      </c>
      <c r="L339" s="22" t="s">
        <v>57</v>
      </c>
      <c r="M339" s="22" t="s">
        <v>161</v>
      </c>
      <c r="N339" s="22" t="s">
        <v>55</v>
      </c>
      <c r="O339" s="22" t="s">
        <v>2273</v>
      </c>
      <c r="P339" s="22" t="s">
        <v>2274</v>
      </c>
      <c r="Q339" s="22" t="s">
        <v>2275</v>
      </c>
      <c r="R339" s="22" t="s">
        <v>63</v>
      </c>
      <c r="S339" s="22" t="s">
        <v>2276</v>
      </c>
      <c r="T339" s="22" t="s">
        <v>2277</v>
      </c>
      <c r="U339" s="22" t="s">
        <v>63</v>
      </c>
      <c r="V339" s="23">
        <v>45991</v>
      </c>
      <c r="W339" s="22" t="s">
        <v>55</v>
      </c>
      <c r="X339" s="22" t="s">
        <v>2278</v>
      </c>
      <c r="Y339" s="22" t="s">
        <v>65</v>
      </c>
      <c r="Z339" s="22" t="s">
        <v>55</v>
      </c>
      <c r="AA339" s="22" t="s">
        <v>152</v>
      </c>
      <c r="AB339" s="22" t="s">
        <v>55</v>
      </c>
      <c r="AC339" s="22" t="s">
        <v>55</v>
      </c>
      <c r="AD339" s="22" t="s">
        <v>67</v>
      </c>
      <c r="AE339" s="22" t="s">
        <v>97</v>
      </c>
      <c r="AF339" s="22" t="s">
        <v>69</v>
      </c>
      <c r="AG339" s="22" t="s">
        <v>55</v>
      </c>
      <c r="AH339" s="22" t="s">
        <v>55</v>
      </c>
      <c r="AI339" s="22" t="s">
        <v>55</v>
      </c>
      <c r="AJ339" s="22" t="s">
        <v>55</v>
      </c>
      <c r="AK339" s="22" t="s">
        <v>55</v>
      </c>
      <c r="AL339" s="22" t="s">
        <v>55</v>
      </c>
      <c r="AM339" s="22" t="s">
        <v>55</v>
      </c>
      <c r="AN339" s="22" t="s">
        <v>55</v>
      </c>
      <c r="AO339" s="22" t="s">
        <v>55</v>
      </c>
      <c r="AP339" s="22" t="s">
        <v>55</v>
      </c>
      <c r="AQ339" s="22" t="s">
        <v>55</v>
      </c>
      <c r="AR339" s="22" t="s">
        <v>55</v>
      </c>
      <c r="AS339" s="22" t="s">
        <v>55</v>
      </c>
      <c r="AT339" s="22" t="s">
        <v>55</v>
      </c>
      <c r="AU339" s="22" t="s">
        <v>55</v>
      </c>
      <c r="AV339" s="22" t="s">
        <v>55</v>
      </c>
      <c r="AW339" s="23">
        <v>45960</v>
      </c>
      <c r="AX339" s="23">
        <v>45960</v>
      </c>
      <c r="AY339" s="22" t="s">
        <v>2161</v>
      </c>
    </row>
    <row r="340" spans="1:51" ht="72.5" x14ac:dyDescent="0.35">
      <c r="A340" s="22" t="s">
        <v>2279</v>
      </c>
      <c r="B340" s="22" t="s">
        <v>347</v>
      </c>
      <c r="C340" s="22" t="s">
        <v>588</v>
      </c>
      <c r="D340" s="22" t="s">
        <v>465</v>
      </c>
      <c r="E340" s="22" t="s">
        <v>52</v>
      </c>
      <c r="F340" s="22" t="s">
        <v>2280</v>
      </c>
      <c r="G340" s="22" t="s">
        <v>493</v>
      </c>
      <c r="H340" s="22" t="s">
        <v>2281</v>
      </c>
      <c r="I340" s="22" t="s">
        <v>526</v>
      </c>
      <c r="J340" s="22" t="s">
        <v>993</v>
      </c>
      <c r="K340" s="22" t="s">
        <v>594</v>
      </c>
      <c r="L340" s="22" t="s">
        <v>57</v>
      </c>
      <c r="M340" s="22" t="s">
        <v>777</v>
      </c>
      <c r="N340" s="22" t="s">
        <v>55</v>
      </c>
      <c r="O340" s="22" t="s">
        <v>2282</v>
      </c>
      <c r="P340" s="22" t="s">
        <v>2283</v>
      </c>
      <c r="Q340" s="22" t="s">
        <v>2284</v>
      </c>
      <c r="R340" s="22" t="s">
        <v>63</v>
      </c>
      <c r="S340" s="22" t="s">
        <v>2285</v>
      </c>
      <c r="T340" s="22" t="s">
        <v>2286</v>
      </c>
      <c r="U340" s="22" t="s">
        <v>132</v>
      </c>
      <c r="V340" s="23">
        <v>46022</v>
      </c>
      <c r="W340" s="22" t="s">
        <v>55</v>
      </c>
      <c r="X340" s="22" t="s">
        <v>2287</v>
      </c>
      <c r="Y340" s="22" t="s">
        <v>65</v>
      </c>
      <c r="Z340" s="22" t="s">
        <v>55</v>
      </c>
      <c r="AA340" s="22" t="s">
        <v>221</v>
      </c>
      <c r="AB340" s="22" t="s">
        <v>55</v>
      </c>
      <c r="AC340" s="22" t="s">
        <v>55</v>
      </c>
      <c r="AD340" s="22" t="s">
        <v>67</v>
      </c>
      <c r="AE340" s="22" t="s">
        <v>97</v>
      </c>
      <c r="AF340" s="22" t="s">
        <v>779</v>
      </c>
      <c r="AG340" s="22" t="s">
        <v>55</v>
      </c>
      <c r="AH340" s="22" t="s">
        <v>55</v>
      </c>
      <c r="AI340" s="22" t="s">
        <v>55</v>
      </c>
      <c r="AJ340" s="22" t="s">
        <v>55</v>
      </c>
      <c r="AK340" s="22" t="s">
        <v>55</v>
      </c>
      <c r="AL340" s="22" t="s">
        <v>55</v>
      </c>
      <c r="AM340" s="22" t="s">
        <v>55</v>
      </c>
      <c r="AN340" s="22" t="s">
        <v>55</v>
      </c>
      <c r="AO340" s="22" t="s">
        <v>55</v>
      </c>
      <c r="AP340" s="22" t="s">
        <v>55</v>
      </c>
      <c r="AQ340" s="22" t="s">
        <v>55</v>
      </c>
      <c r="AR340" s="22" t="s">
        <v>55</v>
      </c>
      <c r="AS340" s="22" t="s">
        <v>55</v>
      </c>
      <c r="AT340" s="22" t="s">
        <v>55</v>
      </c>
      <c r="AU340" s="22" t="s">
        <v>55</v>
      </c>
      <c r="AV340" s="22" t="s">
        <v>55</v>
      </c>
      <c r="AW340" s="23">
        <v>45936</v>
      </c>
      <c r="AX340" s="23">
        <v>45946</v>
      </c>
      <c r="AY340" s="22" t="s">
        <v>2161</v>
      </c>
    </row>
    <row r="341" spans="1:51" ht="174" x14ac:dyDescent="0.35">
      <c r="A341" s="22" t="s">
        <v>2288</v>
      </c>
      <c r="B341" s="22" t="s">
        <v>347</v>
      </c>
      <c r="C341" s="22" t="s">
        <v>588</v>
      </c>
      <c r="D341" s="22" t="s">
        <v>465</v>
      </c>
      <c r="E341" s="22" t="s">
        <v>52</v>
      </c>
      <c r="F341" s="22" t="s">
        <v>2289</v>
      </c>
      <c r="G341" s="22" t="s">
        <v>126</v>
      </c>
      <c r="H341" s="22" t="s">
        <v>157</v>
      </c>
      <c r="I341" s="22" t="s">
        <v>361</v>
      </c>
      <c r="J341" s="22" t="s">
        <v>153</v>
      </c>
      <c r="K341" s="22" t="s">
        <v>561</v>
      </c>
      <c r="L341" s="22" t="s">
        <v>103</v>
      </c>
      <c r="M341" s="22" t="s">
        <v>139</v>
      </c>
      <c r="N341" s="22" t="s">
        <v>55</v>
      </c>
      <c r="O341" s="22" t="s">
        <v>2290</v>
      </c>
      <c r="P341" s="22" t="s">
        <v>2291</v>
      </c>
      <c r="Q341" s="22" t="s">
        <v>2292</v>
      </c>
      <c r="R341" s="22" t="s">
        <v>63</v>
      </c>
      <c r="S341" s="22" t="s">
        <v>2293</v>
      </c>
      <c r="T341" s="22" t="s">
        <v>118</v>
      </c>
      <c r="U341" s="22" t="s">
        <v>63</v>
      </c>
      <c r="V341" s="23">
        <v>45975</v>
      </c>
      <c r="W341" s="22" t="s">
        <v>55</v>
      </c>
      <c r="X341" s="22" t="s">
        <v>2294</v>
      </c>
      <c r="Y341" s="22" t="s">
        <v>65</v>
      </c>
      <c r="Z341" s="22" t="s">
        <v>55</v>
      </c>
      <c r="AA341" s="22" t="s">
        <v>66</v>
      </c>
      <c r="AB341" s="22" t="s">
        <v>55</v>
      </c>
      <c r="AC341" s="22" t="s">
        <v>55</v>
      </c>
      <c r="AD341" s="22" t="s">
        <v>67</v>
      </c>
      <c r="AE341" s="22" t="s">
        <v>97</v>
      </c>
      <c r="AF341" s="22" t="s">
        <v>98</v>
      </c>
      <c r="AG341" s="22" t="s">
        <v>55</v>
      </c>
      <c r="AH341" s="22" t="s">
        <v>55</v>
      </c>
      <c r="AI341" s="22" t="s">
        <v>55</v>
      </c>
      <c r="AJ341" s="22" t="s">
        <v>55</v>
      </c>
      <c r="AK341" s="22" t="s">
        <v>55</v>
      </c>
      <c r="AL341" s="22" t="s">
        <v>55</v>
      </c>
      <c r="AM341" s="22" t="s">
        <v>55</v>
      </c>
      <c r="AN341" s="22" t="s">
        <v>55</v>
      </c>
      <c r="AO341" s="22" t="s">
        <v>55</v>
      </c>
      <c r="AP341" s="22" t="s">
        <v>55</v>
      </c>
      <c r="AQ341" s="22" t="s">
        <v>55</v>
      </c>
      <c r="AR341" s="22" t="s">
        <v>55</v>
      </c>
      <c r="AS341" s="22" t="s">
        <v>55</v>
      </c>
      <c r="AT341" s="22" t="s">
        <v>55</v>
      </c>
      <c r="AU341" s="22" t="s">
        <v>55</v>
      </c>
      <c r="AV341" s="22" t="s">
        <v>55</v>
      </c>
      <c r="AW341" s="23">
        <v>45961</v>
      </c>
      <c r="AX341" s="23">
        <v>45961</v>
      </c>
      <c r="AY341" s="22" t="s">
        <v>2161</v>
      </c>
    </row>
    <row r="342" spans="1:51" ht="174" x14ac:dyDescent="0.35">
      <c r="A342" s="22" t="s">
        <v>2295</v>
      </c>
      <c r="B342" s="22" t="s">
        <v>347</v>
      </c>
      <c r="C342" s="22" t="s">
        <v>588</v>
      </c>
      <c r="D342" s="22" t="s">
        <v>465</v>
      </c>
      <c r="E342" s="22" t="s">
        <v>52</v>
      </c>
      <c r="F342" s="22" t="s">
        <v>2296</v>
      </c>
      <c r="G342" s="22" t="s">
        <v>54</v>
      </c>
      <c r="H342" s="22" t="s">
        <v>1712</v>
      </c>
      <c r="I342" s="22" t="s">
        <v>149</v>
      </c>
      <c r="J342" s="22" t="s">
        <v>55</v>
      </c>
      <c r="K342" s="22" t="s">
        <v>1720</v>
      </c>
      <c r="L342" s="22" t="s">
        <v>103</v>
      </c>
      <c r="M342" s="22" t="s">
        <v>55</v>
      </c>
      <c r="N342" s="22" t="s">
        <v>55</v>
      </c>
      <c r="O342" s="22" t="s">
        <v>2297</v>
      </c>
      <c r="P342" s="22" t="s">
        <v>2298</v>
      </c>
      <c r="Q342" s="22" t="s">
        <v>2299</v>
      </c>
      <c r="R342" s="22" t="s">
        <v>55</v>
      </c>
      <c r="S342" s="22" t="s">
        <v>2300</v>
      </c>
      <c r="T342" s="22" t="s">
        <v>2301</v>
      </c>
      <c r="U342" s="22" t="s">
        <v>55</v>
      </c>
      <c r="V342" s="23">
        <v>46022</v>
      </c>
      <c r="W342" s="22" t="s">
        <v>55</v>
      </c>
      <c r="X342" s="22" t="s">
        <v>2302</v>
      </c>
      <c r="Y342" s="22" t="s">
        <v>65</v>
      </c>
      <c r="Z342" s="22" t="s">
        <v>55</v>
      </c>
      <c r="AA342" s="22" t="s">
        <v>221</v>
      </c>
      <c r="AB342" s="22" t="s">
        <v>55</v>
      </c>
      <c r="AC342" s="22" t="s">
        <v>55</v>
      </c>
      <c r="AD342" s="22" t="s">
        <v>118</v>
      </c>
      <c r="AE342" s="22" t="s">
        <v>97</v>
      </c>
      <c r="AF342" s="22" t="s">
        <v>55</v>
      </c>
      <c r="AG342" s="22" t="s">
        <v>55</v>
      </c>
      <c r="AH342" s="22" t="s">
        <v>55</v>
      </c>
      <c r="AI342" s="22" t="s">
        <v>55</v>
      </c>
      <c r="AJ342" s="22" t="s">
        <v>55</v>
      </c>
      <c r="AK342" s="22" t="s">
        <v>55</v>
      </c>
      <c r="AL342" s="22" t="s">
        <v>55</v>
      </c>
      <c r="AM342" s="22" t="s">
        <v>55</v>
      </c>
      <c r="AN342" s="22" t="s">
        <v>55</v>
      </c>
      <c r="AO342" s="22" t="s">
        <v>55</v>
      </c>
      <c r="AP342" s="22" t="s">
        <v>55</v>
      </c>
      <c r="AQ342" s="22" t="s">
        <v>55</v>
      </c>
      <c r="AR342" s="22" t="s">
        <v>55</v>
      </c>
      <c r="AS342" s="22" t="s">
        <v>55</v>
      </c>
      <c r="AT342" s="22" t="s">
        <v>55</v>
      </c>
      <c r="AU342" s="22" t="s">
        <v>55</v>
      </c>
      <c r="AV342" s="22" t="s">
        <v>55</v>
      </c>
      <c r="AW342" s="22" t="s">
        <v>55</v>
      </c>
      <c r="AX342" s="23">
        <v>45973</v>
      </c>
      <c r="AY342" s="22" t="s">
        <v>2161</v>
      </c>
    </row>
    <row r="343" spans="1:51" ht="174" x14ac:dyDescent="0.35">
      <c r="A343" s="22" t="s">
        <v>2303</v>
      </c>
      <c r="B343" s="22" t="s">
        <v>347</v>
      </c>
      <c r="C343" s="22" t="s">
        <v>588</v>
      </c>
      <c r="D343" s="22" t="s">
        <v>465</v>
      </c>
      <c r="E343" s="22" t="s">
        <v>52</v>
      </c>
      <c r="F343" s="22" t="s">
        <v>2304</v>
      </c>
      <c r="G343" s="22" t="s">
        <v>126</v>
      </c>
      <c r="H343" s="22" t="s">
        <v>157</v>
      </c>
      <c r="I343" s="22" t="s">
        <v>149</v>
      </c>
      <c r="J343" s="22" t="s">
        <v>55</v>
      </c>
      <c r="K343" s="22" t="s">
        <v>1720</v>
      </c>
      <c r="L343" s="22" t="s">
        <v>103</v>
      </c>
      <c r="M343" s="22" t="s">
        <v>55</v>
      </c>
      <c r="N343" s="22" t="s">
        <v>55</v>
      </c>
      <c r="O343" s="22" t="s">
        <v>2305</v>
      </c>
      <c r="P343" s="22" t="s">
        <v>2298</v>
      </c>
      <c r="Q343" s="22" t="s">
        <v>2306</v>
      </c>
      <c r="R343" s="22" t="s">
        <v>55</v>
      </c>
      <c r="S343" s="22" t="s">
        <v>2300</v>
      </c>
      <c r="T343" s="22" t="s">
        <v>2301</v>
      </c>
      <c r="U343" s="22" t="s">
        <v>55</v>
      </c>
      <c r="V343" s="23">
        <v>46022</v>
      </c>
      <c r="W343" s="22" t="s">
        <v>55</v>
      </c>
      <c r="X343" s="22" t="s">
        <v>2307</v>
      </c>
      <c r="Y343" s="22" t="s">
        <v>65</v>
      </c>
      <c r="Z343" s="22" t="s">
        <v>55</v>
      </c>
      <c r="AA343" s="22" t="s">
        <v>221</v>
      </c>
      <c r="AB343" s="22" t="s">
        <v>55</v>
      </c>
      <c r="AC343" s="22" t="s">
        <v>55</v>
      </c>
      <c r="AD343" s="22" t="s">
        <v>118</v>
      </c>
      <c r="AE343" s="22" t="s">
        <v>97</v>
      </c>
      <c r="AF343" s="22" t="s">
        <v>55</v>
      </c>
      <c r="AG343" s="22" t="s">
        <v>55</v>
      </c>
      <c r="AH343" s="22" t="s">
        <v>55</v>
      </c>
      <c r="AI343" s="22" t="s">
        <v>55</v>
      </c>
      <c r="AJ343" s="22" t="s">
        <v>55</v>
      </c>
      <c r="AK343" s="22" t="s">
        <v>55</v>
      </c>
      <c r="AL343" s="22" t="s">
        <v>55</v>
      </c>
      <c r="AM343" s="22" t="s">
        <v>55</v>
      </c>
      <c r="AN343" s="22" t="s">
        <v>55</v>
      </c>
      <c r="AO343" s="22" t="s">
        <v>55</v>
      </c>
      <c r="AP343" s="22" t="s">
        <v>55</v>
      </c>
      <c r="AQ343" s="22" t="s">
        <v>55</v>
      </c>
      <c r="AR343" s="22" t="s">
        <v>55</v>
      </c>
      <c r="AS343" s="22" t="s">
        <v>55</v>
      </c>
      <c r="AT343" s="22" t="s">
        <v>55</v>
      </c>
      <c r="AU343" s="22" t="s">
        <v>55</v>
      </c>
      <c r="AV343" s="22" t="s">
        <v>55</v>
      </c>
      <c r="AW343" s="22" t="s">
        <v>55</v>
      </c>
      <c r="AX343" s="23">
        <v>45973</v>
      </c>
      <c r="AY343" s="22" t="s">
        <v>2161</v>
      </c>
    </row>
    <row r="344" spans="1:51" ht="145" x14ac:dyDescent="0.35">
      <c r="A344" s="22" t="s">
        <v>2308</v>
      </c>
      <c r="B344" s="22" t="s">
        <v>347</v>
      </c>
      <c r="C344" s="22" t="s">
        <v>588</v>
      </c>
      <c r="D344" s="22" t="s">
        <v>465</v>
      </c>
      <c r="E344" s="22" t="s">
        <v>52</v>
      </c>
      <c r="F344" s="22" t="s">
        <v>1726</v>
      </c>
      <c r="G344" s="22" t="s">
        <v>126</v>
      </c>
      <c r="H344" s="22" t="s">
        <v>138</v>
      </c>
      <c r="I344" s="22" t="s">
        <v>149</v>
      </c>
      <c r="J344" s="22" t="s">
        <v>55</v>
      </c>
      <c r="K344" s="22" t="s">
        <v>1720</v>
      </c>
      <c r="L344" s="22" t="s">
        <v>103</v>
      </c>
      <c r="M344" s="22" t="s">
        <v>55</v>
      </c>
      <c r="N344" s="22" t="s">
        <v>55</v>
      </c>
      <c r="O344" s="22" t="s">
        <v>2309</v>
      </c>
      <c r="P344" s="22" t="s">
        <v>2298</v>
      </c>
      <c r="Q344" s="22" t="s">
        <v>2310</v>
      </c>
      <c r="R344" s="22" t="s">
        <v>55</v>
      </c>
      <c r="S344" s="22" t="s">
        <v>2300</v>
      </c>
      <c r="T344" s="22" t="s">
        <v>2301</v>
      </c>
      <c r="U344" s="22" t="s">
        <v>55</v>
      </c>
      <c r="V344" s="23">
        <v>46022</v>
      </c>
      <c r="W344" s="22" t="s">
        <v>55</v>
      </c>
      <c r="X344" s="22" t="s">
        <v>2311</v>
      </c>
      <c r="Y344" s="22" t="s">
        <v>65</v>
      </c>
      <c r="Z344" s="22" t="s">
        <v>55</v>
      </c>
      <c r="AA344" s="22" t="s">
        <v>221</v>
      </c>
      <c r="AB344" s="22" t="s">
        <v>55</v>
      </c>
      <c r="AC344" s="22" t="s">
        <v>55</v>
      </c>
      <c r="AD344" s="22" t="s">
        <v>118</v>
      </c>
      <c r="AE344" s="22" t="s">
        <v>97</v>
      </c>
      <c r="AF344" s="22" t="s">
        <v>55</v>
      </c>
      <c r="AG344" s="22" t="s">
        <v>55</v>
      </c>
      <c r="AH344" s="22" t="s">
        <v>55</v>
      </c>
      <c r="AI344" s="22" t="s">
        <v>55</v>
      </c>
      <c r="AJ344" s="22" t="s">
        <v>55</v>
      </c>
      <c r="AK344" s="22" t="s">
        <v>55</v>
      </c>
      <c r="AL344" s="22" t="s">
        <v>55</v>
      </c>
      <c r="AM344" s="22" t="s">
        <v>55</v>
      </c>
      <c r="AN344" s="22" t="s">
        <v>55</v>
      </c>
      <c r="AO344" s="22" t="s">
        <v>55</v>
      </c>
      <c r="AP344" s="22" t="s">
        <v>55</v>
      </c>
      <c r="AQ344" s="22" t="s">
        <v>55</v>
      </c>
      <c r="AR344" s="22" t="s">
        <v>55</v>
      </c>
      <c r="AS344" s="22" t="s">
        <v>55</v>
      </c>
      <c r="AT344" s="22" t="s">
        <v>55</v>
      </c>
      <c r="AU344" s="22" t="s">
        <v>55</v>
      </c>
      <c r="AV344" s="22" t="s">
        <v>55</v>
      </c>
      <c r="AW344" s="22" t="s">
        <v>55</v>
      </c>
      <c r="AX344" s="23">
        <v>45973</v>
      </c>
      <c r="AY344" s="22" t="s">
        <v>2161</v>
      </c>
    </row>
    <row r="345" spans="1:51" ht="145" x14ac:dyDescent="0.35">
      <c r="A345" s="22" t="s">
        <v>2312</v>
      </c>
      <c r="B345" s="22" t="s">
        <v>347</v>
      </c>
      <c r="C345" s="22" t="s">
        <v>588</v>
      </c>
      <c r="D345" s="22" t="s">
        <v>465</v>
      </c>
      <c r="E345" s="22" t="s">
        <v>52</v>
      </c>
      <c r="F345" s="22" t="s">
        <v>2313</v>
      </c>
      <c r="G345" s="22" t="s">
        <v>606</v>
      </c>
      <c r="H345" s="22" t="s">
        <v>952</v>
      </c>
      <c r="I345" s="22" t="s">
        <v>149</v>
      </c>
      <c r="J345" s="22" t="s">
        <v>55</v>
      </c>
      <c r="K345" s="22" t="s">
        <v>1720</v>
      </c>
      <c r="L345" s="22" t="s">
        <v>103</v>
      </c>
      <c r="M345" s="22" t="s">
        <v>55</v>
      </c>
      <c r="N345" s="22" t="s">
        <v>55</v>
      </c>
      <c r="O345" s="22" t="s">
        <v>2314</v>
      </c>
      <c r="P345" s="22" t="s">
        <v>2298</v>
      </c>
      <c r="Q345" s="22" t="s">
        <v>2315</v>
      </c>
      <c r="R345" s="22" t="s">
        <v>55</v>
      </c>
      <c r="S345" s="22" t="s">
        <v>2300</v>
      </c>
      <c r="T345" s="22" t="s">
        <v>2301</v>
      </c>
      <c r="U345" s="22" t="s">
        <v>55</v>
      </c>
      <c r="V345" s="23">
        <v>46022</v>
      </c>
      <c r="W345" s="22" t="s">
        <v>55</v>
      </c>
      <c r="X345" s="22" t="s">
        <v>2316</v>
      </c>
      <c r="Y345" s="22" t="s">
        <v>65</v>
      </c>
      <c r="Z345" s="22" t="s">
        <v>55</v>
      </c>
      <c r="AA345" s="22" t="s">
        <v>221</v>
      </c>
      <c r="AB345" s="22" t="s">
        <v>55</v>
      </c>
      <c r="AC345" s="22" t="s">
        <v>55</v>
      </c>
      <c r="AD345" s="22" t="s">
        <v>118</v>
      </c>
      <c r="AE345" s="22" t="s">
        <v>97</v>
      </c>
      <c r="AF345" s="22" t="s">
        <v>55</v>
      </c>
      <c r="AG345" s="22" t="s">
        <v>55</v>
      </c>
      <c r="AH345" s="22" t="s">
        <v>55</v>
      </c>
      <c r="AI345" s="22" t="s">
        <v>55</v>
      </c>
      <c r="AJ345" s="22" t="s">
        <v>55</v>
      </c>
      <c r="AK345" s="22" t="s">
        <v>55</v>
      </c>
      <c r="AL345" s="22" t="s">
        <v>55</v>
      </c>
      <c r="AM345" s="22" t="s">
        <v>55</v>
      </c>
      <c r="AN345" s="22" t="s">
        <v>55</v>
      </c>
      <c r="AO345" s="22" t="s">
        <v>55</v>
      </c>
      <c r="AP345" s="22" t="s">
        <v>55</v>
      </c>
      <c r="AQ345" s="22" t="s">
        <v>55</v>
      </c>
      <c r="AR345" s="22" t="s">
        <v>55</v>
      </c>
      <c r="AS345" s="22" t="s">
        <v>55</v>
      </c>
      <c r="AT345" s="22" t="s">
        <v>55</v>
      </c>
      <c r="AU345" s="22" t="s">
        <v>55</v>
      </c>
      <c r="AV345" s="22" t="s">
        <v>55</v>
      </c>
      <c r="AW345" s="22" t="s">
        <v>55</v>
      </c>
      <c r="AX345" s="23">
        <v>45973</v>
      </c>
      <c r="AY345" s="22" t="s">
        <v>2161</v>
      </c>
    </row>
    <row r="346" spans="1:51" ht="159.5" x14ac:dyDescent="0.35">
      <c r="A346" s="22" t="s">
        <v>2317</v>
      </c>
      <c r="B346" s="22" t="s">
        <v>347</v>
      </c>
      <c r="C346" s="22" t="s">
        <v>588</v>
      </c>
      <c r="D346" s="22" t="s">
        <v>465</v>
      </c>
      <c r="E346" s="22" t="s">
        <v>52</v>
      </c>
      <c r="F346" s="22" t="s">
        <v>1604</v>
      </c>
      <c r="G346" s="22" t="s">
        <v>606</v>
      </c>
      <c r="H346" s="22" t="s">
        <v>607</v>
      </c>
      <c r="I346" s="22" t="s">
        <v>149</v>
      </c>
      <c r="J346" s="22" t="s">
        <v>55</v>
      </c>
      <c r="K346" s="22" t="s">
        <v>1720</v>
      </c>
      <c r="L346" s="22" t="s">
        <v>103</v>
      </c>
      <c r="M346" s="22" t="s">
        <v>55</v>
      </c>
      <c r="N346" s="22" t="s">
        <v>55</v>
      </c>
      <c r="O346" s="22" t="s">
        <v>2318</v>
      </c>
      <c r="P346" s="22" t="s">
        <v>2298</v>
      </c>
      <c r="Q346" s="22" t="s">
        <v>2319</v>
      </c>
      <c r="R346" s="22" t="s">
        <v>55</v>
      </c>
      <c r="S346" s="22" t="s">
        <v>2300</v>
      </c>
      <c r="T346" s="22" t="s">
        <v>2301</v>
      </c>
      <c r="U346" s="22" t="s">
        <v>55</v>
      </c>
      <c r="V346" s="23">
        <v>46022</v>
      </c>
      <c r="W346" s="22" t="s">
        <v>55</v>
      </c>
      <c r="X346" s="22" t="s">
        <v>2320</v>
      </c>
      <c r="Y346" s="22" t="s">
        <v>65</v>
      </c>
      <c r="Z346" s="22" t="s">
        <v>55</v>
      </c>
      <c r="AA346" s="22" t="s">
        <v>221</v>
      </c>
      <c r="AB346" s="22" t="s">
        <v>55</v>
      </c>
      <c r="AC346" s="22" t="s">
        <v>55</v>
      </c>
      <c r="AD346" s="22" t="s">
        <v>118</v>
      </c>
      <c r="AE346" s="22" t="s">
        <v>97</v>
      </c>
      <c r="AF346" s="22" t="s">
        <v>55</v>
      </c>
      <c r="AG346" s="22" t="s">
        <v>55</v>
      </c>
      <c r="AH346" s="22" t="s">
        <v>55</v>
      </c>
      <c r="AI346" s="22" t="s">
        <v>55</v>
      </c>
      <c r="AJ346" s="22" t="s">
        <v>55</v>
      </c>
      <c r="AK346" s="22" t="s">
        <v>55</v>
      </c>
      <c r="AL346" s="22" t="s">
        <v>55</v>
      </c>
      <c r="AM346" s="22" t="s">
        <v>55</v>
      </c>
      <c r="AN346" s="22" t="s">
        <v>55</v>
      </c>
      <c r="AO346" s="22" t="s">
        <v>55</v>
      </c>
      <c r="AP346" s="22" t="s">
        <v>55</v>
      </c>
      <c r="AQ346" s="22" t="s">
        <v>55</v>
      </c>
      <c r="AR346" s="22" t="s">
        <v>55</v>
      </c>
      <c r="AS346" s="22" t="s">
        <v>55</v>
      </c>
      <c r="AT346" s="22" t="s">
        <v>55</v>
      </c>
      <c r="AU346" s="22" t="s">
        <v>55</v>
      </c>
      <c r="AV346" s="22" t="s">
        <v>55</v>
      </c>
      <c r="AW346" s="22" t="s">
        <v>55</v>
      </c>
      <c r="AX346" s="23">
        <v>45973</v>
      </c>
      <c r="AY346" s="22" t="s">
        <v>2161</v>
      </c>
    </row>
    <row r="347" spans="1:51" ht="130.5" x14ac:dyDescent="0.35">
      <c r="A347" s="22" t="s">
        <v>2321</v>
      </c>
      <c r="B347" s="22" t="s">
        <v>347</v>
      </c>
      <c r="C347" s="22" t="s">
        <v>588</v>
      </c>
      <c r="D347" s="22" t="s">
        <v>465</v>
      </c>
      <c r="E347" s="22" t="s">
        <v>52</v>
      </c>
      <c r="F347" s="22" t="s">
        <v>2235</v>
      </c>
      <c r="G347" s="22" t="s">
        <v>606</v>
      </c>
      <c r="H347" s="22" t="s">
        <v>607</v>
      </c>
      <c r="I347" s="22" t="s">
        <v>149</v>
      </c>
      <c r="J347" s="22" t="s">
        <v>55</v>
      </c>
      <c r="K347" s="22" t="s">
        <v>1720</v>
      </c>
      <c r="L347" s="22" t="s">
        <v>103</v>
      </c>
      <c r="M347" s="22" t="s">
        <v>55</v>
      </c>
      <c r="N347" s="22" t="s">
        <v>55</v>
      </c>
      <c r="O347" s="22" t="s">
        <v>2322</v>
      </c>
      <c r="P347" s="22" t="s">
        <v>2298</v>
      </c>
      <c r="Q347" s="22" t="s">
        <v>2323</v>
      </c>
      <c r="R347" s="22" t="s">
        <v>55</v>
      </c>
      <c r="S347" s="22" t="s">
        <v>2300</v>
      </c>
      <c r="T347" s="22" t="s">
        <v>2301</v>
      </c>
      <c r="U347" s="22" t="s">
        <v>55</v>
      </c>
      <c r="V347" s="23">
        <v>46022</v>
      </c>
      <c r="W347" s="22" t="s">
        <v>55</v>
      </c>
      <c r="X347" s="22" t="s">
        <v>2324</v>
      </c>
      <c r="Y347" s="22" t="s">
        <v>65</v>
      </c>
      <c r="Z347" s="22" t="s">
        <v>55</v>
      </c>
      <c r="AA347" s="22" t="s">
        <v>221</v>
      </c>
      <c r="AB347" s="22" t="s">
        <v>55</v>
      </c>
      <c r="AC347" s="22" t="s">
        <v>55</v>
      </c>
      <c r="AD347" s="22" t="s">
        <v>118</v>
      </c>
      <c r="AE347" s="22" t="s">
        <v>97</v>
      </c>
      <c r="AF347" s="22" t="s">
        <v>55</v>
      </c>
      <c r="AG347" s="22" t="s">
        <v>55</v>
      </c>
      <c r="AH347" s="22" t="s">
        <v>55</v>
      </c>
      <c r="AI347" s="22" t="s">
        <v>55</v>
      </c>
      <c r="AJ347" s="22" t="s">
        <v>55</v>
      </c>
      <c r="AK347" s="22" t="s">
        <v>55</v>
      </c>
      <c r="AL347" s="22" t="s">
        <v>55</v>
      </c>
      <c r="AM347" s="22" t="s">
        <v>55</v>
      </c>
      <c r="AN347" s="22" t="s">
        <v>55</v>
      </c>
      <c r="AO347" s="22" t="s">
        <v>55</v>
      </c>
      <c r="AP347" s="22" t="s">
        <v>55</v>
      </c>
      <c r="AQ347" s="22" t="s">
        <v>55</v>
      </c>
      <c r="AR347" s="22" t="s">
        <v>55</v>
      </c>
      <c r="AS347" s="22" t="s">
        <v>55</v>
      </c>
      <c r="AT347" s="22" t="s">
        <v>55</v>
      </c>
      <c r="AU347" s="22" t="s">
        <v>55</v>
      </c>
      <c r="AV347" s="22" t="s">
        <v>55</v>
      </c>
      <c r="AW347" s="22" t="s">
        <v>55</v>
      </c>
      <c r="AX347" s="23">
        <v>45973</v>
      </c>
      <c r="AY347" s="22" t="s">
        <v>2161</v>
      </c>
    </row>
    <row r="348" spans="1:51" ht="159.5" x14ac:dyDescent="0.35">
      <c r="A348" s="22" t="s">
        <v>2325</v>
      </c>
      <c r="B348" s="22" t="s">
        <v>347</v>
      </c>
      <c r="C348" s="22" t="s">
        <v>588</v>
      </c>
      <c r="D348" s="22" t="s">
        <v>465</v>
      </c>
      <c r="E348" s="22" t="s">
        <v>52</v>
      </c>
      <c r="F348" s="22" t="s">
        <v>2326</v>
      </c>
      <c r="G348" s="22" t="s">
        <v>126</v>
      </c>
      <c r="H348" s="22" t="s">
        <v>138</v>
      </c>
      <c r="I348" s="22" t="s">
        <v>149</v>
      </c>
      <c r="J348" s="22" t="s">
        <v>55</v>
      </c>
      <c r="K348" s="22" t="s">
        <v>1720</v>
      </c>
      <c r="L348" s="22" t="s">
        <v>103</v>
      </c>
      <c r="M348" s="22" t="s">
        <v>55</v>
      </c>
      <c r="N348" s="22" t="s">
        <v>55</v>
      </c>
      <c r="O348" s="22" t="s">
        <v>2327</v>
      </c>
      <c r="P348" s="22" t="s">
        <v>2298</v>
      </c>
      <c r="Q348" s="22" t="s">
        <v>2328</v>
      </c>
      <c r="R348" s="22" t="s">
        <v>55</v>
      </c>
      <c r="S348" s="22" t="s">
        <v>2300</v>
      </c>
      <c r="T348" s="22" t="s">
        <v>2301</v>
      </c>
      <c r="U348" s="22" t="s">
        <v>55</v>
      </c>
      <c r="V348" s="23">
        <v>46022</v>
      </c>
      <c r="W348" s="22" t="s">
        <v>55</v>
      </c>
      <c r="X348" s="22" t="s">
        <v>2329</v>
      </c>
      <c r="Y348" s="22" t="s">
        <v>65</v>
      </c>
      <c r="Z348" s="22" t="s">
        <v>55</v>
      </c>
      <c r="AA348" s="22" t="s">
        <v>221</v>
      </c>
      <c r="AB348" s="22" t="s">
        <v>55</v>
      </c>
      <c r="AC348" s="22" t="s">
        <v>55</v>
      </c>
      <c r="AD348" s="22" t="s">
        <v>118</v>
      </c>
      <c r="AE348" s="22" t="s">
        <v>97</v>
      </c>
      <c r="AF348" s="22" t="s">
        <v>55</v>
      </c>
      <c r="AG348" s="22" t="s">
        <v>55</v>
      </c>
      <c r="AH348" s="22" t="s">
        <v>55</v>
      </c>
      <c r="AI348" s="22" t="s">
        <v>55</v>
      </c>
      <c r="AJ348" s="22" t="s">
        <v>55</v>
      </c>
      <c r="AK348" s="22" t="s">
        <v>55</v>
      </c>
      <c r="AL348" s="22" t="s">
        <v>55</v>
      </c>
      <c r="AM348" s="22" t="s">
        <v>55</v>
      </c>
      <c r="AN348" s="22" t="s">
        <v>55</v>
      </c>
      <c r="AO348" s="22" t="s">
        <v>55</v>
      </c>
      <c r="AP348" s="22" t="s">
        <v>55</v>
      </c>
      <c r="AQ348" s="22" t="s">
        <v>55</v>
      </c>
      <c r="AR348" s="22" t="s">
        <v>55</v>
      </c>
      <c r="AS348" s="22" t="s">
        <v>55</v>
      </c>
      <c r="AT348" s="22" t="s">
        <v>55</v>
      </c>
      <c r="AU348" s="22" t="s">
        <v>55</v>
      </c>
      <c r="AV348" s="22" t="s">
        <v>55</v>
      </c>
      <c r="AW348" s="22" t="s">
        <v>55</v>
      </c>
      <c r="AX348" s="23">
        <v>45973</v>
      </c>
      <c r="AY348" s="22" t="s">
        <v>2161</v>
      </c>
    </row>
    <row r="349" spans="1:51" ht="203" x14ac:dyDescent="0.35">
      <c r="A349" s="22" t="s">
        <v>2330</v>
      </c>
      <c r="B349" s="22" t="s">
        <v>347</v>
      </c>
      <c r="C349" s="22" t="s">
        <v>588</v>
      </c>
      <c r="D349" s="22" t="s">
        <v>465</v>
      </c>
      <c r="E349" s="22" t="s">
        <v>52</v>
      </c>
      <c r="F349" s="22" t="s">
        <v>2331</v>
      </c>
      <c r="G349" s="22" t="s">
        <v>54</v>
      </c>
      <c r="H349" s="22" t="s">
        <v>1713</v>
      </c>
      <c r="I349" s="22" t="s">
        <v>149</v>
      </c>
      <c r="J349" s="22" t="s">
        <v>55</v>
      </c>
      <c r="K349" s="22" t="s">
        <v>1720</v>
      </c>
      <c r="L349" s="22" t="s">
        <v>103</v>
      </c>
      <c r="M349" s="22" t="s">
        <v>55</v>
      </c>
      <c r="N349" s="22" t="s">
        <v>55</v>
      </c>
      <c r="O349" s="22" t="s">
        <v>2332</v>
      </c>
      <c r="P349" s="22" t="s">
        <v>2298</v>
      </c>
      <c r="Q349" s="22" t="s">
        <v>2333</v>
      </c>
      <c r="R349" s="22" t="s">
        <v>55</v>
      </c>
      <c r="S349" s="22" t="s">
        <v>2300</v>
      </c>
      <c r="T349" s="22" t="s">
        <v>2301</v>
      </c>
      <c r="U349" s="22" t="s">
        <v>55</v>
      </c>
      <c r="V349" s="23">
        <v>46022</v>
      </c>
      <c r="W349" s="22" t="s">
        <v>55</v>
      </c>
      <c r="X349" s="22" t="s">
        <v>2334</v>
      </c>
      <c r="Y349" s="22" t="s">
        <v>65</v>
      </c>
      <c r="Z349" s="22" t="s">
        <v>55</v>
      </c>
      <c r="AA349" s="22" t="s">
        <v>221</v>
      </c>
      <c r="AB349" s="22" t="s">
        <v>55</v>
      </c>
      <c r="AC349" s="22" t="s">
        <v>55</v>
      </c>
      <c r="AD349" s="22" t="s">
        <v>118</v>
      </c>
      <c r="AE349" s="22" t="s">
        <v>97</v>
      </c>
      <c r="AF349" s="22" t="s">
        <v>55</v>
      </c>
      <c r="AG349" s="22" t="s">
        <v>55</v>
      </c>
      <c r="AH349" s="22" t="s">
        <v>55</v>
      </c>
      <c r="AI349" s="22" t="s">
        <v>55</v>
      </c>
      <c r="AJ349" s="22" t="s">
        <v>55</v>
      </c>
      <c r="AK349" s="22" t="s">
        <v>55</v>
      </c>
      <c r="AL349" s="22" t="s">
        <v>55</v>
      </c>
      <c r="AM349" s="22" t="s">
        <v>55</v>
      </c>
      <c r="AN349" s="22" t="s">
        <v>55</v>
      </c>
      <c r="AO349" s="22" t="s">
        <v>55</v>
      </c>
      <c r="AP349" s="22" t="s">
        <v>55</v>
      </c>
      <c r="AQ349" s="22" t="s">
        <v>55</v>
      </c>
      <c r="AR349" s="22" t="s">
        <v>55</v>
      </c>
      <c r="AS349" s="22" t="s">
        <v>55</v>
      </c>
      <c r="AT349" s="22" t="s">
        <v>55</v>
      </c>
      <c r="AU349" s="22" t="s">
        <v>55</v>
      </c>
      <c r="AV349" s="22" t="s">
        <v>55</v>
      </c>
      <c r="AW349" s="22" t="s">
        <v>55</v>
      </c>
      <c r="AX349" s="23">
        <v>45973</v>
      </c>
      <c r="AY349" s="22" t="s">
        <v>2161</v>
      </c>
    </row>
    <row r="350" spans="1:51" ht="174" x14ac:dyDescent="0.35">
      <c r="A350" s="22" t="s">
        <v>2335</v>
      </c>
      <c r="B350" s="22" t="s">
        <v>347</v>
      </c>
      <c r="C350" s="22" t="s">
        <v>588</v>
      </c>
      <c r="D350" s="22" t="s">
        <v>465</v>
      </c>
      <c r="E350" s="22" t="s">
        <v>52</v>
      </c>
      <c r="F350" s="22" t="s">
        <v>2336</v>
      </c>
      <c r="G350" s="22" t="s">
        <v>126</v>
      </c>
      <c r="H350" s="22" t="s">
        <v>157</v>
      </c>
      <c r="I350" s="22" t="s">
        <v>149</v>
      </c>
      <c r="J350" s="22" t="s">
        <v>55</v>
      </c>
      <c r="K350" s="22" t="s">
        <v>1720</v>
      </c>
      <c r="L350" s="22" t="s">
        <v>103</v>
      </c>
      <c r="M350" s="22" t="s">
        <v>55</v>
      </c>
      <c r="N350" s="22" t="s">
        <v>55</v>
      </c>
      <c r="O350" s="22" t="s">
        <v>2337</v>
      </c>
      <c r="P350" s="22" t="s">
        <v>2298</v>
      </c>
      <c r="Q350" s="22" t="s">
        <v>2338</v>
      </c>
      <c r="R350" s="22" t="s">
        <v>55</v>
      </c>
      <c r="S350" s="22" t="s">
        <v>2300</v>
      </c>
      <c r="T350" s="22" t="s">
        <v>2301</v>
      </c>
      <c r="U350" s="22" t="s">
        <v>55</v>
      </c>
      <c r="V350" s="23">
        <v>46022</v>
      </c>
      <c r="W350" s="22" t="s">
        <v>55</v>
      </c>
      <c r="X350" s="22" t="s">
        <v>2339</v>
      </c>
      <c r="Y350" s="22" t="s">
        <v>65</v>
      </c>
      <c r="Z350" s="22" t="s">
        <v>55</v>
      </c>
      <c r="AA350" s="22" t="s">
        <v>221</v>
      </c>
      <c r="AB350" s="22" t="s">
        <v>55</v>
      </c>
      <c r="AC350" s="22" t="s">
        <v>55</v>
      </c>
      <c r="AD350" s="22" t="s">
        <v>118</v>
      </c>
      <c r="AE350" s="22" t="s">
        <v>97</v>
      </c>
      <c r="AF350" s="22" t="s">
        <v>55</v>
      </c>
      <c r="AG350" s="22" t="s">
        <v>55</v>
      </c>
      <c r="AH350" s="22" t="s">
        <v>55</v>
      </c>
      <c r="AI350" s="22" t="s">
        <v>55</v>
      </c>
      <c r="AJ350" s="22" t="s">
        <v>55</v>
      </c>
      <c r="AK350" s="22" t="s">
        <v>55</v>
      </c>
      <c r="AL350" s="22" t="s">
        <v>55</v>
      </c>
      <c r="AM350" s="22" t="s">
        <v>55</v>
      </c>
      <c r="AN350" s="22" t="s">
        <v>55</v>
      </c>
      <c r="AO350" s="22" t="s">
        <v>55</v>
      </c>
      <c r="AP350" s="22" t="s">
        <v>55</v>
      </c>
      <c r="AQ350" s="22" t="s">
        <v>55</v>
      </c>
      <c r="AR350" s="22" t="s">
        <v>55</v>
      </c>
      <c r="AS350" s="22" t="s">
        <v>55</v>
      </c>
      <c r="AT350" s="22" t="s">
        <v>55</v>
      </c>
      <c r="AU350" s="22" t="s">
        <v>55</v>
      </c>
      <c r="AV350" s="22" t="s">
        <v>55</v>
      </c>
      <c r="AW350" s="22" t="s">
        <v>55</v>
      </c>
      <c r="AX350" s="23">
        <v>45973</v>
      </c>
      <c r="AY350" s="22" t="s">
        <v>2161</v>
      </c>
    </row>
    <row r="351" spans="1:51" ht="145" x14ac:dyDescent="0.35">
      <c r="A351" s="22" t="s">
        <v>2340</v>
      </c>
      <c r="B351" s="22" t="s">
        <v>347</v>
      </c>
      <c r="C351" s="22" t="s">
        <v>588</v>
      </c>
      <c r="D351" s="22" t="s">
        <v>465</v>
      </c>
      <c r="E351" s="22" t="s">
        <v>52</v>
      </c>
      <c r="F351" s="22" t="s">
        <v>1227</v>
      </c>
      <c r="G351" s="22" t="s">
        <v>126</v>
      </c>
      <c r="H351" s="22" t="s">
        <v>127</v>
      </c>
      <c r="I351" s="22" t="s">
        <v>149</v>
      </c>
      <c r="J351" s="22" t="s">
        <v>55</v>
      </c>
      <c r="K351" s="22" t="s">
        <v>1720</v>
      </c>
      <c r="L351" s="22" t="s">
        <v>103</v>
      </c>
      <c r="M351" s="22" t="s">
        <v>55</v>
      </c>
      <c r="N351" s="22" t="s">
        <v>55</v>
      </c>
      <c r="O351" s="22" t="s">
        <v>2341</v>
      </c>
      <c r="P351" s="22" t="s">
        <v>2298</v>
      </c>
      <c r="Q351" s="22" t="s">
        <v>2342</v>
      </c>
      <c r="R351" s="22" t="s">
        <v>55</v>
      </c>
      <c r="S351" s="22" t="s">
        <v>2300</v>
      </c>
      <c r="T351" s="22" t="s">
        <v>2301</v>
      </c>
      <c r="U351" s="22" t="s">
        <v>55</v>
      </c>
      <c r="V351" s="23">
        <v>46022</v>
      </c>
      <c r="W351" s="22" t="s">
        <v>55</v>
      </c>
      <c r="X351" s="22" t="s">
        <v>2343</v>
      </c>
      <c r="Y351" s="22" t="s">
        <v>65</v>
      </c>
      <c r="Z351" s="22" t="s">
        <v>55</v>
      </c>
      <c r="AA351" s="22" t="s">
        <v>221</v>
      </c>
      <c r="AB351" s="22" t="s">
        <v>55</v>
      </c>
      <c r="AC351" s="22" t="s">
        <v>55</v>
      </c>
      <c r="AD351" s="22" t="s">
        <v>118</v>
      </c>
      <c r="AE351" s="22" t="s">
        <v>97</v>
      </c>
      <c r="AF351" s="22" t="s">
        <v>55</v>
      </c>
      <c r="AG351" s="22" t="s">
        <v>55</v>
      </c>
      <c r="AH351" s="22" t="s">
        <v>55</v>
      </c>
      <c r="AI351" s="22" t="s">
        <v>55</v>
      </c>
      <c r="AJ351" s="22" t="s">
        <v>55</v>
      </c>
      <c r="AK351" s="22" t="s">
        <v>55</v>
      </c>
      <c r="AL351" s="22" t="s">
        <v>55</v>
      </c>
      <c r="AM351" s="22" t="s">
        <v>55</v>
      </c>
      <c r="AN351" s="22" t="s">
        <v>55</v>
      </c>
      <c r="AO351" s="22" t="s">
        <v>55</v>
      </c>
      <c r="AP351" s="22" t="s">
        <v>55</v>
      </c>
      <c r="AQ351" s="22" t="s">
        <v>55</v>
      </c>
      <c r="AR351" s="22" t="s">
        <v>55</v>
      </c>
      <c r="AS351" s="22" t="s">
        <v>55</v>
      </c>
      <c r="AT351" s="22" t="s">
        <v>55</v>
      </c>
      <c r="AU351" s="22" t="s">
        <v>55</v>
      </c>
      <c r="AV351" s="22" t="s">
        <v>55</v>
      </c>
      <c r="AW351" s="22" t="s">
        <v>55</v>
      </c>
      <c r="AX351" s="23">
        <v>45973</v>
      </c>
      <c r="AY351" s="22" t="s">
        <v>2161</v>
      </c>
    </row>
    <row r="352" spans="1:51" ht="174" x14ac:dyDescent="0.35">
      <c r="A352" s="22" t="s">
        <v>2344</v>
      </c>
      <c r="B352" s="22" t="s">
        <v>347</v>
      </c>
      <c r="C352" s="22" t="s">
        <v>588</v>
      </c>
      <c r="D352" s="22" t="s">
        <v>465</v>
      </c>
      <c r="E352" s="22" t="s">
        <v>52</v>
      </c>
      <c r="F352" s="22" t="s">
        <v>245</v>
      </c>
      <c r="G352" s="22" t="s">
        <v>126</v>
      </c>
      <c r="H352" s="22" t="s">
        <v>157</v>
      </c>
      <c r="I352" s="22" t="s">
        <v>149</v>
      </c>
      <c r="J352" s="22" t="s">
        <v>55</v>
      </c>
      <c r="K352" s="22" t="s">
        <v>1720</v>
      </c>
      <c r="L352" s="22" t="s">
        <v>103</v>
      </c>
      <c r="M352" s="22" t="s">
        <v>55</v>
      </c>
      <c r="N352" s="22" t="s">
        <v>55</v>
      </c>
      <c r="O352" s="22" t="s">
        <v>2345</v>
      </c>
      <c r="P352" s="22" t="s">
        <v>2298</v>
      </c>
      <c r="Q352" s="22" t="s">
        <v>2346</v>
      </c>
      <c r="R352" s="22" t="s">
        <v>55</v>
      </c>
      <c r="S352" s="22" t="s">
        <v>2300</v>
      </c>
      <c r="T352" s="22" t="s">
        <v>2301</v>
      </c>
      <c r="U352" s="22" t="s">
        <v>55</v>
      </c>
      <c r="V352" s="23">
        <v>46022</v>
      </c>
      <c r="W352" s="22" t="s">
        <v>55</v>
      </c>
      <c r="X352" s="22" t="s">
        <v>2347</v>
      </c>
      <c r="Y352" s="22" t="s">
        <v>65</v>
      </c>
      <c r="Z352" s="22" t="s">
        <v>55</v>
      </c>
      <c r="AA352" s="22" t="s">
        <v>221</v>
      </c>
      <c r="AB352" s="22" t="s">
        <v>55</v>
      </c>
      <c r="AC352" s="22" t="s">
        <v>55</v>
      </c>
      <c r="AD352" s="22" t="s">
        <v>118</v>
      </c>
      <c r="AE352" s="22" t="s">
        <v>97</v>
      </c>
      <c r="AF352" s="22" t="s">
        <v>55</v>
      </c>
      <c r="AG352" s="22" t="s">
        <v>55</v>
      </c>
      <c r="AH352" s="22" t="s">
        <v>55</v>
      </c>
      <c r="AI352" s="22" t="s">
        <v>55</v>
      </c>
      <c r="AJ352" s="22" t="s">
        <v>55</v>
      </c>
      <c r="AK352" s="22" t="s">
        <v>55</v>
      </c>
      <c r="AL352" s="22" t="s">
        <v>55</v>
      </c>
      <c r="AM352" s="22" t="s">
        <v>55</v>
      </c>
      <c r="AN352" s="22" t="s">
        <v>55</v>
      </c>
      <c r="AO352" s="22" t="s">
        <v>55</v>
      </c>
      <c r="AP352" s="22" t="s">
        <v>55</v>
      </c>
      <c r="AQ352" s="22" t="s">
        <v>55</v>
      </c>
      <c r="AR352" s="22" t="s">
        <v>55</v>
      </c>
      <c r="AS352" s="22" t="s">
        <v>55</v>
      </c>
      <c r="AT352" s="22" t="s">
        <v>55</v>
      </c>
      <c r="AU352" s="22" t="s">
        <v>55</v>
      </c>
      <c r="AV352" s="22" t="s">
        <v>55</v>
      </c>
      <c r="AW352" s="22" t="s">
        <v>55</v>
      </c>
      <c r="AX352" s="23">
        <v>45973</v>
      </c>
      <c r="AY352" s="22" t="s">
        <v>2161</v>
      </c>
    </row>
    <row r="353" spans="1:51" ht="174" x14ac:dyDescent="0.35">
      <c r="A353" s="22" t="s">
        <v>2348</v>
      </c>
      <c r="B353" s="22" t="s">
        <v>347</v>
      </c>
      <c r="C353" s="22" t="s">
        <v>588</v>
      </c>
      <c r="D353" s="22" t="s">
        <v>465</v>
      </c>
      <c r="E353" s="22" t="s">
        <v>52</v>
      </c>
      <c r="F353" s="22" t="s">
        <v>817</v>
      </c>
      <c r="G353" s="22" t="s">
        <v>606</v>
      </c>
      <c r="H353" s="22" t="s">
        <v>818</v>
      </c>
      <c r="I353" s="22" t="s">
        <v>149</v>
      </c>
      <c r="J353" s="22" t="s">
        <v>55</v>
      </c>
      <c r="K353" s="22" t="s">
        <v>1720</v>
      </c>
      <c r="L353" s="22" t="s">
        <v>103</v>
      </c>
      <c r="M353" s="22" t="s">
        <v>55</v>
      </c>
      <c r="N353" s="22" t="s">
        <v>55</v>
      </c>
      <c r="O353" s="22" t="s">
        <v>2349</v>
      </c>
      <c r="P353" s="22" t="s">
        <v>2298</v>
      </c>
      <c r="Q353" s="22" t="s">
        <v>2350</v>
      </c>
      <c r="R353" s="22" t="s">
        <v>55</v>
      </c>
      <c r="S353" s="22" t="s">
        <v>2300</v>
      </c>
      <c r="T353" s="22" t="s">
        <v>2301</v>
      </c>
      <c r="U353" s="22" t="s">
        <v>55</v>
      </c>
      <c r="V353" s="23">
        <v>46022</v>
      </c>
      <c r="W353" s="22" t="s">
        <v>55</v>
      </c>
      <c r="X353" s="22" t="s">
        <v>2351</v>
      </c>
      <c r="Y353" s="22" t="s">
        <v>65</v>
      </c>
      <c r="Z353" s="22" t="s">
        <v>55</v>
      </c>
      <c r="AA353" s="22" t="s">
        <v>221</v>
      </c>
      <c r="AB353" s="22" t="s">
        <v>55</v>
      </c>
      <c r="AC353" s="22" t="s">
        <v>55</v>
      </c>
      <c r="AD353" s="22" t="s">
        <v>118</v>
      </c>
      <c r="AE353" s="22" t="s">
        <v>97</v>
      </c>
      <c r="AF353" s="22" t="s">
        <v>55</v>
      </c>
      <c r="AG353" s="22" t="s">
        <v>55</v>
      </c>
      <c r="AH353" s="22" t="s">
        <v>55</v>
      </c>
      <c r="AI353" s="22" t="s">
        <v>55</v>
      </c>
      <c r="AJ353" s="22" t="s">
        <v>55</v>
      </c>
      <c r="AK353" s="22" t="s">
        <v>55</v>
      </c>
      <c r="AL353" s="22" t="s">
        <v>55</v>
      </c>
      <c r="AM353" s="22" t="s">
        <v>55</v>
      </c>
      <c r="AN353" s="22" t="s">
        <v>55</v>
      </c>
      <c r="AO353" s="22" t="s">
        <v>55</v>
      </c>
      <c r="AP353" s="22" t="s">
        <v>55</v>
      </c>
      <c r="AQ353" s="22" t="s">
        <v>55</v>
      </c>
      <c r="AR353" s="22" t="s">
        <v>55</v>
      </c>
      <c r="AS353" s="22" t="s">
        <v>55</v>
      </c>
      <c r="AT353" s="22" t="s">
        <v>55</v>
      </c>
      <c r="AU353" s="22" t="s">
        <v>55</v>
      </c>
      <c r="AV353" s="22" t="s">
        <v>55</v>
      </c>
      <c r="AW353" s="22" t="s">
        <v>55</v>
      </c>
      <c r="AX353" s="23">
        <v>45973</v>
      </c>
      <c r="AY353" s="22" t="s">
        <v>2161</v>
      </c>
    </row>
    <row r="354" spans="1:51" ht="116" x14ac:dyDescent="0.35">
      <c r="A354" s="22" t="s">
        <v>2352</v>
      </c>
      <c r="B354" s="22" t="s">
        <v>347</v>
      </c>
      <c r="C354" s="22" t="s">
        <v>588</v>
      </c>
      <c r="D354" s="22" t="s">
        <v>465</v>
      </c>
      <c r="E354" s="22" t="s">
        <v>52</v>
      </c>
      <c r="F354" s="22" t="s">
        <v>1136</v>
      </c>
      <c r="G354" s="22" t="s">
        <v>126</v>
      </c>
      <c r="H354" s="22" t="s">
        <v>1137</v>
      </c>
      <c r="I354" s="22" t="s">
        <v>149</v>
      </c>
      <c r="J354" s="22" t="s">
        <v>55</v>
      </c>
      <c r="K354" s="22" t="s">
        <v>1720</v>
      </c>
      <c r="L354" s="22" t="s">
        <v>103</v>
      </c>
      <c r="M354" s="22" t="s">
        <v>55</v>
      </c>
      <c r="N354" s="22" t="s">
        <v>55</v>
      </c>
      <c r="O354" s="22" t="s">
        <v>2353</v>
      </c>
      <c r="P354" s="22" t="s">
        <v>2298</v>
      </c>
      <c r="Q354" s="22" t="s">
        <v>2354</v>
      </c>
      <c r="R354" s="22" t="s">
        <v>55</v>
      </c>
      <c r="S354" s="22" t="s">
        <v>2300</v>
      </c>
      <c r="T354" s="22" t="s">
        <v>2301</v>
      </c>
      <c r="U354" s="22" t="s">
        <v>55</v>
      </c>
      <c r="V354" s="23">
        <v>46022</v>
      </c>
      <c r="W354" s="22" t="s">
        <v>55</v>
      </c>
      <c r="X354" s="22" t="s">
        <v>2355</v>
      </c>
      <c r="Y354" s="22" t="s">
        <v>65</v>
      </c>
      <c r="Z354" s="22" t="s">
        <v>55</v>
      </c>
      <c r="AA354" s="22" t="s">
        <v>221</v>
      </c>
      <c r="AB354" s="22" t="s">
        <v>55</v>
      </c>
      <c r="AC354" s="22" t="s">
        <v>55</v>
      </c>
      <c r="AD354" s="22" t="s">
        <v>118</v>
      </c>
      <c r="AE354" s="22" t="s">
        <v>97</v>
      </c>
      <c r="AF354" s="22" t="s">
        <v>55</v>
      </c>
      <c r="AG354" s="22" t="s">
        <v>55</v>
      </c>
      <c r="AH354" s="22" t="s">
        <v>55</v>
      </c>
      <c r="AI354" s="22" t="s">
        <v>55</v>
      </c>
      <c r="AJ354" s="22" t="s">
        <v>55</v>
      </c>
      <c r="AK354" s="22" t="s">
        <v>55</v>
      </c>
      <c r="AL354" s="22" t="s">
        <v>55</v>
      </c>
      <c r="AM354" s="22" t="s">
        <v>55</v>
      </c>
      <c r="AN354" s="22" t="s">
        <v>55</v>
      </c>
      <c r="AO354" s="22" t="s">
        <v>55</v>
      </c>
      <c r="AP354" s="22" t="s">
        <v>55</v>
      </c>
      <c r="AQ354" s="22" t="s">
        <v>55</v>
      </c>
      <c r="AR354" s="22" t="s">
        <v>55</v>
      </c>
      <c r="AS354" s="22" t="s">
        <v>55</v>
      </c>
      <c r="AT354" s="22" t="s">
        <v>55</v>
      </c>
      <c r="AU354" s="22" t="s">
        <v>55</v>
      </c>
      <c r="AV354" s="22" t="s">
        <v>55</v>
      </c>
      <c r="AW354" s="22" t="s">
        <v>55</v>
      </c>
      <c r="AX354" s="23">
        <v>45973</v>
      </c>
      <c r="AY354" s="22" t="s">
        <v>2161</v>
      </c>
    </row>
    <row r="355" spans="1:51" ht="116" x14ac:dyDescent="0.35">
      <c r="A355" s="22" t="s">
        <v>2356</v>
      </c>
      <c r="B355" s="22" t="s">
        <v>347</v>
      </c>
      <c r="C355" s="22" t="s">
        <v>588</v>
      </c>
      <c r="D355" s="22" t="s">
        <v>465</v>
      </c>
      <c r="E355" s="22" t="s">
        <v>52</v>
      </c>
      <c r="F355" s="22" t="s">
        <v>1147</v>
      </c>
      <c r="G355" s="22" t="s">
        <v>54</v>
      </c>
      <c r="H355" s="22" t="s">
        <v>1713</v>
      </c>
      <c r="I355" s="22" t="s">
        <v>149</v>
      </c>
      <c r="J355" s="22" t="s">
        <v>55</v>
      </c>
      <c r="K355" s="22" t="s">
        <v>1720</v>
      </c>
      <c r="L355" s="22" t="s">
        <v>103</v>
      </c>
      <c r="M355" s="22" t="s">
        <v>55</v>
      </c>
      <c r="N355" s="22" t="s">
        <v>55</v>
      </c>
      <c r="O355" s="22" t="s">
        <v>2357</v>
      </c>
      <c r="P355" s="22" t="s">
        <v>2298</v>
      </c>
      <c r="Q355" s="22" t="s">
        <v>2358</v>
      </c>
      <c r="R355" s="22" t="s">
        <v>55</v>
      </c>
      <c r="S355" s="22" t="s">
        <v>2300</v>
      </c>
      <c r="T355" s="22" t="s">
        <v>2301</v>
      </c>
      <c r="U355" s="22" t="s">
        <v>55</v>
      </c>
      <c r="V355" s="23">
        <v>46022</v>
      </c>
      <c r="W355" s="22" t="s">
        <v>55</v>
      </c>
      <c r="X355" s="22" t="s">
        <v>2359</v>
      </c>
      <c r="Y355" s="22" t="s">
        <v>65</v>
      </c>
      <c r="Z355" s="22" t="s">
        <v>55</v>
      </c>
      <c r="AA355" s="22" t="s">
        <v>221</v>
      </c>
      <c r="AB355" s="22" t="s">
        <v>55</v>
      </c>
      <c r="AC355" s="22" t="s">
        <v>55</v>
      </c>
      <c r="AD355" s="22" t="s">
        <v>118</v>
      </c>
      <c r="AE355" s="22" t="s">
        <v>97</v>
      </c>
      <c r="AF355" s="22" t="s">
        <v>55</v>
      </c>
      <c r="AG355" s="22" t="s">
        <v>55</v>
      </c>
      <c r="AH355" s="22" t="s">
        <v>55</v>
      </c>
      <c r="AI355" s="22" t="s">
        <v>55</v>
      </c>
      <c r="AJ355" s="22" t="s">
        <v>55</v>
      </c>
      <c r="AK355" s="22" t="s">
        <v>55</v>
      </c>
      <c r="AL355" s="22" t="s">
        <v>55</v>
      </c>
      <c r="AM355" s="22" t="s">
        <v>55</v>
      </c>
      <c r="AN355" s="22" t="s">
        <v>55</v>
      </c>
      <c r="AO355" s="22" t="s">
        <v>55</v>
      </c>
      <c r="AP355" s="22" t="s">
        <v>55</v>
      </c>
      <c r="AQ355" s="22" t="s">
        <v>55</v>
      </c>
      <c r="AR355" s="22" t="s">
        <v>55</v>
      </c>
      <c r="AS355" s="22" t="s">
        <v>55</v>
      </c>
      <c r="AT355" s="22" t="s">
        <v>55</v>
      </c>
      <c r="AU355" s="22" t="s">
        <v>55</v>
      </c>
      <c r="AV355" s="22" t="s">
        <v>55</v>
      </c>
      <c r="AW355" s="22" t="s">
        <v>55</v>
      </c>
      <c r="AX355" s="23">
        <v>45973</v>
      </c>
      <c r="AY355" s="22" t="s">
        <v>2161</v>
      </c>
    </row>
    <row r="356" spans="1:51" ht="188.5" x14ac:dyDescent="0.35">
      <c r="A356" s="22" t="s">
        <v>2360</v>
      </c>
      <c r="B356" s="22" t="s">
        <v>347</v>
      </c>
      <c r="C356" s="22" t="s">
        <v>588</v>
      </c>
      <c r="D356" s="22" t="s">
        <v>465</v>
      </c>
      <c r="E356" s="22" t="s">
        <v>52</v>
      </c>
      <c r="F356" s="22" t="s">
        <v>2361</v>
      </c>
      <c r="G356" s="22" t="s">
        <v>54</v>
      </c>
      <c r="H356" s="22" t="s">
        <v>1713</v>
      </c>
      <c r="I356" s="22" t="s">
        <v>149</v>
      </c>
      <c r="J356" s="22" t="s">
        <v>55</v>
      </c>
      <c r="K356" s="22" t="s">
        <v>1720</v>
      </c>
      <c r="L356" s="22" t="s">
        <v>103</v>
      </c>
      <c r="M356" s="22" t="s">
        <v>55</v>
      </c>
      <c r="N356" s="22" t="s">
        <v>55</v>
      </c>
      <c r="O356" s="22" t="s">
        <v>2362</v>
      </c>
      <c r="P356" s="22" t="s">
        <v>2298</v>
      </c>
      <c r="Q356" s="22" t="s">
        <v>2363</v>
      </c>
      <c r="R356" s="22" t="s">
        <v>55</v>
      </c>
      <c r="S356" s="22" t="s">
        <v>2300</v>
      </c>
      <c r="T356" s="22" t="s">
        <v>2301</v>
      </c>
      <c r="U356" s="22" t="s">
        <v>55</v>
      </c>
      <c r="V356" s="23">
        <v>46022</v>
      </c>
      <c r="W356" s="22" t="s">
        <v>55</v>
      </c>
      <c r="X356" s="22" t="s">
        <v>2364</v>
      </c>
      <c r="Y356" s="22" t="s">
        <v>65</v>
      </c>
      <c r="Z356" s="22" t="s">
        <v>55</v>
      </c>
      <c r="AA356" s="22" t="s">
        <v>221</v>
      </c>
      <c r="AB356" s="22" t="s">
        <v>55</v>
      </c>
      <c r="AC356" s="22" t="s">
        <v>55</v>
      </c>
      <c r="AD356" s="22" t="s">
        <v>118</v>
      </c>
      <c r="AE356" s="22" t="s">
        <v>97</v>
      </c>
      <c r="AF356" s="22" t="s">
        <v>55</v>
      </c>
      <c r="AG356" s="22" t="s">
        <v>55</v>
      </c>
      <c r="AH356" s="22" t="s">
        <v>55</v>
      </c>
      <c r="AI356" s="22" t="s">
        <v>55</v>
      </c>
      <c r="AJ356" s="22" t="s">
        <v>55</v>
      </c>
      <c r="AK356" s="22" t="s">
        <v>55</v>
      </c>
      <c r="AL356" s="22" t="s">
        <v>55</v>
      </c>
      <c r="AM356" s="22" t="s">
        <v>55</v>
      </c>
      <c r="AN356" s="22" t="s">
        <v>55</v>
      </c>
      <c r="AO356" s="22" t="s">
        <v>55</v>
      </c>
      <c r="AP356" s="22" t="s">
        <v>55</v>
      </c>
      <c r="AQ356" s="22" t="s">
        <v>55</v>
      </c>
      <c r="AR356" s="22" t="s">
        <v>55</v>
      </c>
      <c r="AS356" s="22" t="s">
        <v>55</v>
      </c>
      <c r="AT356" s="22" t="s">
        <v>55</v>
      </c>
      <c r="AU356" s="22" t="s">
        <v>55</v>
      </c>
      <c r="AV356" s="22" t="s">
        <v>55</v>
      </c>
      <c r="AW356" s="22" t="s">
        <v>55</v>
      </c>
      <c r="AX356" s="23">
        <v>45973</v>
      </c>
      <c r="AY356" s="22" t="s">
        <v>2161</v>
      </c>
    </row>
    <row r="357" spans="1:51" ht="188.5" x14ac:dyDescent="0.35">
      <c r="A357" s="22" t="s">
        <v>2365</v>
      </c>
      <c r="B357" s="22" t="s">
        <v>347</v>
      </c>
      <c r="C357" s="22" t="s">
        <v>588</v>
      </c>
      <c r="D357" s="22" t="s">
        <v>465</v>
      </c>
      <c r="E357" s="22" t="s">
        <v>52</v>
      </c>
      <c r="F357" s="22" t="s">
        <v>896</v>
      </c>
      <c r="G357" s="22" t="s">
        <v>54</v>
      </c>
      <c r="H357" s="22" t="s">
        <v>1727</v>
      </c>
      <c r="I357" s="22" t="s">
        <v>149</v>
      </c>
      <c r="J357" s="22" t="s">
        <v>55</v>
      </c>
      <c r="K357" s="22" t="s">
        <v>1720</v>
      </c>
      <c r="L357" s="22" t="s">
        <v>103</v>
      </c>
      <c r="M357" s="22" t="s">
        <v>55</v>
      </c>
      <c r="N357" s="22" t="s">
        <v>55</v>
      </c>
      <c r="O357" s="22" t="s">
        <v>2366</v>
      </c>
      <c r="P357" s="22" t="s">
        <v>2298</v>
      </c>
      <c r="Q357" s="22" t="s">
        <v>2367</v>
      </c>
      <c r="R357" s="22" t="s">
        <v>55</v>
      </c>
      <c r="S357" s="22" t="s">
        <v>2300</v>
      </c>
      <c r="T357" s="22" t="s">
        <v>2301</v>
      </c>
      <c r="U357" s="22" t="s">
        <v>55</v>
      </c>
      <c r="V357" s="23">
        <v>46022</v>
      </c>
      <c r="W357" s="22" t="s">
        <v>55</v>
      </c>
      <c r="X357" s="22" t="s">
        <v>2368</v>
      </c>
      <c r="Y357" s="22" t="s">
        <v>65</v>
      </c>
      <c r="Z357" s="22" t="s">
        <v>55</v>
      </c>
      <c r="AA357" s="22" t="s">
        <v>221</v>
      </c>
      <c r="AB357" s="22" t="s">
        <v>55</v>
      </c>
      <c r="AC357" s="22" t="s">
        <v>55</v>
      </c>
      <c r="AD357" s="22" t="s">
        <v>118</v>
      </c>
      <c r="AE357" s="22" t="s">
        <v>97</v>
      </c>
      <c r="AF357" s="22" t="s">
        <v>55</v>
      </c>
      <c r="AG357" s="22" t="s">
        <v>55</v>
      </c>
      <c r="AH357" s="22" t="s">
        <v>55</v>
      </c>
      <c r="AI357" s="22" t="s">
        <v>55</v>
      </c>
      <c r="AJ357" s="22" t="s">
        <v>55</v>
      </c>
      <c r="AK357" s="22" t="s">
        <v>55</v>
      </c>
      <c r="AL357" s="22" t="s">
        <v>55</v>
      </c>
      <c r="AM357" s="22" t="s">
        <v>55</v>
      </c>
      <c r="AN357" s="22" t="s">
        <v>55</v>
      </c>
      <c r="AO357" s="22" t="s">
        <v>55</v>
      </c>
      <c r="AP357" s="22" t="s">
        <v>55</v>
      </c>
      <c r="AQ357" s="22" t="s">
        <v>55</v>
      </c>
      <c r="AR357" s="22" t="s">
        <v>55</v>
      </c>
      <c r="AS357" s="22" t="s">
        <v>55</v>
      </c>
      <c r="AT357" s="22" t="s">
        <v>55</v>
      </c>
      <c r="AU357" s="22" t="s">
        <v>55</v>
      </c>
      <c r="AV357" s="22" t="s">
        <v>55</v>
      </c>
      <c r="AW357" s="22" t="s">
        <v>55</v>
      </c>
      <c r="AX357" s="23">
        <v>45973</v>
      </c>
      <c r="AY357" s="22" t="s">
        <v>2161</v>
      </c>
    </row>
    <row r="358" spans="1:51" ht="203" x14ac:dyDescent="0.35">
      <c r="A358" s="22" t="s">
        <v>2369</v>
      </c>
      <c r="B358" s="22" t="s">
        <v>347</v>
      </c>
      <c r="C358" s="22" t="s">
        <v>588</v>
      </c>
      <c r="D358" s="22" t="s">
        <v>465</v>
      </c>
      <c r="E358" s="22" t="s">
        <v>52</v>
      </c>
      <c r="F358" s="22" t="s">
        <v>2370</v>
      </c>
      <c r="G358" s="22" t="s">
        <v>54</v>
      </c>
      <c r="H358" s="22" t="s">
        <v>1713</v>
      </c>
      <c r="I358" s="22" t="s">
        <v>149</v>
      </c>
      <c r="J358" s="22" t="s">
        <v>55</v>
      </c>
      <c r="K358" s="22" t="s">
        <v>1720</v>
      </c>
      <c r="L358" s="22" t="s">
        <v>103</v>
      </c>
      <c r="M358" s="22" t="s">
        <v>55</v>
      </c>
      <c r="N358" s="22" t="s">
        <v>55</v>
      </c>
      <c r="O358" s="22" t="s">
        <v>2371</v>
      </c>
      <c r="P358" s="22" t="s">
        <v>2298</v>
      </c>
      <c r="Q358" s="22" t="s">
        <v>2372</v>
      </c>
      <c r="R358" s="22" t="s">
        <v>55</v>
      </c>
      <c r="S358" s="22" t="s">
        <v>2300</v>
      </c>
      <c r="T358" s="22" t="s">
        <v>2301</v>
      </c>
      <c r="U358" s="22" t="s">
        <v>55</v>
      </c>
      <c r="V358" s="23">
        <v>46022</v>
      </c>
      <c r="W358" s="22" t="s">
        <v>55</v>
      </c>
      <c r="X358" s="22" t="s">
        <v>2373</v>
      </c>
      <c r="Y358" s="22" t="s">
        <v>65</v>
      </c>
      <c r="Z358" s="22" t="s">
        <v>55</v>
      </c>
      <c r="AA358" s="22" t="s">
        <v>221</v>
      </c>
      <c r="AB358" s="22" t="s">
        <v>55</v>
      </c>
      <c r="AC358" s="22" t="s">
        <v>55</v>
      </c>
      <c r="AD358" s="22" t="s">
        <v>118</v>
      </c>
      <c r="AE358" s="22" t="s">
        <v>97</v>
      </c>
      <c r="AF358" s="22" t="s">
        <v>55</v>
      </c>
      <c r="AG358" s="22" t="s">
        <v>55</v>
      </c>
      <c r="AH358" s="22" t="s">
        <v>55</v>
      </c>
      <c r="AI358" s="22" t="s">
        <v>55</v>
      </c>
      <c r="AJ358" s="22" t="s">
        <v>55</v>
      </c>
      <c r="AK358" s="22" t="s">
        <v>55</v>
      </c>
      <c r="AL358" s="22" t="s">
        <v>55</v>
      </c>
      <c r="AM358" s="22" t="s">
        <v>55</v>
      </c>
      <c r="AN358" s="22" t="s">
        <v>55</v>
      </c>
      <c r="AO358" s="22" t="s">
        <v>55</v>
      </c>
      <c r="AP358" s="22" t="s">
        <v>55</v>
      </c>
      <c r="AQ358" s="22" t="s">
        <v>55</v>
      </c>
      <c r="AR358" s="22" t="s">
        <v>55</v>
      </c>
      <c r="AS358" s="22" t="s">
        <v>55</v>
      </c>
      <c r="AT358" s="22" t="s">
        <v>55</v>
      </c>
      <c r="AU358" s="22" t="s">
        <v>55</v>
      </c>
      <c r="AV358" s="22" t="s">
        <v>55</v>
      </c>
      <c r="AW358" s="22" t="s">
        <v>55</v>
      </c>
      <c r="AX358" s="23">
        <v>45973</v>
      </c>
      <c r="AY358" s="22" t="s">
        <v>2161</v>
      </c>
    </row>
    <row r="359" spans="1:51" ht="203" x14ac:dyDescent="0.35">
      <c r="A359" s="22" t="s">
        <v>2374</v>
      </c>
      <c r="B359" s="22" t="s">
        <v>347</v>
      </c>
      <c r="C359" s="22" t="s">
        <v>588</v>
      </c>
      <c r="D359" s="22" t="s">
        <v>465</v>
      </c>
      <c r="E359" s="22" t="s">
        <v>52</v>
      </c>
      <c r="F359" s="22" t="s">
        <v>2375</v>
      </c>
      <c r="G359" s="22" t="s">
        <v>54</v>
      </c>
      <c r="H359" s="22" t="s">
        <v>1714</v>
      </c>
      <c r="I359" s="22" t="s">
        <v>149</v>
      </c>
      <c r="J359" s="22" t="s">
        <v>55</v>
      </c>
      <c r="K359" s="22" t="s">
        <v>1720</v>
      </c>
      <c r="L359" s="22" t="s">
        <v>103</v>
      </c>
      <c r="M359" s="22" t="s">
        <v>55</v>
      </c>
      <c r="N359" s="22" t="s">
        <v>55</v>
      </c>
      <c r="O359" s="22" t="s">
        <v>2376</v>
      </c>
      <c r="P359" s="22" t="s">
        <v>2298</v>
      </c>
      <c r="Q359" s="22" t="s">
        <v>2377</v>
      </c>
      <c r="R359" s="22" t="s">
        <v>55</v>
      </c>
      <c r="S359" s="22" t="s">
        <v>2300</v>
      </c>
      <c r="T359" s="22" t="s">
        <v>2301</v>
      </c>
      <c r="U359" s="22" t="s">
        <v>55</v>
      </c>
      <c r="V359" s="23">
        <v>46022</v>
      </c>
      <c r="W359" s="22" t="s">
        <v>55</v>
      </c>
      <c r="X359" s="22" t="s">
        <v>2378</v>
      </c>
      <c r="Y359" s="22" t="s">
        <v>65</v>
      </c>
      <c r="Z359" s="22" t="s">
        <v>55</v>
      </c>
      <c r="AA359" s="22" t="s">
        <v>221</v>
      </c>
      <c r="AB359" s="22" t="s">
        <v>55</v>
      </c>
      <c r="AC359" s="22" t="s">
        <v>55</v>
      </c>
      <c r="AD359" s="22" t="s">
        <v>118</v>
      </c>
      <c r="AE359" s="22" t="s">
        <v>97</v>
      </c>
      <c r="AF359" s="22" t="s">
        <v>55</v>
      </c>
      <c r="AG359" s="22" t="s">
        <v>55</v>
      </c>
      <c r="AH359" s="22" t="s">
        <v>55</v>
      </c>
      <c r="AI359" s="22" t="s">
        <v>55</v>
      </c>
      <c r="AJ359" s="22" t="s">
        <v>55</v>
      </c>
      <c r="AK359" s="22" t="s">
        <v>55</v>
      </c>
      <c r="AL359" s="22" t="s">
        <v>55</v>
      </c>
      <c r="AM359" s="22" t="s">
        <v>55</v>
      </c>
      <c r="AN359" s="22" t="s">
        <v>55</v>
      </c>
      <c r="AO359" s="22" t="s">
        <v>55</v>
      </c>
      <c r="AP359" s="22" t="s">
        <v>55</v>
      </c>
      <c r="AQ359" s="22" t="s">
        <v>55</v>
      </c>
      <c r="AR359" s="22" t="s">
        <v>55</v>
      </c>
      <c r="AS359" s="22" t="s">
        <v>55</v>
      </c>
      <c r="AT359" s="22" t="s">
        <v>55</v>
      </c>
      <c r="AU359" s="22" t="s">
        <v>55</v>
      </c>
      <c r="AV359" s="22" t="s">
        <v>55</v>
      </c>
      <c r="AW359" s="22" t="s">
        <v>55</v>
      </c>
      <c r="AX359" s="23">
        <v>45973</v>
      </c>
      <c r="AY359" s="22" t="s">
        <v>2161</v>
      </c>
    </row>
    <row r="360" spans="1:51" ht="174" x14ac:dyDescent="0.35">
      <c r="A360" s="22" t="s">
        <v>2379</v>
      </c>
      <c r="B360" s="22" t="s">
        <v>347</v>
      </c>
      <c r="C360" s="22" t="s">
        <v>588</v>
      </c>
      <c r="D360" s="22" t="s">
        <v>465</v>
      </c>
      <c r="E360" s="22" t="s">
        <v>52</v>
      </c>
      <c r="F360" s="22" t="s">
        <v>501</v>
      </c>
      <c r="G360" s="22" t="s">
        <v>54</v>
      </c>
      <c r="H360" s="22" t="s">
        <v>1711</v>
      </c>
      <c r="I360" s="22" t="s">
        <v>149</v>
      </c>
      <c r="J360" s="22" t="s">
        <v>55</v>
      </c>
      <c r="K360" s="22" t="s">
        <v>1720</v>
      </c>
      <c r="L360" s="22" t="s">
        <v>103</v>
      </c>
      <c r="M360" s="22" t="s">
        <v>55</v>
      </c>
      <c r="N360" s="22" t="s">
        <v>55</v>
      </c>
      <c r="O360" s="22" t="s">
        <v>2380</v>
      </c>
      <c r="P360" s="22" t="s">
        <v>2298</v>
      </c>
      <c r="Q360" s="22" t="s">
        <v>2381</v>
      </c>
      <c r="R360" s="22" t="s">
        <v>55</v>
      </c>
      <c r="S360" s="22" t="s">
        <v>2300</v>
      </c>
      <c r="T360" s="22" t="s">
        <v>2301</v>
      </c>
      <c r="U360" s="22" t="s">
        <v>55</v>
      </c>
      <c r="V360" s="23">
        <v>46022</v>
      </c>
      <c r="W360" s="22" t="s">
        <v>55</v>
      </c>
      <c r="X360" s="22" t="s">
        <v>2382</v>
      </c>
      <c r="Y360" s="22" t="s">
        <v>65</v>
      </c>
      <c r="Z360" s="22" t="s">
        <v>55</v>
      </c>
      <c r="AA360" s="22" t="s">
        <v>221</v>
      </c>
      <c r="AB360" s="22" t="s">
        <v>55</v>
      </c>
      <c r="AC360" s="22" t="s">
        <v>55</v>
      </c>
      <c r="AD360" s="22" t="s">
        <v>118</v>
      </c>
      <c r="AE360" s="22" t="s">
        <v>97</v>
      </c>
      <c r="AF360" s="22" t="s">
        <v>55</v>
      </c>
      <c r="AG360" s="22" t="s">
        <v>55</v>
      </c>
      <c r="AH360" s="22" t="s">
        <v>55</v>
      </c>
      <c r="AI360" s="22" t="s">
        <v>55</v>
      </c>
      <c r="AJ360" s="22" t="s">
        <v>55</v>
      </c>
      <c r="AK360" s="22" t="s">
        <v>55</v>
      </c>
      <c r="AL360" s="22" t="s">
        <v>55</v>
      </c>
      <c r="AM360" s="22" t="s">
        <v>55</v>
      </c>
      <c r="AN360" s="22" t="s">
        <v>55</v>
      </c>
      <c r="AO360" s="22" t="s">
        <v>55</v>
      </c>
      <c r="AP360" s="22" t="s">
        <v>55</v>
      </c>
      <c r="AQ360" s="22" t="s">
        <v>55</v>
      </c>
      <c r="AR360" s="22" t="s">
        <v>55</v>
      </c>
      <c r="AS360" s="22" t="s">
        <v>55</v>
      </c>
      <c r="AT360" s="22" t="s">
        <v>55</v>
      </c>
      <c r="AU360" s="22" t="s">
        <v>55</v>
      </c>
      <c r="AV360" s="22" t="s">
        <v>55</v>
      </c>
      <c r="AW360" s="22" t="s">
        <v>55</v>
      </c>
      <c r="AX360" s="23">
        <v>45973</v>
      </c>
      <c r="AY360" s="22" t="s">
        <v>2161</v>
      </c>
    </row>
    <row r="361" spans="1:51" ht="188.5" x14ac:dyDescent="0.35">
      <c r="A361" s="22" t="s">
        <v>2383</v>
      </c>
      <c r="B361" s="22" t="s">
        <v>347</v>
      </c>
      <c r="C361" s="22" t="s">
        <v>588</v>
      </c>
      <c r="D361" s="22" t="s">
        <v>465</v>
      </c>
      <c r="E361" s="22" t="s">
        <v>52</v>
      </c>
      <c r="F361" s="22" t="s">
        <v>2384</v>
      </c>
      <c r="G361" s="22" t="s">
        <v>54</v>
      </c>
      <c r="H361" s="22" t="s">
        <v>1727</v>
      </c>
      <c r="I361" s="22" t="s">
        <v>149</v>
      </c>
      <c r="J361" s="22" t="s">
        <v>55</v>
      </c>
      <c r="K361" s="22" t="s">
        <v>1720</v>
      </c>
      <c r="L361" s="22" t="s">
        <v>103</v>
      </c>
      <c r="M361" s="22" t="s">
        <v>55</v>
      </c>
      <c r="N361" s="22" t="s">
        <v>55</v>
      </c>
      <c r="O361" s="22" t="s">
        <v>2385</v>
      </c>
      <c r="P361" s="22" t="s">
        <v>2298</v>
      </c>
      <c r="Q361" s="22" t="s">
        <v>2386</v>
      </c>
      <c r="R361" s="22" t="s">
        <v>55</v>
      </c>
      <c r="S361" s="22" t="s">
        <v>2300</v>
      </c>
      <c r="T361" s="22" t="s">
        <v>2301</v>
      </c>
      <c r="U361" s="22" t="s">
        <v>55</v>
      </c>
      <c r="V361" s="23">
        <v>46022</v>
      </c>
      <c r="W361" s="22" t="s">
        <v>55</v>
      </c>
      <c r="X361" s="22" t="s">
        <v>2387</v>
      </c>
      <c r="Y361" s="22" t="s">
        <v>65</v>
      </c>
      <c r="Z361" s="22" t="s">
        <v>55</v>
      </c>
      <c r="AA361" s="22" t="s">
        <v>221</v>
      </c>
      <c r="AB361" s="22" t="s">
        <v>55</v>
      </c>
      <c r="AC361" s="22" t="s">
        <v>55</v>
      </c>
      <c r="AD361" s="22" t="s">
        <v>118</v>
      </c>
      <c r="AE361" s="22" t="s">
        <v>97</v>
      </c>
      <c r="AF361" s="22" t="s">
        <v>55</v>
      </c>
      <c r="AG361" s="22" t="s">
        <v>55</v>
      </c>
      <c r="AH361" s="22" t="s">
        <v>55</v>
      </c>
      <c r="AI361" s="22" t="s">
        <v>55</v>
      </c>
      <c r="AJ361" s="22" t="s">
        <v>55</v>
      </c>
      <c r="AK361" s="22" t="s">
        <v>55</v>
      </c>
      <c r="AL361" s="22" t="s">
        <v>55</v>
      </c>
      <c r="AM361" s="22" t="s">
        <v>55</v>
      </c>
      <c r="AN361" s="22" t="s">
        <v>55</v>
      </c>
      <c r="AO361" s="22" t="s">
        <v>55</v>
      </c>
      <c r="AP361" s="22" t="s">
        <v>55</v>
      </c>
      <c r="AQ361" s="22" t="s">
        <v>55</v>
      </c>
      <c r="AR361" s="22" t="s">
        <v>55</v>
      </c>
      <c r="AS361" s="22" t="s">
        <v>55</v>
      </c>
      <c r="AT361" s="22" t="s">
        <v>55</v>
      </c>
      <c r="AU361" s="22" t="s">
        <v>55</v>
      </c>
      <c r="AV361" s="22" t="s">
        <v>55</v>
      </c>
      <c r="AW361" s="22" t="s">
        <v>55</v>
      </c>
      <c r="AX361" s="23">
        <v>45973</v>
      </c>
      <c r="AY361" s="22" t="s">
        <v>2161</v>
      </c>
    </row>
    <row r="362" spans="1:51" ht="246.5" x14ac:dyDescent="0.35">
      <c r="A362" s="22" t="s">
        <v>2388</v>
      </c>
      <c r="B362" s="22" t="s">
        <v>347</v>
      </c>
      <c r="C362" s="22" t="s">
        <v>588</v>
      </c>
      <c r="D362" s="22" t="s">
        <v>465</v>
      </c>
      <c r="E362" s="22" t="s">
        <v>52</v>
      </c>
      <c r="F362" s="22" t="s">
        <v>2389</v>
      </c>
      <c r="G362" s="22" t="s">
        <v>54</v>
      </c>
      <c r="H362" s="22" t="s">
        <v>1712</v>
      </c>
      <c r="I362" s="22" t="s">
        <v>149</v>
      </c>
      <c r="J362" s="22" t="s">
        <v>55</v>
      </c>
      <c r="K362" s="22" t="s">
        <v>1720</v>
      </c>
      <c r="L362" s="22" t="s">
        <v>103</v>
      </c>
      <c r="M362" s="22" t="s">
        <v>55</v>
      </c>
      <c r="N362" s="22" t="s">
        <v>55</v>
      </c>
      <c r="O362" s="22" t="s">
        <v>2390</v>
      </c>
      <c r="P362" s="22" t="s">
        <v>2298</v>
      </c>
      <c r="Q362" s="22" t="s">
        <v>2391</v>
      </c>
      <c r="R362" s="22" t="s">
        <v>55</v>
      </c>
      <c r="S362" s="22" t="s">
        <v>2300</v>
      </c>
      <c r="T362" s="22" t="s">
        <v>2301</v>
      </c>
      <c r="U362" s="22" t="s">
        <v>55</v>
      </c>
      <c r="V362" s="23">
        <v>46022</v>
      </c>
      <c r="W362" s="22" t="s">
        <v>55</v>
      </c>
      <c r="X362" s="22" t="s">
        <v>2392</v>
      </c>
      <c r="Y362" s="22" t="s">
        <v>65</v>
      </c>
      <c r="Z362" s="22" t="s">
        <v>55</v>
      </c>
      <c r="AA362" s="22" t="s">
        <v>221</v>
      </c>
      <c r="AB362" s="22" t="s">
        <v>55</v>
      </c>
      <c r="AC362" s="22" t="s">
        <v>55</v>
      </c>
      <c r="AD362" s="22" t="s">
        <v>118</v>
      </c>
      <c r="AE362" s="22" t="s">
        <v>97</v>
      </c>
      <c r="AF362" s="22" t="s">
        <v>55</v>
      </c>
      <c r="AG362" s="22" t="s">
        <v>55</v>
      </c>
      <c r="AH362" s="22" t="s">
        <v>55</v>
      </c>
      <c r="AI362" s="22" t="s">
        <v>55</v>
      </c>
      <c r="AJ362" s="22" t="s">
        <v>55</v>
      </c>
      <c r="AK362" s="22" t="s">
        <v>55</v>
      </c>
      <c r="AL362" s="22" t="s">
        <v>55</v>
      </c>
      <c r="AM362" s="22" t="s">
        <v>55</v>
      </c>
      <c r="AN362" s="22" t="s">
        <v>55</v>
      </c>
      <c r="AO362" s="22" t="s">
        <v>55</v>
      </c>
      <c r="AP362" s="22" t="s">
        <v>55</v>
      </c>
      <c r="AQ362" s="22" t="s">
        <v>55</v>
      </c>
      <c r="AR362" s="22" t="s">
        <v>55</v>
      </c>
      <c r="AS362" s="22" t="s">
        <v>55</v>
      </c>
      <c r="AT362" s="22" t="s">
        <v>55</v>
      </c>
      <c r="AU362" s="22" t="s">
        <v>55</v>
      </c>
      <c r="AV362" s="22" t="s">
        <v>55</v>
      </c>
      <c r="AW362" s="22" t="s">
        <v>55</v>
      </c>
      <c r="AX362" s="23">
        <v>45973</v>
      </c>
      <c r="AY362" s="22" t="s">
        <v>2161</v>
      </c>
    </row>
    <row r="363" spans="1:51" ht="188.5" x14ac:dyDescent="0.35">
      <c r="A363" s="22" t="s">
        <v>2393</v>
      </c>
      <c r="B363" s="22" t="s">
        <v>347</v>
      </c>
      <c r="C363" s="22" t="s">
        <v>588</v>
      </c>
      <c r="D363" s="22" t="s">
        <v>465</v>
      </c>
      <c r="E363" s="22" t="s">
        <v>52</v>
      </c>
      <c r="F363" s="22" t="s">
        <v>2394</v>
      </c>
      <c r="G363" s="22" t="s">
        <v>54</v>
      </c>
      <c r="H363" s="22" t="s">
        <v>1712</v>
      </c>
      <c r="I363" s="22" t="s">
        <v>149</v>
      </c>
      <c r="J363" s="22" t="s">
        <v>55</v>
      </c>
      <c r="K363" s="22" t="s">
        <v>1720</v>
      </c>
      <c r="L363" s="22" t="s">
        <v>103</v>
      </c>
      <c r="M363" s="22" t="s">
        <v>55</v>
      </c>
      <c r="N363" s="22" t="s">
        <v>55</v>
      </c>
      <c r="O363" s="22" t="s">
        <v>2395</v>
      </c>
      <c r="P363" s="22" t="s">
        <v>2298</v>
      </c>
      <c r="Q363" s="22" t="s">
        <v>2396</v>
      </c>
      <c r="R363" s="22" t="s">
        <v>55</v>
      </c>
      <c r="S363" s="22" t="s">
        <v>2300</v>
      </c>
      <c r="T363" s="22" t="s">
        <v>2301</v>
      </c>
      <c r="U363" s="22" t="s">
        <v>55</v>
      </c>
      <c r="V363" s="23">
        <v>46022</v>
      </c>
      <c r="W363" s="22" t="s">
        <v>55</v>
      </c>
      <c r="X363" s="22" t="s">
        <v>2397</v>
      </c>
      <c r="Y363" s="22" t="s">
        <v>65</v>
      </c>
      <c r="Z363" s="22" t="s">
        <v>55</v>
      </c>
      <c r="AA363" s="22" t="s">
        <v>221</v>
      </c>
      <c r="AB363" s="22" t="s">
        <v>55</v>
      </c>
      <c r="AC363" s="22" t="s">
        <v>55</v>
      </c>
      <c r="AD363" s="22" t="s">
        <v>118</v>
      </c>
      <c r="AE363" s="22" t="s">
        <v>97</v>
      </c>
      <c r="AF363" s="22" t="s">
        <v>55</v>
      </c>
      <c r="AG363" s="22" t="s">
        <v>55</v>
      </c>
      <c r="AH363" s="22" t="s">
        <v>55</v>
      </c>
      <c r="AI363" s="22" t="s">
        <v>55</v>
      </c>
      <c r="AJ363" s="22" t="s">
        <v>55</v>
      </c>
      <c r="AK363" s="22" t="s">
        <v>55</v>
      </c>
      <c r="AL363" s="22" t="s">
        <v>55</v>
      </c>
      <c r="AM363" s="22" t="s">
        <v>55</v>
      </c>
      <c r="AN363" s="22" t="s">
        <v>55</v>
      </c>
      <c r="AO363" s="22" t="s">
        <v>55</v>
      </c>
      <c r="AP363" s="22" t="s">
        <v>55</v>
      </c>
      <c r="AQ363" s="22" t="s">
        <v>55</v>
      </c>
      <c r="AR363" s="22" t="s">
        <v>55</v>
      </c>
      <c r="AS363" s="22" t="s">
        <v>55</v>
      </c>
      <c r="AT363" s="22" t="s">
        <v>55</v>
      </c>
      <c r="AU363" s="22" t="s">
        <v>55</v>
      </c>
      <c r="AV363" s="22" t="s">
        <v>55</v>
      </c>
      <c r="AW363" s="22" t="s">
        <v>55</v>
      </c>
      <c r="AX363" s="23">
        <v>45973</v>
      </c>
      <c r="AY363" s="22" t="s">
        <v>2161</v>
      </c>
    </row>
    <row r="364" spans="1:51" ht="159.5" x14ac:dyDescent="0.35">
      <c r="A364" s="22" t="s">
        <v>2398</v>
      </c>
      <c r="B364" s="22" t="s">
        <v>347</v>
      </c>
      <c r="C364" s="22" t="s">
        <v>588</v>
      </c>
      <c r="D364" s="22" t="s">
        <v>465</v>
      </c>
      <c r="E364" s="22" t="s">
        <v>52</v>
      </c>
      <c r="F364" s="22" t="s">
        <v>2399</v>
      </c>
      <c r="G364" s="22" t="s">
        <v>54</v>
      </c>
      <c r="H364" s="22" t="s">
        <v>2400</v>
      </c>
      <c r="I364" s="22" t="s">
        <v>149</v>
      </c>
      <c r="J364" s="22" t="s">
        <v>55</v>
      </c>
      <c r="K364" s="22" t="s">
        <v>1720</v>
      </c>
      <c r="L364" s="22" t="s">
        <v>103</v>
      </c>
      <c r="M364" s="22" t="s">
        <v>55</v>
      </c>
      <c r="N364" s="22" t="s">
        <v>55</v>
      </c>
      <c r="O364" s="22" t="s">
        <v>2401</v>
      </c>
      <c r="P364" s="22" t="s">
        <v>2298</v>
      </c>
      <c r="Q364" s="22" t="s">
        <v>2402</v>
      </c>
      <c r="R364" s="22" t="s">
        <v>55</v>
      </c>
      <c r="S364" s="22" t="s">
        <v>2300</v>
      </c>
      <c r="T364" s="22" t="s">
        <v>2301</v>
      </c>
      <c r="U364" s="22" t="s">
        <v>55</v>
      </c>
      <c r="V364" s="23">
        <v>46022</v>
      </c>
      <c r="W364" s="22" t="s">
        <v>55</v>
      </c>
      <c r="X364" s="22" t="s">
        <v>2403</v>
      </c>
      <c r="Y364" s="22" t="s">
        <v>65</v>
      </c>
      <c r="Z364" s="22" t="s">
        <v>55</v>
      </c>
      <c r="AA364" s="22" t="s">
        <v>221</v>
      </c>
      <c r="AB364" s="22" t="s">
        <v>55</v>
      </c>
      <c r="AC364" s="22" t="s">
        <v>55</v>
      </c>
      <c r="AD364" s="22" t="s">
        <v>118</v>
      </c>
      <c r="AE364" s="22" t="s">
        <v>97</v>
      </c>
      <c r="AF364" s="22" t="s">
        <v>55</v>
      </c>
      <c r="AG364" s="22" t="s">
        <v>55</v>
      </c>
      <c r="AH364" s="22" t="s">
        <v>55</v>
      </c>
      <c r="AI364" s="22" t="s">
        <v>55</v>
      </c>
      <c r="AJ364" s="22" t="s">
        <v>55</v>
      </c>
      <c r="AK364" s="22" t="s">
        <v>55</v>
      </c>
      <c r="AL364" s="22" t="s">
        <v>55</v>
      </c>
      <c r="AM364" s="22" t="s">
        <v>55</v>
      </c>
      <c r="AN364" s="22" t="s">
        <v>55</v>
      </c>
      <c r="AO364" s="22" t="s">
        <v>55</v>
      </c>
      <c r="AP364" s="22" t="s">
        <v>55</v>
      </c>
      <c r="AQ364" s="22" t="s">
        <v>55</v>
      </c>
      <c r="AR364" s="22" t="s">
        <v>55</v>
      </c>
      <c r="AS364" s="22" t="s">
        <v>55</v>
      </c>
      <c r="AT364" s="22" t="s">
        <v>55</v>
      </c>
      <c r="AU364" s="22" t="s">
        <v>55</v>
      </c>
      <c r="AV364" s="22" t="s">
        <v>55</v>
      </c>
      <c r="AW364" s="22" t="s">
        <v>55</v>
      </c>
      <c r="AX364" s="23">
        <v>45973</v>
      </c>
      <c r="AY364" s="22" t="s">
        <v>2161</v>
      </c>
    </row>
    <row r="365" spans="1:51" ht="130.5" x14ac:dyDescent="0.35">
      <c r="A365" s="22" t="s">
        <v>2404</v>
      </c>
      <c r="B365" s="22" t="s">
        <v>347</v>
      </c>
      <c r="C365" s="22" t="s">
        <v>588</v>
      </c>
      <c r="D365" s="22" t="s">
        <v>465</v>
      </c>
      <c r="E365" s="22" t="s">
        <v>52</v>
      </c>
      <c r="F365" s="22" t="s">
        <v>2405</v>
      </c>
      <c r="G365" s="22" t="s">
        <v>126</v>
      </c>
      <c r="H365" s="22" t="s">
        <v>157</v>
      </c>
      <c r="I365" s="22" t="s">
        <v>149</v>
      </c>
      <c r="J365" s="22" t="s">
        <v>55</v>
      </c>
      <c r="K365" s="22" t="s">
        <v>1720</v>
      </c>
      <c r="L365" s="22" t="s">
        <v>103</v>
      </c>
      <c r="M365" s="22" t="s">
        <v>55</v>
      </c>
      <c r="N365" s="22" t="s">
        <v>55</v>
      </c>
      <c r="O365" s="22" t="s">
        <v>2406</v>
      </c>
      <c r="P365" s="22" t="s">
        <v>2298</v>
      </c>
      <c r="Q365" s="22" t="s">
        <v>2407</v>
      </c>
      <c r="R365" s="22" t="s">
        <v>55</v>
      </c>
      <c r="S365" s="22" t="s">
        <v>2300</v>
      </c>
      <c r="T365" s="22" t="s">
        <v>2301</v>
      </c>
      <c r="U365" s="22" t="s">
        <v>55</v>
      </c>
      <c r="V365" s="23">
        <v>46022</v>
      </c>
      <c r="W365" s="22" t="s">
        <v>55</v>
      </c>
      <c r="X365" s="22" t="s">
        <v>2408</v>
      </c>
      <c r="Y365" s="22" t="s">
        <v>65</v>
      </c>
      <c r="Z365" s="22" t="s">
        <v>55</v>
      </c>
      <c r="AA365" s="22" t="s">
        <v>221</v>
      </c>
      <c r="AB365" s="22" t="s">
        <v>55</v>
      </c>
      <c r="AC365" s="22" t="s">
        <v>55</v>
      </c>
      <c r="AD365" s="22" t="s">
        <v>118</v>
      </c>
      <c r="AE365" s="22" t="s">
        <v>97</v>
      </c>
      <c r="AF365" s="22" t="s">
        <v>55</v>
      </c>
      <c r="AG365" s="22" t="s">
        <v>55</v>
      </c>
      <c r="AH365" s="22" t="s">
        <v>55</v>
      </c>
      <c r="AI365" s="22" t="s">
        <v>55</v>
      </c>
      <c r="AJ365" s="22" t="s">
        <v>55</v>
      </c>
      <c r="AK365" s="22" t="s">
        <v>55</v>
      </c>
      <c r="AL365" s="22" t="s">
        <v>55</v>
      </c>
      <c r="AM365" s="22" t="s">
        <v>55</v>
      </c>
      <c r="AN365" s="22" t="s">
        <v>55</v>
      </c>
      <c r="AO365" s="22" t="s">
        <v>55</v>
      </c>
      <c r="AP365" s="22" t="s">
        <v>55</v>
      </c>
      <c r="AQ365" s="22" t="s">
        <v>55</v>
      </c>
      <c r="AR365" s="22" t="s">
        <v>55</v>
      </c>
      <c r="AS365" s="22" t="s">
        <v>55</v>
      </c>
      <c r="AT365" s="22" t="s">
        <v>55</v>
      </c>
      <c r="AU365" s="22" t="s">
        <v>55</v>
      </c>
      <c r="AV365" s="22" t="s">
        <v>55</v>
      </c>
      <c r="AW365" s="22" t="s">
        <v>55</v>
      </c>
      <c r="AX365" s="23">
        <v>45973</v>
      </c>
      <c r="AY365" s="22" t="s">
        <v>2161</v>
      </c>
    </row>
    <row r="366" spans="1:51" ht="145" x14ac:dyDescent="0.35">
      <c r="A366" s="22" t="s">
        <v>2409</v>
      </c>
      <c r="B366" s="22" t="s">
        <v>347</v>
      </c>
      <c r="C366" s="22" t="s">
        <v>588</v>
      </c>
      <c r="D366" s="22" t="s">
        <v>465</v>
      </c>
      <c r="E366" s="22" t="s">
        <v>52</v>
      </c>
      <c r="F366" s="22" t="s">
        <v>2410</v>
      </c>
      <c r="G366" s="22" t="s">
        <v>54</v>
      </c>
      <c r="H366" s="22" t="s">
        <v>1713</v>
      </c>
      <c r="I366" s="22" t="s">
        <v>149</v>
      </c>
      <c r="J366" s="22" t="s">
        <v>55</v>
      </c>
      <c r="K366" s="22" t="s">
        <v>1720</v>
      </c>
      <c r="L366" s="22" t="s">
        <v>103</v>
      </c>
      <c r="M366" s="22" t="s">
        <v>55</v>
      </c>
      <c r="N366" s="22" t="s">
        <v>55</v>
      </c>
      <c r="O366" s="22" t="s">
        <v>2411</v>
      </c>
      <c r="P366" s="22" t="s">
        <v>2298</v>
      </c>
      <c r="Q366" s="22" t="s">
        <v>2412</v>
      </c>
      <c r="R366" s="22" t="s">
        <v>55</v>
      </c>
      <c r="S366" s="22" t="s">
        <v>2300</v>
      </c>
      <c r="T366" s="22" t="s">
        <v>2301</v>
      </c>
      <c r="U366" s="22" t="s">
        <v>55</v>
      </c>
      <c r="V366" s="23">
        <v>46022</v>
      </c>
      <c r="W366" s="22" t="s">
        <v>55</v>
      </c>
      <c r="X366" s="22" t="s">
        <v>2413</v>
      </c>
      <c r="Y366" s="22" t="s">
        <v>65</v>
      </c>
      <c r="Z366" s="22" t="s">
        <v>55</v>
      </c>
      <c r="AA366" s="22" t="s">
        <v>221</v>
      </c>
      <c r="AB366" s="22" t="s">
        <v>55</v>
      </c>
      <c r="AC366" s="22" t="s">
        <v>55</v>
      </c>
      <c r="AD366" s="22" t="s">
        <v>118</v>
      </c>
      <c r="AE366" s="22" t="s">
        <v>97</v>
      </c>
      <c r="AF366" s="22" t="s">
        <v>55</v>
      </c>
      <c r="AG366" s="22" t="s">
        <v>55</v>
      </c>
      <c r="AH366" s="22" t="s">
        <v>55</v>
      </c>
      <c r="AI366" s="22" t="s">
        <v>55</v>
      </c>
      <c r="AJ366" s="22" t="s">
        <v>55</v>
      </c>
      <c r="AK366" s="22" t="s">
        <v>55</v>
      </c>
      <c r="AL366" s="22" t="s">
        <v>55</v>
      </c>
      <c r="AM366" s="22" t="s">
        <v>55</v>
      </c>
      <c r="AN366" s="22" t="s">
        <v>55</v>
      </c>
      <c r="AO366" s="22" t="s">
        <v>55</v>
      </c>
      <c r="AP366" s="22" t="s">
        <v>55</v>
      </c>
      <c r="AQ366" s="22" t="s">
        <v>55</v>
      </c>
      <c r="AR366" s="22" t="s">
        <v>55</v>
      </c>
      <c r="AS366" s="22" t="s">
        <v>55</v>
      </c>
      <c r="AT366" s="22" t="s">
        <v>55</v>
      </c>
      <c r="AU366" s="22" t="s">
        <v>55</v>
      </c>
      <c r="AV366" s="22" t="s">
        <v>55</v>
      </c>
      <c r="AW366" s="22" t="s">
        <v>55</v>
      </c>
      <c r="AX366" s="23">
        <v>45973</v>
      </c>
      <c r="AY366" s="22" t="s">
        <v>2161</v>
      </c>
    </row>
    <row r="367" spans="1:51" ht="203" x14ac:dyDescent="0.35">
      <c r="A367" s="22" t="s">
        <v>2414</v>
      </c>
      <c r="B367" s="22" t="s">
        <v>347</v>
      </c>
      <c r="C367" s="22" t="s">
        <v>588</v>
      </c>
      <c r="D367" s="22" t="s">
        <v>465</v>
      </c>
      <c r="E367" s="22" t="s">
        <v>52</v>
      </c>
      <c r="F367" s="22" t="s">
        <v>1420</v>
      </c>
      <c r="G367" s="22" t="s">
        <v>54</v>
      </c>
      <c r="H367" s="22" t="s">
        <v>1716</v>
      </c>
      <c r="I367" s="22" t="s">
        <v>149</v>
      </c>
      <c r="J367" s="22" t="s">
        <v>55</v>
      </c>
      <c r="K367" s="22" t="s">
        <v>1720</v>
      </c>
      <c r="L367" s="22" t="s">
        <v>103</v>
      </c>
      <c r="M367" s="22" t="s">
        <v>55</v>
      </c>
      <c r="N367" s="22" t="s">
        <v>55</v>
      </c>
      <c r="O367" s="22" t="s">
        <v>2415</v>
      </c>
      <c r="P367" s="22" t="s">
        <v>2298</v>
      </c>
      <c r="Q367" s="22" t="s">
        <v>2416</v>
      </c>
      <c r="R367" s="22" t="s">
        <v>55</v>
      </c>
      <c r="S367" s="22" t="s">
        <v>2300</v>
      </c>
      <c r="T367" s="22" t="s">
        <v>2301</v>
      </c>
      <c r="U367" s="22" t="s">
        <v>55</v>
      </c>
      <c r="V367" s="23">
        <v>46022</v>
      </c>
      <c r="W367" s="22" t="s">
        <v>55</v>
      </c>
      <c r="X367" s="22" t="s">
        <v>2417</v>
      </c>
      <c r="Y367" s="22" t="s">
        <v>65</v>
      </c>
      <c r="Z367" s="22" t="s">
        <v>55</v>
      </c>
      <c r="AA367" s="22" t="s">
        <v>221</v>
      </c>
      <c r="AB367" s="22" t="s">
        <v>55</v>
      </c>
      <c r="AC367" s="22" t="s">
        <v>55</v>
      </c>
      <c r="AD367" s="22" t="s">
        <v>118</v>
      </c>
      <c r="AE367" s="22" t="s">
        <v>97</v>
      </c>
      <c r="AF367" s="22" t="s">
        <v>55</v>
      </c>
      <c r="AG367" s="22" t="s">
        <v>55</v>
      </c>
      <c r="AH367" s="22" t="s">
        <v>55</v>
      </c>
      <c r="AI367" s="22" t="s">
        <v>55</v>
      </c>
      <c r="AJ367" s="22" t="s">
        <v>55</v>
      </c>
      <c r="AK367" s="22" t="s">
        <v>55</v>
      </c>
      <c r="AL367" s="22" t="s">
        <v>55</v>
      </c>
      <c r="AM367" s="22" t="s">
        <v>55</v>
      </c>
      <c r="AN367" s="22" t="s">
        <v>55</v>
      </c>
      <c r="AO367" s="22" t="s">
        <v>55</v>
      </c>
      <c r="AP367" s="22" t="s">
        <v>55</v>
      </c>
      <c r="AQ367" s="22" t="s">
        <v>55</v>
      </c>
      <c r="AR367" s="22" t="s">
        <v>55</v>
      </c>
      <c r="AS367" s="22" t="s">
        <v>55</v>
      </c>
      <c r="AT367" s="22" t="s">
        <v>55</v>
      </c>
      <c r="AU367" s="22" t="s">
        <v>55</v>
      </c>
      <c r="AV367" s="22" t="s">
        <v>55</v>
      </c>
      <c r="AW367" s="22" t="s">
        <v>55</v>
      </c>
      <c r="AX367" s="23">
        <v>45973</v>
      </c>
      <c r="AY367" s="22" t="s">
        <v>2161</v>
      </c>
    </row>
    <row r="368" spans="1:51" ht="159.5" x14ac:dyDescent="0.35">
      <c r="A368" s="22" t="s">
        <v>2418</v>
      </c>
      <c r="B368" s="22" t="s">
        <v>347</v>
      </c>
      <c r="C368" s="22" t="s">
        <v>588</v>
      </c>
      <c r="D368" s="22" t="s">
        <v>465</v>
      </c>
      <c r="E368" s="22" t="s">
        <v>52</v>
      </c>
      <c r="F368" s="22" t="s">
        <v>2419</v>
      </c>
      <c r="G368" s="22" t="s">
        <v>606</v>
      </c>
      <c r="H368" s="22" t="s">
        <v>607</v>
      </c>
      <c r="I368" s="22" t="s">
        <v>149</v>
      </c>
      <c r="J368" s="22" t="s">
        <v>55</v>
      </c>
      <c r="K368" s="22" t="s">
        <v>1720</v>
      </c>
      <c r="L368" s="22" t="s">
        <v>103</v>
      </c>
      <c r="M368" s="22" t="s">
        <v>55</v>
      </c>
      <c r="N368" s="22" t="s">
        <v>55</v>
      </c>
      <c r="O368" s="22" t="s">
        <v>2420</v>
      </c>
      <c r="P368" s="22" t="s">
        <v>2298</v>
      </c>
      <c r="Q368" s="22" t="s">
        <v>2421</v>
      </c>
      <c r="R368" s="22" t="s">
        <v>55</v>
      </c>
      <c r="S368" s="22" t="s">
        <v>2300</v>
      </c>
      <c r="T368" s="22" t="s">
        <v>2301</v>
      </c>
      <c r="U368" s="22" t="s">
        <v>55</v>
      </c>
      <c r="V368" s="23">
        <v>46022</v>
      </c>
      <c r="W368" s="22" t="s">
        <v>55</v>
      </c>
      <c r="X368" s="22" t="s">
        <v>2422</v>
      </c>
      <c r="Y368" s="22" t="s">
        <v>65</v>
      </c>
      <c r="Z368" s="22" t="s">
        <v>55</v>
      </c>
      <c r="AA368" s="22" t="s">
        <v>221</v>
      </c>
      <c r="AB368" s="22" t="s">
        <v>55</v>
      </c>
      <c r="AC368" s="22" t="s">
        <v>55</v>
      </c>
      <c r="AD368" s="22" t="s">
        <v>118</v>
      </c>
      <c r="AE368" s="22" t="s">
        <v>97</v>
      </c>
      <c r="AF368" s="22" t="s">
        <v>55</v>
      </c>
      <c r="AG368" s="22" t="s">
        <v>55</v>
      </c>
      <c r="AH368" s="22" t="s">
        <v>55</v>
      </c>
      <c r="AI368" s="22" t="s">
        <v>55</v>
      </c>
      <c r="AJ368" s="22" t="s">
        <v>55</v>
      </c>
      <c r="AK368" s="22" t="s">
        <v>55</v>
      </c>
      <c r="AL368" s="22" t="s">
        <v>55</v>
      </c>
      <c r="AM368" s="22" t="s">
        <v>55</v>
      </c>
      <c r="AN368" s="22" t="s">
        <v>55</v>
      </c>
      <c r="AO368" s="22" t="s">
        <v>55</v>
      </c>
      <c r="AP368" s="22" t="s">
        <v>55</v>
      </c>
      <c r="AQ368" s="22" t="s">
        <v>55</v>
      </c>
      <c r="AR368" s="22" t="s">
        <v>55</v>
      </c>
      <c r="AS368" s="22" t="s">
        <v>55</v>
      </c>
      <c r="AT368" s="22" t="s">
        <v>55</v>
      </c>
      <c r="AU368" s="22" t="s">
        <v>55</v>
      </c>
      <c r="AV368" s="22" t="s">
        <v>55</v>
      </c>
      <c r="AW368" s="22" t="s">
        <v>55</v>
      </c>
      <c r="AX368" s="23">
        <v>45973</v>
      </c>
      <c r="AY368" s="22" t="s">
        <v>2161</v>
      </c>
    </row>
    <row r="369" spans="1:51" ht="174" x14ac:dyDescent="0.35">
      <c r="A369" s="22" t="s">
        <v>2423</v>
      </c>
      <c r="B369" s="22" t="s">
        <v>347</v>
      </c>
      <c r="C369" s="22" t="s">
        <v>588</v>
      </c>
      <c r="D369" s="22" t="s">
        <v>465</v>
      </c>
      <c r="E369" s="22" t="s">
        <v>52</v>
      </c>
      <c r="F369" s="22" t="s">
        <v>2424</v>
      </c>
      <c r="G369" s="22" t="s">
        <v>606</v>
      </c>
      <c r="H369" s="22" t="s">
        <v>607</v>
      </c>
      <c r="I369" s="22" t="s">
        <v>149</v>
      </c>
      <c r="J369" s="22" t="s">
        <v>55</v>
      </c>
      <c r="K369" s="22" t="s">
        <v>1720</v>
      </c>
      <c r="L369" s="22" t="s">
        <v>103</v>
      </c>
      <c r="M369" s="22" t="s">
        <v>55</v>
      </c>
      <c r="N369" s="22" t="s">
        <v>55</v>
      </c>
      <c r="O369" s="22" t="s">
        <v>2425</v>
      </c>
      <c r="P369" s="22" t="s">
        <v>2298</v>
      </c>
      <c r="Q369" s="22" t="s">
        <v>2426</v>
      </c>
      <c r="R369" s="22" t="s">
        <v>55</v>
      </c>
      <c r="S369" s="22" t="s">
        <v>2300</v>
      </c>
      <c r="T369" s="22" t="s">
        <v>2301</v>
      </c>
      <c r="U369" s="22" t="s">
        <v>55</v>
      </c>
      <c r="V369" s="23">
        <v>46022</v>
      </c>
      <c r="W369" s="22" t="s">
        <v>55</v>
      </c>
      <c r="X369" s="22" t="s">
        <v>2427</v>
      </c>
      <c r="Y369" s="22" t="s">
        <v>65</v>
      </c>
      <c r="Z369" s="22" t="s">
        <v>55</v>
      </c>
      <c r="AA369" s="22" t="s">
        <v>221</v>
      </c>
      <c r="AB369" s="22" t="s">
        <v>55</v>
      </c>
      <c r="AC369" s="22" t="s">
        <v>55</v>
      </c>
      <c r="AD369" s="22" t="s">
        <v>118</v>
      </c>
      <c r="AE369" s="22" t="s">
        <v>97</v>
      </c>
      <c r="AF369" s="22" t="s">
        <v>55</v>
      </c>
      <c r="AG369" s="22" t="s">
        <v>55</v>
      </c>
      <c r="AH369" s="22" t="s">
        <v>55</v>
      </c>
      <c r="AI369" s="22" t="s">
        <v>55</v>
      </c>
      <c r="AJ369" s="22" t="s">
        <v>55</v>
      </c>
      <c r="AK369" s="22" t="s">
        <v>55</v>
      </c>
      <c r="AL369" s="22" t="s">
        <v>55</v>
      </c>
      <c r="AM369" s="22" t="s">
        <v>55</v>
      </c>
      <c r="AN369" s="22" t="s">
        <v>55</v>
      </c>
      <c r="AO369" s="22" t="s">
        <v>55</v>
      </c>
      <c r="AP369" s="22" t="s">
        <v>55</v>
      </c>
      <c r="AQ369" s="22" t="s">
        <v>55</v>
      </c>
      <c r="AR369" s="22" t="s">
        <v>55</v>
      </c>
      <c r="AS369" s="22" t="s">
        <v>55</v>
      </c>
      <c r="AT369" s="22" t="s">
        <v>55</v>
      </c>
      <c r="AU369" s="22" t="s">
        <v>55</v>
      </c>
      <c r="AV369" s="22" t="s">
        <v>55</v>
      </c>
      <c r="AW369" s="22" t="s">
        <v>55</v>
      </c>
      <c r="AX369" s="23">
        <v>45973</v>
      </c>
      <c r="AY369" s="22" t="s">
        <v>2161</v>
      </c>
    </row>
    <row r="370" spans="1:51" ht="174" x14ac:dyDescent="0.35">
      <c r="A370" s="22" t="s">
        <v>2428</v>
      </c>
      <c r="B370" s="22" t="s">
        <v>347</v>
      </c>
      <c r="C370" s="22" t="s">
        <v>588</v>
      </c>
      <c r="D370" s="22" t="s">
        <v>465</v>
      </c>
      <c r="E370" s="22" t="s">
        <v>52</v>
      </c>
      <c r="F370" s="22" t="s">
        <v>2429</v>
      </c>
      <c r="G370" s="22" t="s">
        <v>606</v>
      </c>
      <c r="H370" s="22" t="s">
        <v>607</v>
      </c>
      <c r="I370" s="22" t="s">
        <v>149</v>
      </c>
      <c r="J370" s="22" t="s">
        <v>55</v>
      </c>
      <c r="K370" s="22" t="s">
        <v>1720</v>
      </c>
      <c r="L370" s="22" t="s">
        <v>103</v>
      </c>
      <c r="M370" s="22" t="s">
        <v>55</v>
      </c>
      <c r="N370" s="22" t="s">
        <v>55</v>
      </c>
      <c r="O370" s="22" t="s">
        <v>2430</v>
      </c>
      <c r="P370" s="22" t="s">
        <v>2298</v>
      </c>
      <c r="Q370" s="22" t="s">
        <v>2431</v>
      </c>
      <c r="R370" s="22" t="s">
        <v>55</v>
      </c>
      <c r="S370" s="22" t="s">
        <v>2300</v>
      </c>
      <c r="T370" s="22" t="s">
        <v>2301</v>
      </c>
      <c r="U370" s="22" t="s">
        <v>55</v>
      </c>
      <c r="V370" s="23">
        <v>46022</v>
      </c>
      <c r="W370" s="22" t="s">
        <v>55</v>
      </c>
      <c r="X370" s="22" t="s">
        <v>2432</v>
      </c>
      <c r="Y370" s="22" t="s">
        <v>65</v>
      </c>
      <c r="Z370" s="22" t="s">
        <v>55</v>
      </c>
      <c r="AA370" s="22" t="s">
        <v>221</v>
      </c>
      <c r="AB370" s="22" t="s">
        <v>55</v>
      </c>
      <c r="AC370" s="22" t="s">
        <v>55</v>
      </c>
      <c r="AD370" s="22" t="s">
        <v>118</v>
      </c>
      <c r="AE370" s="22" t="s">
        <v>97</v>
      </c>
      <c r="AF370" s="22" t="s">
        <v>55</v>
      </c>
      <c r="AG370" s="22" t="s">
        <v>55</v>
      </c>
      <c r="AH370" s="22" t="s">
        <v>55</v>
      </c>
      <c r="AI370" s="22" t="s">
        <v>55</v>
      </c>
      <c r="AJ370" s="22" t="s">
        <v>55</v>
      </c>
      <c r="AK370" s="22" t="s">
        <v>55</v>
      </c>
      <c r="AL370" s="22" t="s">
        <v>55</v>
      </c>
      <c r="AM370" s="22" t="s">
        <v>55</v>
      </c>
      <c r="AN370" s="22" t="s">
        <v>55</v>
      </c>
      <c r="AO370" s="22" t="s">
        <v>55</v>
      </c>
      <c r="AP370" s="22" t="s">
        <v>55</v>
      </c>
      <c r="AQ370" s="22" t="s">
        <v>55</v>
      </c>
      <c r="AR370" s="22" t="s">
        <v>55</v>
      </c>
      <c r="AS370" s="22" t="s">
        <v>55</v>
      </c>
      <c r="AT370" s="22" t="s">
        <v>55</v>
      </c>
      <c r="AU370" s="22" t="s">
        <v>55</v>
      </c>
      <c r="AV370" s="22" t="s">
        <v>55</v>
      </c>
      <c r="AW370" s="22" t="s">
        <v>55</v>
      </c>
      <c r="AX370" s="23">
        <v>45973</v>
      </c>
      <c r="AY370" s="22" t="s">
        <v>2161</v>
      </c>
    </row>
    <row r="371" spans="1:51" ht="188.5" x14ac:dyDescent="0.35">
      <c r="A371" s="22" t="s">
        <v>2433</v>
      </c>
      <c r="B371" s="22" t="s">
        <v>347</v>
      </c>
      <c r="C371" s="22" t="s">
        <v>588</v>
      </c>
      <c r="D371" s="22" t="s">
        <v>465</v>
      </c>
      <c r="E371" s="22" t="s">
        <v>52</v>
      </c>
      <c r="F371" s="22" t="s">
        <v>2434</v>
      </c>
      <c r="G371" s="22" t="s">
        <v>94</v>
      </c>
      <c r="H371" s="22" t="s">
        <v>1117</v>
      </c>
      <c r="I371" s="22" t="s">
        <v>149</v>
      </c>
      <c r="J371" s="22" t="s">
        <v>55</v>
      </c>
      <c r="K371" s="22" t="s">
        <v>1720</v>
      </c>
      <c r="L371" s="22" t="s">
        <v>103</v>
      </c>
      <c r="M371" s="22" t="s">
        <v>55</v>
      </c>
      <c r="N371" s="22" t="s">
        <v>55</v>
      </c>
      <c r="O371" s="22" t="s">
        <v>2435</v>
      </c>
      <c r="P371" s="22" t="s">
        <v>2298</v>
      </c>
      <c r="Q371" s="22" t="s">
        <v>2436</v>
      </c>
      <c r="R371" s="22" t="s">
        <v>55</v>
      </c>
      <c r="S371" s="22" t="s">
        <v>2300</v>
      </c>
      <c r="T371" s="22" t="s">
        <v>2301</v>
      </c>
      <c r="U371" s="22" t="s">
        <v>55</v>
      </c>
      <c r="V371" s="23">
        <v>46022</v>
      </c>
      <c r="W371" s="22" t="s">
        <v>55</v>
      </c>
      <c r="X371" s="22" t="s">
        <v>2437</v>
      </c>
      <c r="Y371" s="22" t="s">
        <v>65</v>
      </c>
      <c r="Z371" s="22" t="s">
        <v>55</v>
      </c>
      <c r="AA371" s="22" t="s">
        <v>221</v>
      </c>
      <c r="AB371" s="22" t="s">
        <v>55</v>
      </c>
      <c r="AC371" s="22" t="s">
        <v>55</v>
      </c>
      <c r="AD371" s="22" t="s">
        <v>118</v>
      </c>
      <c r="AE371" s="22" t="s">
        <v>97</v>
      </c>
      <c r="AF371" s="22" t="s">
        <v>55</v>
      </c>
      <c r="AG371" s="22" t="s">
        <v>55</v>
      </c>
      <c r="AH371" s="22" t="s">
        <v>55</v>
      </c>
      <c r="AI371" s="22" t="s">
        <v>55</v>
      </c>
      <c r="AJ371" s="22" t="s">
        <v>55</v>
      </c>
      <c r="AK371" s="22" t="s">
        <v>55</v>
      </c>
      <c r="AL371" s="22" t="s">
        <v>55</v>
      </c>
      <c r="AM371" s="22" t="s">
        <v>55</v>
      </c>
      <c r="AN371" s="22" t="s">
        <v>55</v>
      </c>
      <c r="AO371" s="22" t="s">
        <v>55</v>
      </c>
      <c r="AP371" s="22" t="s">
        <v>55</v>
      </c>
      <c r="AQ371" s="22" t="s">
        <v>55</v>
      </c>
      <c r="AR371" s="22" t="s">
        <v>55</v>
      </c>
      <c r="AS371" s="22" t="s">
        <v>55</v>
      </c>
      <c r="AT371" s="22" t="s">
        <v>55</v>
      </c>
      <c r="AU371" s="22" t="s">
        <v>55</v>
      </c>
      <c r="AV371" s="22" t="s">
        <v>55</v>
      </c>
      <c r="AW371" s="22" t="s">
        <v>55</v>
      </c>
      <c r="AX371" s="23">
        <v>45973</v>
      </c>
      <c r="AY371" s="22" t="s">
        <v>2161</v>
      </c>
    </row>
    <row r="372" spans="1:51" ht="174" x14ac:dyDescent="0.35">
      <c r="A372" s="22" t="s">
        <v>2438</v>
      </c>
      <c r="B372" s="22" t="s">
        <v>347</v>
      </c>
      <c r="C372" s="22" t="s">
        <v>588</v>
      </c>
      <c r="D372" s="22" t="s">
        <v>465</v>
      </c>
      <c r="E372" s="22" t="s">
        <v>52</v>
      </c>
      <c r="F372" s="22" t="s">
        <v>2439</v>
      </c>
      <c r="G372" s="22" t="s">
        <v>126</v>
      </c>
      <c r="H372" s="22" t="s">
        <v>157</v>
      </c>
      <c r="I372" s="22" t="s">
        <v>149</v>
      </c>
      <c r="J372" s="22" t="s">
        <v>55</v>
      </c>
      <c r="K372" s="22" t="s">
        <v>1720</v>
      </c>
      <c r="L372" s="22" t="s">
        <v>103</v>
      </c>
      <c r="M372" s="22" t="s">
        <v>55</v>
      </c>
      <c r="N372" s="22" t="s">
        <v>55</v>
      </c>
      <c r="O372" s="22" t="s">
        <v>2440</v>
      </c>
      <c r="P372" s="22" t="s">
        <v>2298</v>
      </c>
      <c r="Q372" s="22" t="s">
        <v>2441</v>
      </c>
      <c r="R372" s="22" t="s">
        <v>55</v>
      </c>
      <c r="S372" s="22" t="s">
        <v>2300</v>
      </c>
      <c r="T372" s="22" t="s">
        <v>2301</v>
      </c>
      <c r="U372" s="22" t="s">
        <v>55</v>
      </c>
      <c r="V372" s="23">
        <v>46022</v>
      </c>
      <c r="W372" s="22" t="s">
        <v>55</v>
      </c>
      <c r="X372" s="22" t="s">
        <v>2442</v>
      </c>
      <c r="Y372" s="22" t="s">
        <v>65</v>
      </c>
      <c r="Z372" s="22" t="s">
        <v>55</v>
      </c>
      <c r="AA372" s="22" t="s">
        <v>221</v>
      </c>
      <c r="AB372" s="22" t="s">
        <v>55</v>
      </c>
      <c r="AC372" s="22" t="s">
        <v>55</v>
      </c>
      <c r="AD372" s="22" t="s">
        <v>118</v>
      </c>
      <c r="AE372" s="22" t="s">
        <v>97</v>
      </c>
      <c r="AF372" s="22" t="s">
        <v>55</v>
      </c>
      <c r="AG372" s="22" t="s">
        <v>55</v>
      </c>
      <c r="AH372" s="22" t="s">
        <v>55</v>
      </c>
      <c r="AI372" s="22" t="s">
        <v>55</v>
      </c>
      <c r="AJ372" s="22" t="s">
        <v>55</v>
      </c>
      <c r="AK372" s="22" t="s">
        <v>55</v>
      </c>
      <c r="AL372" s="22" t="s">
        <v>55</v>
      </c>
      <c r="AM372" s="22" t="s">
        <v>55</v>
      </c>
      <c r="AN372" s="22" t="s">
        <v>55</v>
      </c>
      <c r="AO372" s="22" t="s">
        <v>55</v>
      </c>
      <c r="AP372" s="22" t="s">
        <v>55</v>
      </c>
      <c r="AQ372" s="22" t="s">
        <v>55</v>
      </c>
      <c r="AR372" s="22" t="s">
        <v>55</v>
      </c>
      <c r="AS372" s="22" t="s">
        <v>55</v>
      </c>
      <c r="AT372" s="22" t="s">
        <v>55</v>
      </c>
      <c r="AU372" s="22" t="s">
        <v>55</v>
      </c>
      <c r="AV372" s="22" t="s">
        <v>55</v>
      </c>
      <c r="AW372" s="22" t="s">
        <v>55</v>
      </c>
      <c r="AX372" s="23">
        <v>45973</v>
      </c>
      <c r="AY372" s="22" t="s">
        <v>2161</v>
      </c>
    </row>
    <row r="373" spans="1:51" ht="203" x14ac:dyDescent="0.35">
      <c r="A373" s="22" t="s">
        <v>2443</v>
      </c>
      <c r="B373" s="22" t="s">
        <v>347</v>
      </c>
      <c r="C373" s="22" t="s">
        <v>588</v>
      </c>
      <c r="D373" s="22" t="s">
        <v>465</v>
      </c>
      <c r="E373" s="22" t="s">
        <v>52</v>
      </c>
      <c r="F373" s="22" t="s">
        <v>1413</v>
      </c>
      <c r="G373" s="22" t="s">
        <v>54</v>
      </c>
      <c r="H373" s="22" t="s">
        <v>1713</v>
      </c>
      <c r="I373" s="22" t="s">
        <v>149</v>
      </c>
      <c r="J373" s="22" t="s">
        <v>55</v>
      </c>
      <c r="K373" s="22" t="s">
        <v>1720</v>
      </c>
      <c r="L373" s="22" t="s">
        <v>103</v>
      </c>
      <c r="M373" s="22" t="s">
        <v>55</v>
      </c>
      <c r="N373" s="22" t="s">
        <v>55</v>
      </c>
      <c r="O373" s="22" t="s">
        <v>2444</v>
      </c>
      <c r="P373" s="22" t="s">
        <v>2298</v>
      </c>
      <c r="Q373" s="22" t="s">
        <v>2445</v>
      </c>
      <c r="R373" s="22" t="s">
        <v>55</v>
      </c>
      <c r="S373" s="22" t="s">
        <v>2300</v>
      </c>
      <c r="T373" s="22" t="s">
        <v>2301</v>
      </c>
      <c r="U373" s="22" t="s">
        <v>55</v>
      </c>
      <c r="V373" s="23">
        <v>46022</v>
      </c>
      <c r="W373" s="22" t="s">
        <v>55</v>
      </c>
      <c r="X373" s="22" t="s">
        <v>2446</v>
      </c>
      <c r="Y373" s="22" t="s">
        <v>65</v>
      </c>
      <c r="Z373" s="22" t="s">
        <v>55</v>
      </c>
      <c r="AA373" s="22" t="s">
        <v>221</v>
      </c>
      <c r="AB373" s="22" t="s">
        <v>55</v>
      </c>
      <c r="AC373" s="22" t="s">
        <v>55</v>
      </c>
      <c r="AD373" s="22" t="s">
        <v>118</v>
      </c>
      <c r="AE373" s="22" t="s">
        <v>97</v>
      </c>
      <c r="AF373" s="22" t="s">
        <v>55</v>
      </c>
      <c r="AG373" s="22" t="s">
        <v>55</v>
      </c>
      <c r="AH373" s="22" t="s">
        <v>55</v>
      </c>
      <c r="AI373" s="22" t="s">
        <v>55</v>
      </c>
      <c r="AJ373" s="22" t="s">
        <v>55</v>
      </c>
      <c r="AK373" s="22" t="s">
        <v>55</v>
      </c>
      <c r="AL373" s="22" t="s">
        <v>55</v>
      </c>
      <c r="AM373" s="22" t="s">
        <v>55</v>
      </c>
      <c r="AN373" s="22" t="s">
        <v>55</v>
      </c>
      <c r="AO373" s="22" t="s">
        <v>55</v>
      </c>
      <c r="AP373" s="22" t="s">
        <v>55</v>
      </c>
      <c r="AQ373" s="22" t="s">
        <v>55</v>
      </c>
      <c r="AR373" s="22" t="s">
        <v>55</v>
      </c>
      <c r="AS373" s="22" t="s">
        <v>55</v>
      </c>
      <c r="AT373" s="22" t="s">
        <v>55</v>
      </c>
      <c r="AU373" s="22" t="s">
        <v>55</v>
      </c>
      <c r="AV373" s="22" t="s">
        <v>55</v>
      </c>
      <c r="AW373" s="22" t="s">
        <v>55</v>
      </c>
      <c r="AX373" s="23">
        <v>45973</v>
      </c>
      <c r="AY373" s="22" t="s">
        <v>2161</v>
      </c>
    </row>
    <row r="374" spans="1:51" ht="217.5" x14ac:dyDescent="0.35">
      <c r="A374" s="22" t="s">
        <v>2447</v>
      </c>
      <c r="B374" s="22" t="s">
        <v>347</v>
      </c>
      <c r="C374" s="22" t="s">
        <v>588</v>
      </c>
      <c r="D374" s="22" t="s">
        <v>465</v>
      </c>
      <c r="E374" s="22" t="s">
        <v>52</v>
      </c>
      <c r="F374" s="22" t="s">
        <v>1259</v>
      </c>
      <c r="G374" s="22" t="s">
        <v>126</v>
      </c>
      <c r="H374" s="22" t="s">
        <v>127</v>
      </c>
      <c r="I374" s="22" t="s">
        <v>149</v>
      </c>
      <c r="J374" s="22" t="s">
        <v>55</v>
      </c>
      <c r="K374" s="22" t="s">
        <v>1720</v>
      </c>
      <c r="L374" s="22" t="s">
        <v>103</v>
      </c>
      <c r="M374" s="22" t="s">
        <v>55</v>
      </c>
      <c r="N374" s="22" t="s">
        <v>55</v>
      </c>
      <c r="O374" s="22" t="s">
        <v>2448</v>
      </c>
      <c r="P374" s="22" t="s">
        <v>2298</v>
      </c>
      <c r="Q374" s="22" t="s">
        <v>2449</v>
      </c>
      <c r="R374" s="22" t="s">
        <v>55</v>
      </c>
      <c r="S374" s="22" t="s">
        <v>2300</v>
      </c>
      <c r="T374" s="22" t="s">
        <v>2301</v>
      </c>
      <c r="U374" s="22" t="s">
        <v>55</v>
      </c>
      <c r="V374" s="23">
        <v>46022</v>
      </c>
      <c r="W374" s="22" t="s">
        <v>55</v>
      </c>
      <c r="X374" s="22" t="s">
        <v>2450</v>
      </c>
      <c r="Y374" s="22" t="s">
        <v>65</v>
      </c>
      <c r="Z374" s="22" t="s">
        <v>55</v>
      </c>
      <c r="AA374" s="22" t="s">
        <v>221</v>
      </c>
      <c r="AB374" s="22" t="s">
        <v>55</v>
      </c>
      <c r="AC374" s="22" t="s">
        <v>55</v>
      </c>
      <c r="AD374" s="22" t="s">
        <v>118</v>
      </c>
      <c r="AE374" s="22" t="s">
        <v>97</v>
      </c>
      <c r="AF374" s="22" t="s">
        <v>55</v>
      </c>
      <c r="AG374" s="22" t="s">
        <v>55</v>
      </c>
      <c r="AH374" s="22" t="s">
        <v>55</v>
      </c>
      <c r="AI374" s="22" t="s">
        <v>55</v>
      </c>
      <c r="AJ374" s="22" t="s">
        <v>55</v>
      </c>
      <c r="AK374" s="22" t="s">
        <v>55</v>
      </c>
      <c r="AL374" s="22" t="s">
        <v>55</v>
      </c>
      <c r="AM374" s="22" t="s">
        <v>55</v>
      </c>
      <c r="AN374" s="22" t="s">
        <v>55</v>
      </c>
      <c r="AO374" s="22" t="s">
        <v>55</v>
      </c>
      <c r="AP374" s="22" t="s">
        <v>55</v>
      </c>
      <c r="AQ374" s="22" t="s">
        <v>55</v>
      </c>
      <c r="AR374" s="22" t="s">
        <v>55</v>
      </c>
      <c r="AS374" s="22" t="s">
        <v>55</v>
      </c>
      <c r="AT374" s="22" t="s">
        <v>55</v>
      </c>
      <c r="AU374" s="22" t="s">
        <v>55</v>
      </c>
      <c r="AV374" s="22" t="s">
        <v>55</v>
      </c>
      <c r="AW374" s="22" t="s">
        <v>55</v>
      </c>
      <c r="AX374" s="23">
        <v>45973</v>
      </c>
      <c r="AY374" s="22" t="s">
        <v>2161</v>
      </c>
    </row>
    <row r="375" spans="1:51" ht="159.5" x14ac:dyDescent="0.35">
      <c r="A375" s="22" t="s">
        <v>2451</v>
      </c>
      <c r="B375" s="22" t="s">
        <v>347</v>
      </c>
      <c r="C375" s="22" t="s">
        <v>588</v>
      </c>
      <c r="D375" s="22" t="s">
        <v>465</v>
      </c>
      <c r="E375" s="22" t="s">
        <v>52</v>
      </c>
      <c r="F375" s="22" t="s">
        <v>254</v>
      </c>
      <c r="G375" s="22" t="s">
        <v>126</v>
      </c>
      <c r="H375" s="22" t="s">
        <v>127</v>
      </c>
      <c r="I375" s="22" t="s">
        <v>149</v>
      </c>
      <c r="J375" s="22" t="s">
        <v>55</v>
      </c>
      <c r="K375" s="22" t="s">
        <v>1720</v>
      </c>
      <c r="L375" s="22" t="s">
        <v>103</v>
      </c>
      <c r="M375" s="22" t="s">
        <v>55</v>
      </c>
      <c r="N375" s="22" t="s">
        <v>55</v>
      </c>
      <c r="O375" s="22" t="s">
        <v>2452</v>
      </c>
      <c r="P375" s="22" t="s">
        <v>2298</v>
      </c>
      <c r="Q375" s="22" t="s">
        <v>2453</v>
      </c>
      <c r="R375" s="22" t="s">
        <v>55</v>
      </c>
      <c r="S375" s="22" t="s">
        <v>2300</v>
      </c>
      <c r="T375" s="22" t="s">
        <v>2301</v>
      </c>
      <c r="U375" s="22" t="s">
        <v>55</v>
      </c>
      <c r="V375" s="23">
        <v>46022</v>
      </c>
      <c r="W375" s="22" t="s">
        <v>55</v>
      </c>
      <c r="X375" s="22" t="s">
        <v>2454</v>
      </c>
      <c r="Y375" s="22" t="s">
        <v>65</v>
      </c>
      <c r="Z375" s="22" t="s">
        <v>55</v>
      </c>
      <c r="AA375" s="22" t="s">
        <v>221</v>
      </c>
      <c r="AB375" s="22" t="s">
        <v>55</v>
      </c>
      <c r="AC375" s="22" t="s">
        <v>55</v>
      </c>
      <c r="AD375" s="22" t="s">
        <v>118</v>
      </c>
      <c r="AE375" s="22" t="s">
        <v>97</v>
      </c>
      <c r="AF375" s="22" t="s">
        <v>55</v>
      </c>
      <c r="AG375" s="22" t="s">
        <v>55</v>
      </c>
      <c r="AH375" s="22" t="s">
        <v>55</v>
      </c>
      <c r="AI375" s="22" t="s">
        <v>55</v>
      </c>
      <c r="AJ375" s="22" t="s">
        <v>55</v>
      </c>
      <c r="AK375" s="22" t="s">
        <v>55</v>
      </c>
      <c r="AL375" s="22" t="s">
        <v>55</v>
      </c>
      <c r="AM375" s="22" t="s">
        <v>55</v>
      </c>
      <c r="AN375" s="22" t="s">
        <v>55</v>
      </c>
      <c r="AO375" s="22" t="s">
        <v>55</v>
      </c>
      <c r="AP375" s="22" t="s">
        <v>55</v>
      </c>
      <c r="AQ375" s="22" t="s">
        <v>55</v>
      </c>
      <c r="AR375" s="22" t="s">
        <v>55</v>
      </c>
      <c r="AS375" s="22" t="s">
        <v>55</v>
      </c>
      <c r="AT375" s="22" t="s">
        <v>55</v>
      </c>
      <c r="AU375" s="22" t="s">
        <v>55</v>
      </c>
      <c r="AV375" s="22" t="s">
        <v>55</v>
      </c>
      <c r="AW375" s="22" t="s">
        <v>55</v>
      </c>
      <c r="AX375" s="23">
        <v>45973</v>
      </c>
      <c r="AY375" s="22" t="s">
        <v>2161</v>
      </c>
    </row>
    <row r="376" spans="1:51" ht="188.5" x14ac:dyDescent="0.35">
      <c r="A376" s="22" t="s">
        <v>2455</v>
      </c>
      <c r="B376" s="22" t="s">
        <v>347</v>
      </c>
      <c r="C376" s="22" t="s">
        <v>588</v>
      </c>
      <c r="D376" s="22" t="s">
        <v>465</v>
      </c>
      <c r="E376" s="22" t="s">
        <v>52</v>
      </c>
      <c r="F376" s="22" t="s">
        <v>492</v>
      </c>
      <c r="G376" s="22" t="s">
        <v>493</v>
      </c>
      <c r="H376" s="22" t="s">
        <v>1718</v>
      </c>
      <c r="I376" s="22" t="s">
        <v>149</v>
      </c>
      <c r="J376" s="22" t="s">
        <v>55</v>
      </c>
      <c r="K376" s="22" t="s">
        <v>1720</v>
      </c>
      <c r="L376" s="22" t="s">
        <v>103</v>
      </c>
      <c r="M376" s="22" t="s">
        <v>55</v>
      </c>
      <c r="N376" s="22" t="s">
        <v>55</v>
      </c>
      <c r="O376" s="22" t="s">
        <v>2456</v>
      </c>
      <c r="P376" s="22" t="s">
        <v>2298</v>
      </c>
      <c r="Q376" s="22" t="s">
        <v>2457</v>
      </c>
      <c r="R376" s="22" t="s">
        <v>55</v>
      </c>
      <c r="S376" s="22" t="s">
        <v>2300</v>
      </c>
      <c r="T376" s="22" t="s">
        <v>2301</v>
      </c>
      <c r="U376" s="22" t="s">
        <v>55</v>
      </c>
      <c r="V376" s="23">
        <v>46022</v>
      </c>
      <c r="W376" s="22" t="s">
        <v>55</v>
      </c>
      <c r="X376" s="22" t="s">
        <v>2458</v>
      </c>
      <c r="Y376" s="22" t="s">
        <v>65</v>
      </c>
      <c r="Z376" s="22" t="s">
        <v>55</v>
      </c>
      <c r="AA376" s="22" t="s">
        <v>221</v>
      </c>
      <c r="AB376" s="22" t="s">
        <v>55</v>
      </c>
      <c r="AC376" s="22" t="s">
        <v>55</v>
      </c>
      <c r="AD376" s="22" t="s">
        <v>118</v>
      </c>
      <c r="AE376" s="22" t="s">
        <v>97</v>
      </c>
      <c r="AF376" s="22" t="s">
        <v>55</v>
      </c>
      <c r="AG376" s="22" t="s">
        <v>55</v>
      </c>
      <c r="AH376" s="22" t="s">
        <v>55</v>
      </c>
      <c r="AI376" s="22" t="s">
        <v>55</v>
      </c>
      <c r="AJ376" s="22" t="s">
        <v>55</v>
      </c>
      <c r="AK376" s="22" t="s">
        <v>55</v>
      </c>
      <c r="AL376" s="22" t="s">
        <v>55</v>
      </c>
      <c r="AM376" s="22" t="s">
        <v>55</v>
      </c>
      <c r="AN376" s="22" t="s">
        <v>55</v>
      </c>
      <c r="AO376" s="22" t="s">
        <v>55</v>
      </c>
      <c r="AP376" s="22" t="s">
        <v>55</v>
      </c>
      <c r="AQ376" s="22" t="s">
        <v>55</v>
      </c>
      <c r="AR376" s="22" t="s">
        <v>55</v>
      </c>
      <c r="AS376" s="22" t="s">
        <v>55</v>
      </c>
      <c r="AT376" s="22" t="s">
        <v>55</v>
      </c>
      <c r="AU376" s="22" t="s">
        <v>55</v>
      </c>
      <c r="AV376" s="22" t="s">
        <v>55</v>
      </c>
      <c r="AW376" s="22" t="s">
        <v>55</v>
      </c>
      <c r="AX376" s="23">
        <v>45973</v>
      </c>
      <c r="AY376" s="22" t="s">
        <v>2161</v>
      </c>
    </row>
    <row r="377" spans="1:51" ht="188.5" x14ac:dyDescent="0.35">
      <c r="A377" s="22" t="s">
        <v>2459</v>
      </c>
      <c r="B377" s="22" t="s">
        <v>347</v>
      </c>
      <c r="C377" s="22" t="s">
        <v>588</v>
      </c>
      <c r="D377" s="22" t="s">
        <v>465</v>
      </c>
      <c r="E377" s="22" t="s">
        <v>52</v>
      </c>
      <c r="F377" s="22" t="s">
        <v>1644</v>
      </c>
      <c r="G377" s="22" t="s">
        <v>54</v>
      </c>
      <c r="H377" s="22" t="s">
        <v>1728</v>
      </c>
      <c r="I377" s="22" t="s">
        <v>149</v>
      </c>
      <c r="J377" s="22" t="s">
        <v>55</v>
      </c>
      <c r="K377" s="22" t="s">
        <v>1720</v>
      </c>
      <c r="L377" s="22" t="s">
        <v>103</v>
      </c>
      <c r="M377" s="22" t="s">
        <v>55</v>
      </c>
      <c r="N377" s="22" t="s">
        <v>55</v>
      </c>
      <c r="O377" s="22" t="s">
        <v>2460</v>
      </c>
      <c r="P377" s="22" t="s">
        <v>2298</v>
      </c>
      <c r="Q377" s="22" t="s">
        <v>2461</v>
      </c>
      <c r="R377" s="22" t="s">
        <v>55</v>
      </c>
      <c r="S377" s="22" t="s">
        <v>2300</v>
      </c>
      <c r="T377" s="22" t="s">
        <v>2301</v>
      </c>
      <c r="U377" s="22" t="s">
        <v>55</v>
      </c>
      <c r="V377" s="23">
        <v>46022</v>
      </c>
      <c r="W377" s="22" t="s">
        <v>55</v>
      </c>
      <c r="X377" s="22" t="s">
        <v>2462</v>
      </c>
      <c r="Y377" s="22" t="s">
        <v>65</v>
      </c>
      <c r="Z377" s="22" t="s">
        <v>55</v>
      </c>
      <c r="AA377" s="22" t="s">
        <v>221</v>
      </c>
      <c r="AB377" s="22" t="s">
        <v>55</v>
      </c>
      <c r="AC377" s="22" t="s">
        <v>55</v>
      </c>
      <c r="AD377" s="22" t="s">
        <v>118</v>
      </c>
      <c r="AE377" s="22" t="s">
        <v>97</v>
      </c>
      <c r="AF377" s="22" t="s">
        <v>55</v>
      </c>
      <c r="AG377" s="22" t="s">
        <v>55</v>
      </c>
      <c r="AH377" s="22" t="s">
        <v>55</v>
      </c>
      <c r="AI377" s="22" t="s">
        <v>55</v>
      </c>
      <c r="AJ377" s="22" t="s">
        <v>55</v>
      </c>
      <c r="AK377" s="22" t="s">
        <v>55</v>
      </c>
      <c r="AL377" s="22" t="s">
        <v>55</v>
      </c>
      <c r="AM377" s="22" t="s">
        <v>55</v>
      </c>
      <c r="AN377" s="22" t="s">
        <v>55</v>
      </c>
      <c r="AO377" s="22" t="s">
        <v>55</v>
      </c>
      <c r="AP377" s="22" t="s">
        <v>55</v>
      </c>
      <c r="AQ377" s="22" t="s">
        <v>55</v>
      </c>
      <c r="AR377" s="22" t="s">
        <v>55</v>
      </c>
      <c r="AS377" s="22" t="s">
        <v>55</v>
      </c>
      <c r="AT377" s="22" t="s">
        <v>55</v>
      </c>
      <c r="AU377" s="22" t="s">
        <v>55</v>
      </c>
      <c r="AV377" s="22" t="s">
        <v>55</v>
      </c>
      <c r="AW377" s="22" t="s">
        <v>55</v>
      </c>
      <c r="AX377" s="23">
        <v>45973</v>
      </c>
      <c r="AY377" s="22" t="s">
        <v>2161</v>
      </c>
    </row>
    <row r="378" spans="1:51" ht="174" x14ac:dyDescent="0.35">
      <c r="A378" s="22" t="s">
        <v>2463</v>
      </c>
      <c r="B378" s="22" t="s">
        <v>347</v>
      </c>
      <c r="C378" s="22" t="s">
        <v>588</v>
      </c>
      <c r="D378" s="22" t="s">
        <v>465</v>
      </c>
      <c r="E378" s="22" t="s">
        <v>52</v>
      </c>
      <c r="F378" s="22" t="s">
        <v>2464</v>
      </c>
      <c r="G378" s="22" t="s">
        <v>54</v>
      </c>
      <c r="H378" s="22" t="s">
        <v>1727</v>
      </c>
      <c r="I378" s="22" t="s">
        <v>149</v>
      </c>
      <c r="J378" s="22" t="s">
        <v>55</v>
      </c>
      <c r="K378" s="22" t="s">
        <v>1720</v>
      </c>
      <c r="L378" s="22" t="s">
        <v>103</v>
      </c>
      <c r="M378" s="22" t="s">
        <v>55</v>
      </c>
      <c r="N378" s="22" t="s">
        <v>55</v>
      </c>
      <c r="O378" s="22" t="s">
        <v>2465</v>
      </c>
      <c r="P378" s="22" t="s">
        <v>2298</v>
      </c>
      <c r="Q378" s="22" t="s">
        <v>2466</v>
      </c>
      <c r="R378" s="22" t="s">
        <v>55</v>
      </c>
      <c r="S378" s="22" t="s">
        <v>2300</v>
      </c>
      <c r="T378" s="22" t="s">
        <v>2301</v>
      </c>
      <c r="U378" s="22" t="s">
        <v>55</v>
      </c>
      <c r="V378" s="23">
        <v>46022</v>
      </c>
      <c r="W378" s="22" t="s">
        <v>55</v>
      </c>
      <c r="X378" s="22" t="s">
        <v>2387</v>
      </c>
      <c r="Y378" s="22" t="s">
        <v>65</v>
      </c>
      <c r="Z378" s="22" t="s">
        <v>55</v>
      </c>
      <c r="AA378" s="22" t="s">
        <v>221</v>
      </c>
      <c r="AB378" s="22" t="s">
        <v>55</v>
      </c>
      <c r="AC378" s="22" t="s">
        <v>55</v>
      </c>
      <c r="AD378" s="22" t="s">
        <v>118</v>
      </c>
      <c r="AE378" s="22" t="s">
        <v>97</v>
      </c>
      <c r="AF378" s="22" t="s">
        <v>55</v>
      </c>
      <c r="AG378" s="22" t="s">
        <v>55</v>
      </c>
      <c r="AH378" s="22" t="s">
        <v>55</v>
      </c>
      <c r="AI378" s="22" t="s">
        <v>55</v>
      </c>
      <c r="AJ378" s="22" t="s">
        <v>55</v>
      </c>
      <c r="AK378" s="22" t="s">
        <v>55</v>
      </c>
      <c r="AL378" s="22" t="s">
        <v>55</v>
      </c>
      <c r="AM378" s="22" t="s">
        <v>55</v>
      </c>
      <c r="AN378" s="22" t="s">
        <v>55</v>
      </c>
      <c r="AO378" s="22" t="s">
        <v>55</v>
      </c>
      <c r="AP378" s="22" t="s">
        <v>55</v>
      </c>
      <c r="AQ378" s="22" t="s">
        <v>55</v>
      </c>
      <c r="AR378" s="22" t="s">
        <v>55</v>
      </c>
      <c r="AS378" s="22" t="s">
        <v>55</v>
      </c>
      <c r="AT378" s="22" t="s">
        <v>55</v>
      </c>
      <c r="AU378" s="22" t="s">
        <v>55</v>
      </c>
      <c r="AV378" s="22" t="s">
        <v>55</v>
      </c>
      <c r="AW378" s="22" t="s">
        <v>55</v>
      </c>
      <c r="AX378" s="23">
        <v>45973</v>
      </c>
      <c r="AY378" s="22" t="s">
        <v>2161</v>
      </c>
    </row>
    <row r="379" spans="1:51" ht="174" x14ac:dyDescent="0.35">
      <c r="A379" s="22" t="s">
        <v>2467</v>
      </c>
      <c r="B379" s="22" t="s">
        <v>347</v>
      </c>
      <c r="C379" s="22" t="s">
        <v>588</v>
      </c>
      <c r="D379" s="22" t="s">
        <v>465</v>
      </c>
      <c r="E379" s="22" t="s">
        <v>52</v>
      </c>
      <c r="F379" s="22" t="s">
        <v>466</v>
      </c>
      <c r="G379" s="22" t="s">
        <v>54</v>
      </c>
      <c r="H379" s="22" t="s">
        <v>1712</v>
      </c>
      <c r="I379" s="22" t="s">
        <v>149</v>
      </c>
      <c r="J379" s="22" t="s">
        <v>55</v>
      </c>
      <c r="K379" s="22" t="s">
        <v>1720</v>
      </c>
      <c r="L379" s="22" t="s">
        <v>103</v>
      </c>
      <c r="M379" s="22" t="s">
        <v>55</v>
      </c>
      <c r="N379" s="22" t="s">
        <v>55</v>
      </c>
      <c r="O379" s="22" t="s">
        <v>2468</v>
      </c>
      <c r="P379" s="22" t="s">
        <v>2298</v>
      </c>
      <c r="Q379" s="22" t="s">
        <v>2469</v>
      </c>
      <c r="R379" s="22" t="s">
        <v>55</v>
      </c>
      <c r="S379" s="22" t="s">
        <v>2300</v>
      </c>
      <c r="T379" s="22" t="s">
        <v>2301</v>
      </c>
      <c r="U379" s="22" t="s">
        <v>55</v>
      </c>
      <c r="V379" s="23">
        <v>46022</v>
      </c>
      <c r="W379" s="22" t="s">
        <v>55</v>
      </c>
      <c r="X379" s="22" t="s">
        <v>2470</v>
      </c>
      <c r="Y379" s="22" t="s">
        <v>65</v>
      </c>
      <c r="Z379" s="22" t="s">
        <v>55</v>
      </c>
      <c r="AA379" s="22" t="s">
        <v>221</v>
      </c>
      <c r="AB379" s="22" t="s">
        <v>55</v>
      </c>
      <c r="AC379" s="22" t="s">
        <v>55</v>
      </c>
      <c r="AD379" s="22" t="s">
        <v>118</v>
      </c>
      <c r="AE379" s="22" t="s">
        <v>97</v>
      </c>
      <c r="AF379" s="22" t="s">
        <v>55</v>
      </c>
      <c r="AG379" s="22" t="s">
        <v>55</v>
      </c>
      <c r="AH379" s="22" t="s">
        <v>55</v>
      </c>
      <c r="AI379" s="22" t="s">
        <v>55</v>
      </c>
      <c r="AJ379" s="22" t="s">
        <v>55</v>
      </c>
      <c r="AK379" s="22" t="s">
        <v>55</v>
      </c>
      <c r="AL379" s="22" t="s">
        <v>55</v>
      </c>
      <c r="AM379" s="22" t="s">
        <v>55</v>
      </c>
      <c r="AN379" s="22" t="s">
        <v>55</v>
      </c>
      <c r="AO379" s="22" t="s">
        <v>55</v>
      </c>
      <c r="AP379" s="22" t="s">
        <v>55</v>
      </c>
      <c r="AQ379" s="22" t="s">
        <v>55</v>
      </c>
      <c r="AR379" s="22" t="s">
        <v>55</v>
      </c>
      <c r="AS379" s="22" t="s">
        <v>55</v>
      </c>
      <c r="AT379" s="22" t="s">
        <v>55</v>
      </c>
      <c r="AU379" s="22" t="s">
        <v>55</v>
      </c>
      <c r="AV379" s="22" t="s">
        <v>55</v>
      </c>
      <c r="AW379" s="22" t="s">
        <v>55</v>
      </c>
      <c r="AX379" s="23">
        <v>45973</v>
      </c>
      <c r="AY379" s="22" t="s">
        <v>2161</v>
      </c>
    </row>
    <row r="380" spans="1:51" ht="174" x14ac:dyDescent="0.35">
      <c r="A380" s="22" t="s">
        <v>2471</v>
      </c>
      <c r="B380" s="22" t="s">
        <v>347</v>
      </c>
      <c r="C380" s="22" t="s">
        <v>588</v>
      </c>
      <c r="D380" s="22" t="s">
        <v>465</v>
      </c>
      <c r="E380" s="22" t="s">
        <v>52</v>
      </c>
      <c r="F380" s="22" t="s">
        <v>2472</v>
      </c>
      <c r="G380" s="22" t="s">
        <v>126</v>
      </c>
      <c r="H380" s="22" t="s">
        <v>157</v>
      </c>
      <c r="I380" s="22" t="s">
        <v>149</v>
      </c>
      <c r="J380" s="22" t="s">
        <v>55</v>
      </c>
      <c r="K380" s="22" t="s">
        <v>1720</v>
      </c>
      <c r="L380" s="22" t="s">
        <v>103</v>
      </c>
      <c r="M380" s="22" t="s">
        <v>55</v>
      </c>
      <c r="N380" s="22" t="s">
        <v>55</v>
      </c>
      <c r="O380" s="22" t="s">
        <v>2473</v>
      </c>
      <c r="P380" s="22" t="s">
        <v>2298</v>
      </c>
      <c r="Q380" s="22" t="s">
        <v>2474</v>
      </c>
      <c r="R380" s="22" t="s">
        <v>55</v>
      </c>
      <c r="S380" s="22" t="s">
        <v>2300</v>
      </c>
      <c r="T380" s="22" t="s">
        <v>2301</v>
      </c>
      <c r="U380" s="22" t="s">
        <v>55</v>
      </c>
      <c r="V380" s="23">
        <v>46022</v>
      </c>
      <c r="W380" s="22" t="s">
        <v>55</v>
      </c>
      <c r="X380" s="22" t="s">
        <v>2475</v>
      </c>
      <c r="Y380" s="22" t="s">
        <v>65</v>
      </c>
      <c r="Z380" s="22" t="s">
        <v>55</v>
      </c>
      <c r="AA380" s="22" t="s">
        <v>221</v>
      </c>
      <c r="AB380" s="22" t="s">
        <v>55</v>
      </c>
      <c r="AC380" s="22" t="s">
        <v>55</v>
      </c>
      <c r="AD380" s="22" t="s">
        <v>118</v>
      </c>
      <c r="AE380" s="22" t="s">
        <v>97</v>
      </c>
      <c r="AF380" s="22" t="s">
        <v>55</v>
      </c>
      <c r="AG380" s="22" t="s">
        <v>55</v>
      </c>
      <c r="AH380" s="22" t="s">
        <v>55</v>
      </c>
      <c r="AI380" s="22" t="s">
        <v>55</v>
      </c>
      <c r="AJ380" s="22" t="s">
        <v>55</v>
      </c>
      <c r="AK380" s="22" t="s">
        <v>55</v>
      </c>
      <c r="AL380" s="22" t="s">
        <v>55</v>
      </c>
      <c r="AM380" s="22" t="s">
        <v>55</v>
      </c>
      <c r="AN380" s="22" t="s">
        <v>55</v>
      </c>
      <c r="AO380" s="22" t="s">
        <v>55</v>
      </c>
      <c r="AP380" s="22" t="s">
        <v>55</v>
      </c>
      <c r="AQ380" s="22" t="s">
        <v>55</v>
      </c>
      <c r="AR380" s="22" t="s">
        <v>55</v>
      </c>
      <c r="AS380" s="22" t="s">
        <v>55</v>
      </c>
      <c r="AT380" s="22" t="s">
        <v>55</v>
      </c>
      <c r="AU380" s="22" t="s">
        <v>55</v>
      </c>
      <c r="AV380" s="22" t="s">
        <v>55</v>
      </c>
      <c r="AW380" s="22" t="s">
        <v>55</v>
      </c>
      <c r="AX380" s="23">
        <v>45973</v>
      </c>
      <c r="AY380" s="22" t="s">
        <v>2161</v>
      </c>
    </row>
    <row r="381" spans="1:51" ht="188.5" x14ac:dyDescent="0.35">
      <c r="A381" s="22" t="s">
        <v>2476</v>
      </c>
      <c r="B381" s="22" t="s">
        <v>347</v>
      </c>
      <c r="C381" s="22" t="s">
        <v>588</v>
      </c>
      <c r="D381" s="22" t="s">
        <v>465</v>
      </c>
      <c r="E381" s="22" t="s">
        <v>52</v>
      </c>
      <c r="F381" s="22" t="s">
        <v>1026</v>
      </c>
      <c r="G381" s="22" t="s">
        <v>54</v>
      </c>
      <c r="H381" s="22" t="s">
        <v>1714</v>
      </c>
      <c r="I381" s="22" t="s">
        <v>149</v>
      </c>
      <c r="J381" s="22" t="s">
        <v>55</v>
      </c>
      <c r="K381" s="22" t="s">
        <v>1720</v>
      </c>
      <c r="L381" s="22" t="s">
        <v>103</v>
      </c>
      <c r="M381" s="22" t="s">
        <v>55</v>
      </c>
      <c r="N381" s="22" t="s">
        <v>55</v>
      </c>
      <c r="O381" s="22" t="s">
        <v>2477</v>
      </c>
      <c r="P381" s="22" t="s">
        <v>2298</v>
      </c>
      <c r="Q381" s="22" t="s">
        <v>2478</v>
      </c>
      <c r="R381" s="22" t="s">
        <v>55</v>
      </c>
      <c r="S381" s="22" t="s">
        <v>2300</v>
      </c>
      <c r="T381" s="22" t="s">
        <v>2301</v>
      </c>
      <c r="U381" s="22" t="s">
        <v>55</v>
      </c>
      <c r="V381" s="23">
        <v>46022</v>
      </c>
      <c r="W381" s="22" t="s">
        <v>55</v>
      </c>
      <c r="X381" s="22" t="s">
        <v>2479</v>
      </c>
      <c r="Y381" s="22" t="s">
        <v>65</v>
      </c>
      <c r="Z381" s="22" t="s">
        <v>55</v>
      </c>
      <c r="AA381" s="22" t="s">
        <v>221</v>
      </c>
      <c r="AB381" s="22" t="s">
        <v>55</v>
      </c>
      <c r="AC381" s="22" t="s">
        <v>55</v>
      </c>
      <c r="AD381" s="22" t="s">
        <v>118</v>
      </c>
      <c r="AE381" s="22" t="s">
        <v>97</v>
      </c>
      <c r="AF381" s="22" t="s">
        <v>55</v>
      </c>
      <c r="AG381" s="22" t="s">
        <v>55</v>
      </c>
      <c r="AH381" s="22" t="s">
        <v>55</v>
      </c>
      <c r="AI381" s="22" t="s">
        <v>55</v>
      </c>
      <c r="AJ381" s="22" t="s">
        <v>55</v>
      </c>
      <c r="AK381" s="22" t="s">
        <v>55</v>
      </c>
      <c r="AL381" s="22" t="s">
        <v>55</v>
      </c>
      <c r="AM381" s="22" t="s">
        <v>55</v>
      </c>
      <c r="AN381" s="22" t="s">
        <v>55</v>
      </c>
      <c r="AO381" s="22" t="s">
        <v>55</v>
      </c>
      <c r="AP381" s="22" t="s">
        <v>55</v>
      </c>
      <c r="AQ381" s="22" t="s">
        <v>55</v>
      </c>
      <c r="AR381" s="22" t="s">
        <v>55</v>
      </c>
      <c r="AS381" s="22" t="s">
        <v>55</v>
      </c>
      <c r="AT381" s="22" t="s">
        <v>55</v>
      </c>
      <c r="AU381" s="22" t="s">
        <v>55</v>
      </c>
      <c r="AV381" s="22" t="s">
        <v>55</v>
      </c>
      <c r="AW381" s="22" t="s">
        <v>55</v>
      </c>
      <c r="AX381" s="23">
        <v>45973</v>
      </c>
      <c r="AY381" s="22" t="s">
        <v>2161</v>
      </c>
    </row>
    <row r="382" spans="1:51" ht="130.5" x14ac:dyDescent="0.35">
      <c r="A382" s="22" t="s">
        <v>2480</v>
      </c>
      <c r="B382" s="22" t="s">
        <v>347</v>
      </c>
      <c r="C382" s="22" t="s">
        <v>588</v>
      </c>
      <c r="D382" s="22" t="s">
        <v>465</v>
      </c>
      <c r="E382" s="22" t="s">
        <v>52</v>
      </c>
      <c r="F382" s="22" t="s">
        <v>159</v>
      </c>
      <c r="G382" s="22" t="s">
        <v>94</v>
      </c>
      <c r="H382" s="22" t="s">
        <v>95</v>
      </c>
      <c r="I382" s="22" t="s">
        <v>149</v>
      </c>
      <c r="J382" s="22" t="s">
        <v>55</v>
      </c>
      <c r="K382" s="22" t="s">
        <v>1720</v>
      </c>
      <c r="L382" s="22" t="s">
        <v>103</v>
      </c>
      <c r="M382" s="22" t="s">
        <v>55</v>
      </c>
      <c r="N382" s="22" t="s">
        <v>55</v>
      </c>
      <c r="O382" s="22" t="s">
        <v>2481</v>
      </c>
      <c r="P382" s="22" t="s">
        <v>2298</v>
      </c>
      <c r="Q382" s="22" t="s">
        <v>2482</v>
      </c>
      <c r="R382" s="22" t="s">
        <v>55</v>
      </c>
      <c r="S382" s="22" t="s">
        <v>2300</v>
      </c>
      <c r="T382" s="22" t="s">
        <v>2301</v>
      </c>
      <c r="U382" s="22" t="s">
        <v>55</v>
      </c>
      <c r="V382" s="23">
        <v>46022</v>
      </c>
      <c r="W382" s="22" t="s">
        <v>55</v>
      </c>
      <c r="X382" s="22" t="s">
        <v>2483</v>
      </c>
      <c r="Y382" s="22" t="s">
        <v>65</v>
      </c>
      <c r="Z382" s="22" t="s">
        <v>55</v>
      </c>
      <c r="AA382" s="22" t="s">
        <v>221</v>
      </c>
      <c r="AB382" s="22" t="s">
        <v>55</v>
      </c>
      <c r="AC382" s="22" t="s">
        <v>55</v>
      </c>
      <c r="AD382" s="22" t="s">
        <v>118</v>
      </c>
      <c r="AE382" s="22" t="s">
        <v>97</v>
      </c>
      <c r="AF382" s="22" t="s">
        <v>55</v>
      </c>
      <c r="AG382" s="22" t="s">
        <v>55</v>
      </c>
      <c r="AH382" s="22" t="s">
        <v>55</v>
      </c>
      <c r="AI382" s="22" t="s">
        <v>55</v>
      </c>
      <c r="AJ382" s="22" t="s">
        <v>55</v>
      </c>
      <c r="AK382" s="22" t="s">
        <v>55</v>
      </c>
      <c r="AL382" s="22" t="s">
        <v>55</v>
      </c>
      <c r="AM382" s="22" t="s">
        <v>55</v>
      </c>
      <c r="AN382" s="22" t="s">
        <v>55</v>
      </c>
      <c r="AO382" s="22" t="s">
        <v>55</v>
      </c>
      <c r="AP382" s="22" t="s">
        <v>55</v>
      </c>
      <c r="AQ382" s="22" t="s">
        <v>55</v>
      </c>
      <c r="AR382" s="22" t="s">
        <v>55</v>
      </c>
      <c r="AS382" s="22" t="s">
        <v>55</v>
      </c>
      <c r="AT382" s="22" t="s">
        <v>55</v>
      </c>
      <c r="AU382" s="22" t="s">
        <v>55</v>
      </c>
      <c r="AV382" s="22" t="s">
        <v>55</v>
      </c>
      <c r="AW382" s="22" t="s">
        <v>55</v>
      </c>
      <c r="AX382" s="23">
        <v>45973</v>
      </c>
      <c r="AY382" s="22" t="s">
        <v>2161</v>
      </c>
    </row>
    <row r="383" spans="1:51" ht="409.5" x14ac:dyDescent="0.35">
      <c r="A383" s="22" t="s">
        <v>2484</v>
      </c>
      <c r="B383" s="22" t="s">
        <v>347</v>
      </c>
      <c r="C383" s="22" t="s">
        <v>51</v>
      </c>
      <c r="D383" s="22" t="s">
        <v>465</v>
      </c>
      <c r="E383" s="22" t="s">
        <v>108</v>
      </c>
      <c r="F383" s="22" t="s">
        <v>1094</v>
      </c>
      <c r="G383" s="22" t="s">
        <v>94</v>
      </c>
      <c r="H383" s="22" t="s">
        <v>95</v>
      </c>
      <c r="I383" s="22" t="s">
        <v>109</v>
      </c>
      <c r="J383" s="22" t="s">
        <v>1742</v>
      </c>
      <c r="K383" s="22" t="s">
        <v>586</v>
      </c>
      <c r="L383" s="22" t="s">
        <v>103</v>
      </c>
      <c r="M383" s="22" t="s">
        <v>55</v>
      </c>
      <c r="N383" s="22" t="s">
        <v>55</v>
      </c>
      <c r="O383" s="22" t="s">
        <v>2485</v>
      </c>
      <c r="P383" s="22" t="s">
        <v>2486</v>
      </c>
      <c r="Q383" s="22" t="s">
        <v>2487</v>
      </c>
      <c r="R383" s="22" t="s">
        <v>63</v>
      </c>
      <c r="S383" s="22" t="s">
        <v>2488</v>
      </c>
      <c r="T383" s="22" t="s">
        <v>2489</v>
      </c>
      <c r="U383" s="22" t="s">
        <v>63</v>
      </c>
      <c r="V383" s="23">
        <v>46203</v>
      </c>
      <c r="W383" s="22" t="s">
        <v>55</v>
      </c>
      <c r="X383" s="22" t="s">
        <v>2490</v>
      </c>
      <c r="Y383" s="22" t="s">
        <v>65</v>
      </c>
      <c r="Z383" s="22" t="s">
        <v>55</v>
      </c>
      <c r="AA383" s="22" t="s">
        <v>155</v>
      </c>
      <c r="AB383" s="22" t="s">
        <v>55</v>
      </c>
      <c r="AC383" s="22" t="s">
        <v>55</v>
      </c>
      <c r="AD383" s="22" t="s">
        <v>67</v>
      </c>
      <c r="AE383" s="22" t="s">
        <v>257</v>
      </c>
      <c r="AF383" s="22" t="s">
        <v>55</v>
      </c>
      <c r="AG383" s="22" t="s">
        <v>55</v>
      </c>
      <c r="AH383" s="22" t="s">
        <v>55</v>
      </c>
      <c r="AI383" s="22" t="s">
        <v>55</v>
      </c>
      <c r="AJ383" s="22" t="s">
        <v>55</v>
      </c>
      <c r="AK383" s="22" t="s">
        <v>55</v>
      </c>
      <c r="AL383" s="22" t="s">
        <v>55</v>
      </c>
      <c r="AM383" s="22" t="s">
        <v>55</v>
      </c>
      <c r="AN383" s="22" t="s">
        <v>55</v>
      </c>
      <c r="AO383" s="22" t="s">
        <v>55</v>
      </c>
      <c r="AP383" s="22" t="s">
        <v>55</v>
      </c>
      <c r="AQ383" s="22" t="s">
        <v>55</v>
      </c>
      <c r="AR383" s="22" t="s">
        <v>55</v>
      </c>
      <c r="AS383" s="22" t="s">
        <v>55</v>
      </c>
      <c r="AT383" s="22" t="s">
        <v>55</v>
      </c>
      <c r="AU383" s="22" t="s">
        <v>55</v>
      </c>
      <c r="AV383" s="22" t="s">
        <v>55</v>
      </c>
      <c r="AW383" s="23">
        <v>45922</v>
      </c>
      <c r="AX383" s="23">
        <v>45961</v>
      </c>
      <c r="AY383" s="22" t="s">
        <v>2491</v>
      </c>
    </row>
    <row r="384" spans="1:51" ht="275.5" x14ac:dyDescent="0.35">
      <c r="A384" s="22" t="s">
        <v>2492</v>
      </c>
      <c r="B384" s="22" t="s">
        <v>347</v>
      </c>
      <c r="C384" s="22" t="s">
        <v>51</v>
      </c>
      <c r="D384" s="22" t="s">
        <v>465</v>
      </c>
      <c r="E384" s="22" t="s">
        <v>52</v>
      </c>
      <c r="F384" s="22" t="s">
        <v>1094</v>
      </c>
      <c r="G384" s="22" t="s">
        <v>94</v>
      </c>
      <c r="H384" s="22" t="s">
        <v>95</v>
      </c>
      <c r="I384" s="22" t="s">
        <v>56</v>
      </c>
      <c r="J384" s="22" t="s">
        <v>2493</v>
      </c>
      <c r="K384" s="22" t="s">
        <v>572</v>
      </c>
      <c r="L384" s="22" t="s">
        <v>103</v>
      </c>
      <c r="M384" s="22" t="s">
        <v>2494</v>
      </c>
      <c r="N384" s="22" t="s">
        <v>2494</v>
      </c>
      <c r="O384" s="22" t="s">
        <v>2485</v>
      </c>
      <c r="P384" s="22" t="s">
        <v>2495</v>
      </c>
      <c r="Q384" s="22" t="s">
        <v>2496</v>
      </c>
      <c r="R384" s="22" t="s">
        <v>63</v>
      </c>
      <c r="S384" s="22" t="s">
        <v>2497</v>
      </c>
      <c r="T384" s="22" t="s">
        <v>2498</v>
      </c>
      <c r="U384" s="22" t="s">
        <v>63</v>
      </c>
      <c r="V384" s="23">
        <v>46112</v>
      </c>
      <c r="W384" s="22" t="s">
        <v>55</v>
      </c>
      <c r="X384" s="22" t="s">
        <v>2499</v>
      </c>
      <c r="Y384" s="22" t="s">
        <v>65</v>
      </c>
      <c r="Z384" s="22" t="s">
        <v>55</v>
      </c>
      <c r="AA384" s="22" t="s">
        <v>155</v>
      </c>
      <c r="AB384" s="22" t="s">
        <v>55</v>
      </c>
      <c r="AC384" s="22" t="s">
        <v>55</v>
      </c>
      <c r="AD384" s="22" t="s">
        <v>67</v>
      </c>
      <c r="AE384" s="22" t="s">
        <v>257</v>
      </c>
      <c r="AF384" s="22" t="s">
        <v>100</v>
      </c>
      <c r="AG384" s="22" t="s">
        <v>55</v>
      </c>
      <c r="AH384" s="22" t="s">
        <v>55</v>
      </c>
      <c r="AI384" s="22" t="s">
        <v>55</v>
      </c>
      <c r="AJ384" s="22" t="s">
        <v>55</v>
      </c>
      <c r="AK384" s="22" t="s">
        <v>55</v>
      </c>
      <c r="AL384" s="22" t="s">
        <v>55</v>
      </c>
      <c r="AM384" s="22" t="s">
        <v>55</v>
      </c>
      <c r="AN384" s="22" t="s">
        <v>55</v>
      </c>
      <c r="AO384" s="22" t="s">
        <v>55</v>
      </c>
      <c r="AP384" s="22" t="s">
        <v>55</v>
      </c>
      <c r="AQ384" s="22" t="s">
        <v>55</v>
      </c>
      <c r="AR384" s="22" t="s">
        <v>55</v>
      </c>
      <c r="AS384" s="22" t="s">
        <v>55</v>
      </c>
      <c r="AT384" s="22" t="s">
        <v>55</v>
      </c>
      <c r="AU384" s="22" t="s">
        <v>55</v>
      </c>
      <c r="AV384" s="22" t="s">
        <v>55</v>
      </c>
      <c r="AW384" s="23">
        <v>45950</v>
      </c>
      <c r="AX384" s="23">
        <v>45961</v>
      </c>
      <c r="AY384" s="22" t="s">
        <v>2491</v>
      </c>
    </row>
    <row r="385" spans="1:51" ht="246.5" x14ac:dyDescent="0.35">
      <c r="A385" s="22" t="s">
        <v>2500</v>
      </c>
      <c r="B385" s="22" t="s">
        <v>347</v>
      </c>
      <c r="C385" s="22" t="s">
        <v>51</v>
      </c>
      <c r="D385" s="22" t="s">
        <v>465</v>
      </c>
      <c r="E385" s="22" t="s">
        <v>108</v>
      </c>
      <c r="F385" s="22" t="s">
        <v>1094</v>
      </c>
      <c r="G385" s="22" t="s">
        <v>94</v>
      </c>
      <c r="H385" s="22" t="s">
        <v>95</v>
      </c>
      <c r="I385" s="22" t="s">
        <v>361</v>
      </c>
      <c r="J385" s="22" t="s">
        <v>2501</v>
      </c>
      <c r="K385" s="22" t="s">
        <v>572</v>
      </c>
      <c r="L385" s="22" t="s">
        <v>103</v>
      </c>
      <c r="M385" s="22" t="s">
        <v>55</v>
      </c>
      <c r="N385" s="22" t="s">
        <v>55</v>
      </c>
      <c r="O385" s="22" t="s">
        <v>2485</v>
      </c>
      <c r="P385" s="22" t="s">
        <v>2502</v>
      </c>
      <c r="Q385" s="22" t="s">
        <v>2503</v>
      </c>
      <c r="R385" s="22" t="s">
        <v>63</v>
      </c>
      <c r="S385" s="22" t="s">
        <v>2504</v>
      </c>
      <c r="T385" s="22" t="s">
        <v>2505</v>
      </c>
      <c r="U385" s="22" t="s">
        <v>63</v>
      </c>
      <c r="V385" s="23">
        <v>46053</v>
      </c>
      <c r="W385" s="22" t="s">
        <v>55</v>
      </c>
      <c r="X385" s="22" t="s">
        <v>2506</v>
      </c>
      <c r="Y385" s="22" t="s">
        <v>65</v>
      </c>
      <c r="Z385" s="22" t="s">
        <v>55</v>
      </c>
      <c r="AA385" s="22" t="s">
        <v>155</v>
      </c>
      <c r="AB385" s="22" t="s">
        <v>55</v>
      </c>
      <c r="AC385" s="22" t="s">
        <v>55</v>
      </c>
      <c r="AD385" s="22" t="s">
        <v>67</v>
      </c>
      <c r="AE385" s="22" t="s">
        <v>257</v>
      </c>
      <c r="AF385" s="22" t="s">
        <v>55</v>
      </c>
      <c r="AG385" s="22" t="s">
        <v>55</v>
      </c>
      <c r="AH385" s="22" t="s">
        <v>55</v>
      </c>
      <c r="AI385" s="22" t="s">
        <v>55</v>
      </c>
      <c r="AJ385" s="22" t="s">
        <v>55</v>
      </c>
      <c r="AK385" s="22" t="s">
        <v>55</v>
      </c>
      <c r="AL385" s="22" t="s">
        <v>55</v>
      </c>
      <c r="AM385" s="22" t="s">
        <v>55</v>
      </c>
      <c r="AN385" s="22" t="s">
        <v>55</v>
      </c>
      <c r="AO385" s="22" t="s">
        <v>55</v>
      </c>
      <c r="AP385" s="22" t="s">
        <v>55</v>
      </c>
      <c r="AQ385" s="22" t="s">
        <v>55</v>
      </c>
      <c r="AR385" s="22" t="s">
        <v>55</v>
      </c>
      <c r="AS385" s="22" t="s">
        <v>55</v>
      </c>
      <c r="AT385" s="22" t="s">
        <v>55</v>
      </c>
      <c r="AU385" s="22" t="s">
        <v>55</v>
      </c>
      <c r="AV385" s="22" t="s">
        <v>55</v>
      </c>
      <c r="AW385" s="23">
        <v>45922</v>
      </c>
      <c r="AX385" s="23">
        <v>45961</v>
      </c>
      <c r="AY385" s="22" t="s">
        <v>2491</v>
      </c>
    </row>
    <row r="386" spans="1:51" ht="304.5" x14ac:dyDescent="0.35">
      <c r="A386" s="22" t="s">
        <v>2507</v>
      </c>
      <c r="B386" s="22" t="s">
        <v>347</v>
      </c>
      <c r="C386" s="22" t="s">
        <v>51</v>
      </c>
      <c r="D386" s="22" t="s">
        <v>465</v>
      </c>
      <c r="E386" s="22" t="s">
        <v>108</v>
      </c>
      <c r="F386" s="22" t="s">
        <v>1094</v>
      </c>
      <c r="G386" s="22" t="s">
        <v>94</v>
      </c>
      <c r="H386" s="22" t="s">
        <v>95</v>
      </c>
      <c r="I386" s="22" t="s">
        <v>362</v>
      </c>
      <c r="J386" s="22" t="s">
        <v>2508</v>
      </c>
      <c r="K386" s="22" t="s">
        <v>593</v>
      </c>
      <c r="L386" s="22" t="s">
        <v>57</v>
      </c>
      <c r="M386" s="22" t="s">
        <v>55</v>
      </c>
      <c r="N386" s="22" t="s">
        <v>55</v>
      </c>
      <c r="O386" s="22" t="s">
        <v>2485</v>
      </c>
      <c r="P386" s="22" t="s">
        <v>2509</v>
      </c>
      <c r="Q386" s="22" t="s">
        <v>2510</v>
      </c>
      <c r="R386" s="22" t="s">
        <v>63</v>
      </c>
      <c r="S386" s="22" t="s">
        <v>2511</v>
      </c>
      <c r="T386" s="22" t="s">
        <v>2512</v>
      </c>
      <c r="U386" s="22" t="s">
        <v>132</v>
      </c>
      <c r="V386" s="23">
        <v>46053</v>
      </c>
      <c r="W386" s="22" t="s">
        <v>55</v>
      </c>
      <c r="X386" s="22" t="s">
        <v>2513</v>
      </c>
      <c r="Y386" s="22" t="s">
        <v>65</v>
      </c>
      <c r="Z386" s="22" t="s">
        <v>55</v>
      </c>
      <c r="AA386" s="22" t="s">
        <v>155</v>
      </c>
      <c r="AB386" s="22" t="s">
        <v>55</v>
      </c>
      <c r="AC386" s="22" t="s">
        <v>55</v>
      </c>
      <c r="AD386" s="22" t="s">
        <v>67</v>
      </c>
      <c r="AE386" s="22" t="s">
        <v>257</v>
      </c>
      <c r="AF386" s="22" t="s">
        <v>55</v>
      </c>
      <c r="AG386" s="22" t="s">
        <v>55</v>
      </c>
      <c r="AH386" s="22" t="s">
        <v>55</v>
      </c>
      <c r="AI386" s="22" t="s">
        <v>55</v>
      </c>
      <c r="AJ386" s="22" t="s">
        <v>55</v>
      </c>
      <c r="AK386" s="22" t="s">
        <v>55</v>
      </c>
      <c r="AL386" s="22" t="s">
        <v>55</v>
      </c>
      <c r="AM386" s="22" t="s">
        <v>55</v>
      </c>
      <c r="AN386" s="22" t="s">
        <v>55</v>
      </c>
      <c r="AO386" s="22" t="s">
        <v>55</v>
      </c>
      <c r="AP386" s="22" t="s">
        <v>55</v>
      </c>
      <c r="AQ386" s="22" t="s">
        <v>55</v>
      </c>
      <c r="AR386" s="22" t="s">
        <v>55</v>
      </c>
      <c r="AS386" s="22" t="s">
        <v>55</v>
      </c>
      <c r="AT386" s="22" t="s">
        <v>55</v>
      </c>
      <c r="AU386" s="22" t="s">
        <v>55</v>
      </c>
      <c r="AV386" s="22" t="s">
        <v>55</v>
      </c>
      <c r="AW386" s="23">
        <v>45922</v>
      </c>
      <c r="AX386" s="23">
        <v>45961</v>
      </c>
      <c r="AY386" s="22" t="s">
        <v>2491</v>
      </c>
    </row>
    <row r="387" spans="1:51" ht="261" x14ac:dyDescent="0.35">
      <c r="A387" s="22" t="s">
        <v>2514</v>
      </c>
      <c r="B387" s="22" t="s">
        <v>347</v>
      </c>
      <c r="C387" s="22" t="s">
        <v>51</v>
      </c>
      <c r="D387" s="22" t="s">
        <v>465</v>
      </c>
      <c r="E387" s="22" t="s">
        <v>108</v>
      </c>
      <c r="F387" s="22" t="s">
        <v>1094</v>
      </c>
      <c r="G387" s="22" t="s">
        <v>94</v>
      </c>
      <c r="H387" s="22" t="s">
        <v>95</v>
      </c>
      <c r="I387" s="22" t="s">
        <v>362</v>
      </c>
      <c r="J387" s="22" t="s">
        <v>2515</v>
      </c>
      <c r="K387" s="22" t="s">
        <v>2516</v>
      </c>
      <c r="L387" s="22" t="s">
        <v>57</v>
      </c>
      <c r="M387" s="22" t="s">
        <v>55</v>
      </c>
      <c r="N387" s="22" t="s">
        <v>55</v>
      </c>
      <c r="O387" s="22" t="s">
        <v>2485</v>
      </c>
      <c r="P387" s="22" t="s">
        <v>2517</v>
      </c>
      <c r="Q387" s="22" t="s">
        <v>2518</v>
      </c>
      <c r="R387" s="22" t="s">
        <v>63</v>
      </c>
      <c r="S387" s="22" t="s">
        <v>2519</v>
      </c>
      <c r="T387" s="22" t="s">
        <v>2520</v>
      </c>
      <c r="U387" s="22" t="s">
        <v>132</v>
      </c>
      <c r="V387" s="23">
        <v>46022</v>
      </c>
      <c r="W387" s="22" t="s">
        <v>55</v>
      </c>
      <c r="X387" s="22" t="s">
        <v>2521</v>
      </c>
      <c r="Y387" s="22" t="s">
        <v>65</v>
      </c>
      <c r="Z387" s="22" t="s">
        <v>55</v>
      </c>
      <c r="AA387" s="22" t="s">
        <v>221</v>
      </c>
      <c r="AB387" s="22" t="s">
        <v>55</v>
      </c>
      <c r="AC387" s="22" t="s">
        <v>55</v>
      </c>
      <c r="AD387" s="22" t="s">
        <v>67</v>
      </c>
      <c r="AE387" s="22" t="s">
        <v>257</v>
      </c>
      <c r="AF387" s="22" t="s">
        <v>55</v>
      </c>
      <c r="AG387" s="22" t="s">
        <v>55</v>
      </c>
      <c r="AH387" s="22" t="s">
        <v>55</v>
      </c>
      <c r="AI387" s="22" t="s">
        <v>55</v>
      </c>
      <c r="AJ387" s="22" t="s">
        <v>55</v>
      </c>
      <c r="AK387" s="22" t="s">
        <v>55</v>
      </c>
      <c r="AL387" s="22" t="s">
        <v>55</v>
      </c>
      <c r="AM387" s="22" t="s">
        <v>55</v>
      </c>
      <c r="AN387" s="22" t="s">
        <v>55</v>
      </c>
      <c r="AO387" s="22" t="s">
        <v>55</v>
      </c>
      <c r="AP387" s="22" t="s">
        <v>55</v>
      </c>
      <c r="AQ387" s="22" t="s">
        <v>55</v>
      </c>
      <c r="AR387" s="22" t="s">
        <v>55</v>
      </c>
      <c r="AS387" s="22" t="s">
        <v>55</v>
      </c>
      <c r="AT387" s="22" t="s">
        <v>55</v>
      </c>
      <c r="AU387" s="22" t="s">
        <v>55</v>
      </c>
      <c r="AV387" s="22" t="s">
        <v>55</v>
      </c>
      <c r="AW387" s="23">
        <v>45922</v>
      </c>
      <c r="AX387" s="23">
        <v>45961</v>
      </c>
      <c r="AY387" s="22" t="s">
        <v>2491</v>
      </c>
    </row>
    <row r="388" spans="1:51" ht="145" x14ac:dyDescent="0.35">
      <c r="A388" s="22" t="s">
        <v>2522</v>
      </c>
      <c r="B388" s="22" t="s">
        <v>347</v>
      </c>
      <c r="C388" s="22" t="s">
        <v>51</v>
      </c>
      <c r="D388" s="22" t="s">
        <v>465</v>
      </c>
      <c r="E388" s="22" t="s">
        <v>52</v>
      </c>
      <c r="F388" s="22" t="s">
        <v>1094</v>
      </c>
      <c r="G388" s="22" t="s">
        <v>94</v>
      </c>
      <c r="H388" s="22" t="s">
        <v>95</v>
      </c>
      <c r="I388" s="22" t="s">
        <v>526</v>
      </c>
      <c r="J388" s="22" t="s">
        <v>2523</v>
      </c>
      <c r="K388" s="22" t="s">
        <v>602</v>
      </c>
      <c r="L388" s="22" t="s">
        <v>57</v>
      </c>
      <c r="M388" s="22" t="s">
        <v>1016</v>
      </c>
      <c r="N388" s="22" t="s">
        <v>1016</v>
      </c>
      <c r="O388" s="22" t="s">
        <v>2485</v>
      </c>
      <c r="P388" s="22" t="s">
        <v>2524</v>
      </c>
      <c r="Q388" s="22" t="s">
        <v>2525</v>
      </c>
      <c r="R388" s="22" t="s">
        <v>63</v>
      </c>
      <c r="S388" s="22" t="s">
        <v>2526</v>
      </c>
      <c r="T388" s="22" t="s">
        <v>2527</v>
      </c>
      <c r="U388" s="22" t="s">
        <v>63</v>
      </c>
      <c r="V388" s="23">
        <v>46053</v>
      </c>
      <c r="W388" s="22" t="s">
        <v>55</v>
      </c>
      <c r="X388" s="22" t="s">
        <v>2528</v>
      </c>
      <c r="Y388" s="22" t="s">
        <v>65</v>
      </c>
      <c r="Z388" s="22" t="s">
        <v>55</v>
      </c>
      <c r="AA388" s="22" t="s">
        <v>155</v>
      </c>
      <c r="AB388" s="22" t="s">
        <v>55</v>
      </c>
      <c r="AC388" s="22" t="s">
        <v>55</v>
      </c>
      <c r="AD388" s="22" t="s">
        <v>67</v>
      </c>
      <c r="AE388" s="22" t="s">
        <v>257</v>
      </c>
      <c r="AF388" s="22" t="s">
        <v>477</v>
      </c>
      <c r="AG388" s="22" t="s">
        <v>55</v>
      </c>
      <c r="AH388" s="22" t="s">
        <v>55</v>
      </c>
      <c r="AI388" s="22" t="s">
        <v>55</v>
      </c>
      <c r="AJ388" s="22" t="s">
        <v>55</v>
      </c>
      <c r="AK388" s="22" t="s">
        <v>55</v>
      </c>
      <c r="AL388" s="22" t="s">
        <v>55</v>
      </c>
      <c r="AM388" s="22" t="s">
        <v>55</v>
      </c>
      <c r="AN388" s="22" t="s">
        <v>55</v>
      </c>
      <c r="AO388" s="22" t="s">
        <v>55</v>
      </c>
      <c r="AP388" s="22" t="s">
        <v>55</v>
      </c>
      <c r="AQ388" s="22" t="s">
        <v>55</v>
      </c>
      <c r="AR388" s="22" t="s">
        <v>55</v>
      </c>
      <c r="AS388" s="22" t="s">
        <v>55</v>
      </c>
      <c r="AT388" s="22" t="s">
        <v>55</v>
      </c>
      <c r="AU388" s="22" t="s">
        <v>55</v>
      </c>
      <c r="AV388" s="22" t="s">
        <v>55</v>
      </c>
      <c r="AW388" s="23">
        <v>45922</v>
      </c>
      <c r="AX388" s="23">
        <v>45961</v>
      </c>
      <c r="AY388" s="22" t="s">
        <v>2491</v>
      </c>
    </row>
    <row r="389" spans="1:51" ht="116" x14ac:dyDescent="0.35">
      <c r="A389" s="22" t="s">
        <v>2529</v>
      </c>
      <c r="B389" s="22" t="s">
        <v>347</v>
      </c>
      <c r="C389" s="22" t="s">
        <v>51</v>
      </c>
      <c r="D389" s="22" t="s">
        <v>465</v>
      </c>
      <c r="E389" s="22" t="s">
        <v>108</v>
      </c>
      <c r="F389" s="22" t="s">
        <v>1094</v>
      </c>
      <c r="G389" s="22" t="s">
        <v>94</v>
      </c>
      <c r="H389" s="22" t="s">
        <v>95</v>
      </c>
      <c r="I389" s="22" t="s">
        <v>101</v>
      </c>
      <c r="J389" s="22" t="s">
        <v>2530</v>
      </c>
      <c r="K389" s="22" t="s">
        <v>561</v>
      </c>
      <c r="L389" s="22" t="s">
        <v>57</v>
      </c>
      <c r="M389" s="22" t="s">
        <v>55</v>
      </c>
      <c r="N389" s="22" t="s">
        <v>55</v>
      </c>
      <c r="O389" s="22" t="s">
        <v>2485</v>
      </c>
      <c r="P389" s="22" t="s">
        <v>2531</v>
      </c>
      <c r="Q389" s="22" t="s">
        <v>2532</v>
      </c>
      <c r="R389" s="22" t="s">
        <v>63</v>
      </c>
      <c r="S389" s="22" t="s">
        <v>2533</v>
      </c>
      <c r="T389" s="22" t="s">
        <v>2534</v>
      </c>
      <c r="U389" s="22" t="s">
        <v>63</v>
      </c>
      <c r="V389" s="23">
        <v>46006</v>
      </c>
      <c r="W389" s="22" t="s">
        <v>55</v>
      </c>
      <c r="X389" s="22" t="s">
        <v>2535</v>
      </c>
      <c r="Y389" s="22" t="s">
        <v>65</v>
      </c>
      <c r="Z389" s="22" t="s">
        <v>55</v>
      </c>
      <c r="AA389" s="22" t="s">
        <v>152</v>
      </c>
      <c r="AB389" s="22" t="s">
        <v>55</v>
      </c>
      <c r="AC389" s="22" t="s">
        <v>55</v>
      </c>
      <c r="AD389" s="22" t="s">
        <v>67</v>
      </c>
      <c r="AE389" s="22" t="s">
        <v>257</v>
      </c>
      <c r="AF389" s="22" t="s">
        <v>55</v>
      </c>
      <c r="AG389" s="22" t="s">
        <v>55</v>
      </c>
      <c r="AH389" s="22" t="s">
        <v>55</v>
      </c>
      <c r="AI389" s="22" t="s">
        <v>55</v>
      </c>
      <c r="AJ389" s="22" t="s">
        <v>55</v>
      </c>
      <c r="AK389" s="22" t="s">
        <v>55</v>
      </c>
      <c r="AL389" s="22" t="s">
        <v>55</v>
      </c>
      <c r="AM389" s="22" t="s">
        <v>55</v>
      </c>
      <c r="AN389" s="22" t="s">
        <v>55</v>
      </c>
      <c r="AO389" s="22" t="s">
        <v>55</v>
      </c>
      <c r="AP389" s="22" t="s">
        <v>55</v>
      </c>
      <c r="AQ389" s="22" t="s">
        <v>55</v>
      </c>
      <c r="AR389" s="22" t="s">
        <v>55</v>
      </c>
      <c r="AS389" s="22" t="s">
        <v>55</v>
      </c>
      <c r="AT389" s="22" t="s">
        <v>55</v>
      </c>
      <c r="AU389" s="22" t="s">
        <v>55</v>
      </c>
      <c r="AV389" s="22" t="s">
        <v>55</v>
      </c>
      <c r="AW389" s="23">
        <v>45922</v>
      </c>
      <c r="AX389" s="23">
        <v>45961</v>
      </c>
      <c r="AY389" s="22" t="s">
        <v>2491</v>
      </c>
    </row>
    <row r="390" spans="1:51" ht="174" x14ac:dyDescent="0.35">
      <c r="A390" s="22" t="s">
        <v>2536</v>
      </c>
      <c r="B390" s="22" t="s">
        <v>347</v>
      </c>
      <c r="C390" s="22" t="s">
        <v>51</v>
      </c>
      <c r="D390" s="22" t="s">
        <v>465</v>
      </c>
      <c r="E390" s="22" t="s">
        <v>108</v>
      </c>
      <c r="F390" s="22" t="s">
        <v>1094</v>
      </c>
      <c r="G390" s="22" t="s">
        <v>94</v>
      </c>
      <c r="H390" s="22" t="s">
        <v>95</v>
      </c>
      <c r="I390" s="22" t="s">
        <v>160</v>
      </c>
      <c r="J390" s="22" t="s">
        <v>2537</v>
      </c>
      <c r="K390" s="22" t="s">
        <v>558</v>
      </c>
      <c r="L390" s="22" t="s">
        <v>57</v>
      </c>
      <c r="M390" s="22" t="s">
        <v>55</v>
      </c>
      <c r="N390" s="22" t="s">
        <v>55</v>
      </c>
      <c r="O390" s="22" t="s">
        <v>2485</v>
      </c>
      <c r="P390" s="22" t="s">
        <v>2538</v>
      </c>
      <c r="Q390" s="22" t="s">
        <v>2539</v>
      </c>
      <c r="R390" s="22" t="s">
        <v>63</v>
      </c>
      <c r="S390" s="22" t="s">
        <v>2540</v>
      </c>
      <c r="T390" s="22" t="s">
        <v>2541</v>
      </c>
      <c r="U390" s="22" t="s">
        <v>132</v>
      </c>
      <c r="V390" s="23">
        <v>46006</v>
      </c>
      <c r="W390" s="22" t="s">
        <v>55</v>
      </c>
      <c r="X390" s="22" t="s">
        <v>2535</v>
      </c>
      <c r="Y390" s="22" t="s">
        <v>65</v>
      </c>
      <c r="Z390" s="22" t="s">
        <v>55</v>
      </c>
      <c r="AA390" s="22" t="s">
        <v>152</v>
      </c>
      <c r="AB390" s="22" t="s">
        <v>55</v>
      </c>
      <c r="AC390" s="22" t="s">
        <v>55</v>
      </c>
      <c r="AD390" s="22" t="s">
        <v>67</v>
      </c>
      <c r="AE390" s="22" t="s">
        <v>257</v>
      </c>
      <c r="AF390" s="22" t="s">
        <v>55</v>
      </c>
      <c r="AG390" s="22" t="s">
        <v>55</v>
      </c>
      <c r="AH390" s="22" t="s">
        <v>55</v>
      </c>
      <c r="AI390" s="22" t="s">
        <v>55</v>
      </c>
      <c r="AJ390" s="22" t="s">
        <v>55</v>
      </c>
      <c r="AK390" s="22" t="s">
        <v>55</v>
      </c>
      <c r="AL390" s="22" t="s">
        <v>55</v>
      </c>
      <c r="AM390" s="22" t="s">
        <v>55</v>
      </c>
      <c r="AN390" s="22" t="s">
        <v>55</v>
      </c>
      <c r="AO390" s="22" t="s">
        <v>55</v>
      </c>
      <c r="AP390" s="22" t="s">
        <v>55</v>
      </c>
      <c r="AQ390" s="22" t="s">
        <v>55</v>
      </c>
      <c r="AR390" s="22" t="s">
        <v>55</v>
      </c>
      <c r="AS390" s="22" t="s">
        <v>55</v>
      </c>
      <c r="AT390" s="22" t="s">
        <v>55</v>
      </c>
      <c r="AU390" s="22" t="s">
        <v>55</v>
      </c>
      <c r="AV390" s="22" t="s">
        <v>55</v>
      </c>
      <c r="AW390" s="23">
        <v>45922</v>
      </c>
      <c r="AX390" s="23">
        <v>45961</v>
      </c>
      <c r="AY390" s="22" t="s">
        <v>2491</v>
      </c>
    </row>
    <row r="391" spans="1:51" ht="391.5" x14ac:dyDescent="0.35">
      <c r="A391" s="22" t="s">
        <v>2542</v>
      </c>
      <c r="B391" s="22" t="s">
        <v>347</v>
      </c>
      <c r="C391" s="22" t="s">
        <v>51</v>
      </c>
      <c r="D391" s="22" t="s">
        <v>465</v>
      </c>
      <c r="E391" s="22" t="s">
        <v>108</v>
      </c>
      <c r="F391" s="22" t="s">
        <v>1094</v>
      </c>
      <c r="G391" s="22" t="s">
        <v>94</v>
      </c>
      <c r="H391" s="22" t="s">
        <v>95</v>
      </c>
      <c r="I391" s="22" t="s">
        <v>119</v>
      </c>
      <c r="J391" s="22" t="s">
        <v>2543</v>
      </c>
      <c r="K391" s="22" t="s">
        <v>544</v>
      </c>
      <c r="L391" s="22" t="s">
        <v>57</v>
      </c>
      <c r="M391" s="22" t="s">
        <v>55</v>
      </c>
      <c r="N391" s="22" t="s">
        <v>55</v>
      </c>
      <c r="O391" s="22" t="s">
        <v>2485</v>
      </c>
      <c r="P391" s="22" t="s">
        <v>2544</v>
      </c>
      <c r="Q391" s="22" t="s">
        <v>2545</v>
      </c>
      <c r="R391" s="22" t="s">
        <v>63</v>
      </c>
      <c r="S391" s="22" t="s">
        <v>2546</v>
      </c>
      <c r="T391" s="22" t="s">
        <v>2547</v>
      </c>
      <c r="U391" s="22" t="s">
        <v>63</v>
      </c>
      <c r="V391" s="23">
        <v>46053</v>
      </c>
      <c r="W391" s="22" t="s">
        <v>55</v>
      </c>
      <c r="X391" s="22" t="s">
        <v>2528</v>
      </c>
      <c r="Y391" s="22" t="s">
        <v>65</v>
      </c>
      <c r="Z391" s="22" t="s">
        <v>55</v>
      </c>
      <c r="AA391" s="22" t="s">
        <v>155</v>
      </c>
      <c r="AB391" s="22" t="s">
        <v>55</v>
      </c>
      <c r="AC391" s="22" t="s">
        <v>55</v>
      </c>
      <c r="AD391" s="22" t="s">
        <v>67</v>
      </c>
      <c r="AE391" s="22" t="s">
        <v>257</v>
      </c>
      <c r="AF391" s="22" t="s">
        <v>55</v>
      </c>
      <c r="AG391" s="22" t="s">
        <v>55</v>
      </c>
      <c r="AH391" s="22" t="s">
        <v>55</v>
      </c>
      <c r="AI391" s="22" t="s">
        <v>55</v>
      </c>
      <c r="AJ391" s="22" t="s">
        <v>55</v>
      </c>
      <c r="AK391" s="22" t="s">
        <v>55</v>
      </c>
      <c r="AL391" s="22" t="s">
        <v>55</v>
      </c>
      <c r="AM391" s="22" t="s">
        <v>55</v>
      </c>
      <c r="AN391" s="22" t="s">
        <v>55</v>
      </c>
      <c r="AO391" s="22" t="s">
        <v>55</v>
      </c>
      <c r="AP391" s="22" t="s">
        <v>55</v>
      </c>
      <c r="AQ391" s="22" t="s">
        <v>55</v>
      </c>
      <c r="AR391" s="22" t="s">
        <v>55</v>
      </c>
      <c r="AS391" s="22" t="s">
        <v>55</v>
      </c>
      <c r="AT391" s="22" t="s">
        <v>55</v>
      </c>
      <c r="AU391" s="22" t="s">
        <v>55</v>
      </c>
      <c r="AV391" s="22" t="s">
        <v>55</v>
      </c>
      <c r="AW391" s="23">
        <v>45922</v>
      </c>
      <c r="AX391" s="23">
        <v>45961</v>
      </c>
      <c r="AY391" s="22" t="s">
        <v>2491</v>
      </c>
    </row>
    <row r="392" spans="1:51" ht="409.5" x14ac:dyDescent="0.35">
      <c r="A392" s="22" t="s">
        <v>2548</v>
      </c>
      <c r="B392" s="22" t="s">
        <v>347</v>
      </c>
      <c r="C392" s="22" t="s">
        <v>51</v>
      </c>
      <c r="D392" s="22" t="s">
        <v>465</v>
      </c>
      <c r="E392" s="22" t="s">
        <v>52</v>
      </c>
      <c r="F392" s="22" t="s">
        <v>1094</v>
      </c>
      <c r="G392" s="22" t="s">
        <v>94</v>
      </c>
      <c r="H392" s="22" t="s">
        <v>95</v>
      </c>
      <c r="I392" s="22" t="s">
        <v>56</v>
      </c>
      <c r="J392" s="22" t="s">
        <v>2549</v>
      </c>
      <c r="K392" s="22" t="s">
        <v>572</v>
      </c>
      <c r="L392" s="22" t="s">
        <v>57</v>
      </c>
      <c r="M392" s="22" t="s">
        <v>58</v>
      </c>
      <c r="N392" s="22" t="s">
        <v>58</v>
      </c>
      <c r="O392" s="22" t="s">
        <v>2485</v>
      </c>
      <c r="P392" s="22" t="s">
        <v>2550</v>
      </c>
      <c r="Q392" s="22" t="s">
        <v>2551</v>
      </c>
      <c r="R392" s="22" t="s">
        <v>63</v>
      </c>
      <c r="S392" s="22" t="s">
        <v>2552</v>
      </c>
      <c r="T392" s="22" t="s">
        <v>2553</v>
      </c>
      <c r="U392" s="22" t="s">
        <v>63</v>
      </c>
      <c r="V392" s="23">
        <v>46053</v>
      </c>
      <c r="W392" s="22" t="s">
        <v>55</v>
      </c>
      <c r="X392" s="22" t="s">
        <v>2554</v>
      </c>
      <c r="Y392" s="22" t="s">
        <v>65</v>
      </c>
      <c r="Z392" s="22" t="s">
        <v>55</v>
      </c>
      <c r="AA392" s="22" t="s">
        <v>155</v>
      </c>
      <c r="AB392" s="22" t="s">
        <v>55</v>
      </c>
      <c r="AC392" s="22" t="s">
        <v>55</v>
      </c>
      <c r="AD392" s="22" t="s">
        <v>67</v>
      </c>
      <c r="AE392" s="22" t="s">
        <v>257</v>
      </c>
      <c r="AF392" s="22" t="s">
        <v>69</v>
      </c>
      <c r="AG392" s="22" t="s">
        <v>55</v>
      </c>
      <c r="AH392" s="22" t="s">
        <v>55</v>
      </c>
      <c r="AI392" s="22" t="s">
        <v>55</v>
      </c>
      <c r="AJ392" s="22" t="s">
        <v>55</v>
      </c>
      <c r="AK392" s="22" t="s">
        <v>55</v>
      </c>
      <c r="AL392" s="22" t="s">
        <v>55</v>
      </c>
      <c r="AM392" s="22" t="s">
        <v>55</v>
      </c>
      <c r="AN392" s="22" t="s">
        <v>55</v>
      </c>
      <c r="AO392" s="22" t="s">
        <v>55</v>
      </c>
      <c r="AP392" s="22" t="s">
        <v>55</v>
      </c>
      <c r="AQ392" s="22" t="s">
        <v>55</v>
      </c>
      <c r="AR392" s="22" t="s">
        <v>55</v>
      </c>
      <c r="AS392" s="22" t="s">
        <v>55</v>
      </c>
      <c r="AT392" s="22" t="s">
        <v>55</v>
      </c>
      <c r="AU392" s="22" t="s">
        <v>55</v>
      </c>
      <c r="AV392" s="22" t="s">
        <v>55</v>
      </c>
      <c r="AW392" s="23">
        <v>45922</v>
      </c>
      <c r="AX392" s="23">
        <v>45961</v>
      </c>
      <c r="AY392" s="22" t="s">
        <v>2491</v>
      </c>
    </row>
    <row r="393" spans="1:51" ht="290" x14ac:dyDescent="0.35">
      <c r="A393" s="22" t="s">
        <v>299</v>
      </c>
      <c r="B393" s="22" t="s">
        <v>50</v>
      </c>
      <c r="C393" s="22" t="s">
        <v>51</v>
      </c>
      <c r="D393" s="22" t="s">
        <v>55</v>
      </c>
      <c r="E393" s="22" t="s">
        <v>108</v>
      </c>
      <c r="F393" s="22" t="s">
        <v>300</v>
      </c>
      <c r="G393" s="22" t="s">
        <v>126</v>
      </c>
      <c r="H393" s="22" t="s">
        <v>157</v>
      </c>
      <c r="I393" s="22" t="s">
        <v>109</v>
      </c>
      <c r="J393" s="22" t="s">
        <v>55</v>
      </c>
      <c r="K393" s="22" t="s">
        <v>586</v>
      </c>
      <c r="L393" s="22" t="s">
        <v>57</v>
      </c>
      <c r="M393" s="22" t="s">
        <v>55</v>
      </c>
      <c r="N393" s="22" t="s">
        <v>55</v>
      </c>
      <c r="O393" s="22" t="s">
        <v>301</v>
      </c>
      <c r="P393" s="22" t="s">
        <v>302</v>
      </c>
      <c r="Q393" s="22" t="s">
        <v>303</v>
      </c>
      <c r="R393" s="22" t="s">
        <v>55</v>
      </c>
      <c r="S393" s="22" t="s">
        <v>304</v>
      </c>
      <c r="T393" s="22" t="s">
        <v>305</v>
      </c>
      <c r="U393" s="22" t="s">
        <v>55</v>
      </c>
      <c r="V393" s="23">
        <v>46022</v>
      </c>
      <c r="W393" s="22" t="s">
        <v>55</v>
      </c>
      <c r="X393" s="22" t="s">
        <v>306</v>
      </c>
      <c r="Y393" s="22" t="s">
        <v>65</v>
      </c>
      <c r="Z393" s="22" t="s">
        <v>55</v>
      </c>
      <c r="AA393" s="22" t="s">
        <v>221</v>
      </c>
      <c r="AB393" s="22" t="s">
        <v>55</v>
      </c>
      <c r="AC393" s="22" t="s">
        <v>55</v>
      </c>
      <c r="AD393" s="22" t="s">
        <v>67</v>
      </c>
      <c r="AE393" s="22" t="s">
        <v>298</v>
      </c>
      <c r="AF393" s="22" t="s">
        <v>55</v>
      </c>
      <c r="AG393" s="22" t="s">
        <v>55</v>
      </c>
      <c r="AH393" s="22" t="s">
        <v>55</v>
      </c>
      <c r="AI393" s="22" t="s">
        <v>55</v>
      </c>
      <c r="AJ393" s="22" t="s">
        <v>55</v>
      </c>
      <c r="AK393" s="22" t="s">
        <v>55</v>
      </c>
      <c r="AL393" s="22" t="s">
        <v>55</v>
      </c>
      <c r="AM393" s="22" t="s">
        <v>55</v>
      </c>
      <c r="AN393" s="22" t="s">
        <v>55</v>
      </c>
      <c r="AO393" s="22" t="s">
        <v>55</v>
      </c>
      <c r="AP393" s="22" t="s">
        <v>55</v>
      </c>
      <c r="AQ393" s="22" t="s">
        <v>55</v>
      </c>
      <c r="AR393" s="22" t="s">
        <v>55</v>
      </c>
      <c r="AS393" s="22" t="s">
        <v>55</v>
      </c>
      <c r="AT393" s="22" t="s">
        <v>55</v>
      </c>
      <c r="AU393" s="22" t="s">
        <v>55</v>
      </c>
      <c r="AV393" s="22" t="s">
        <v>55</v>
      </c>
      <c r="AW393" s="23">
        <v>45107</v>
      </c>
      <c r="AX393" s="23">
        <v>45189</v>
      </c>
      <c r="AY393" s="22" t="s">
        <v>307</v>
      </c>
    </row>
    <row r="394" spans="1:51" ht="290" x14ac:dyDescent="0.35">
      <c r="A394" s="22" t="s">
        <v>308</v>
      </c>
      <c r="B394" s="22" t="s">
        <v>50</v>
      </c>
      <c r="C394" s="22" t="s">
        <v>51</v>
      </c>
      <c r="D394" s="22" t="s">
        <v>55</v>
      </c>
      <c r="E394" s="22" t="s">
        <v>108</v>
      </c>
      <c r="F394" s="22" t="s">
        <v>300</v>
      </c>
      <c r="G394" s="22" t="s">
        <v>126</v>
      </c>
      <c r="H394" s="22" t="s">
        <v>157</v>
      </c>
      <c r="I394" s="22" t="s">
        <v>109</v>
      </c>
      <c r="J394" s="22" t="s">
        <v>55</v>
      </c>
      <c r="K394" s="22" t="s">
        <v>586</v>
      </c>
      <c r="L394" s="22" t="s">
        <v>57</v>
      </c>
      <c r="M394" s="22" t="s">
        <v>55</v>
      </c>
      <c r="N394" s="22" t="s">
        <v>55</v>
      </c>
      <c r="O394" s="22" t="s">
        <v>301</v>
      </c>
      <c r="P394" s="22" t="s">
        <v>302</v>
      </c>
      <c r="Q394" s="22" t="s">
        <v>303</v>
      </c>
      <c r="R394" s="22" t="s">
        <v>55</v>
      </c>
      <c r="S394" s="22" t="s">
        <v>304</v>
      </c>
      <c r="T394" s="22" t="s">
        <v>309</v>
      </c>
      <c r="U394" s="22" t="s">
        <v>55</v>
      </c>
      <c r="V394" s="23">
        <v>46022</v>
      </c>
      <c r="W394" s="22" t="s">
        <v>55</v>
      </c>
      <c r="X394" s="22" t="s">
        <v>306</v>
      </c>
      <c r="Y394" s="22" t="s">
        <v>65</v>
      </c>
      <c r="Z394" s="22" t="s">
        <v>55</v>
      </c>
      <c r="AA394" s="22" t="s">
        <v>221</v>
      </c>
      <c r="AB394" s="22" t="s">
        <v>310</v>
      </c>
      <c r="AC394" s="22" t="s">
        <v>55</v>
      </c>
      <c r="AD394" s="22" t="s">
        <v>67</v>
      </c>
      <c r="AE394" s="22" t="s">
        <v>298</v>
      </c>
      <c r="AF394" s="22" t="s">
        <v>55</v>
      </c>
      <c r="AG394" s="22" t="s">
        <v>55</v>
      </c>
      <c r="AH394" s="22" t="s">
        <v>55</v>
      </c>
      <c r="AI394" s="22" t="s">
        <v>55</v>
      </c>
      <c r="AJ394" s="22" t="s">
        <v>55</v>
      </c>
      <c r="AK394" s="22" t="s">
        <v>55</v>
      </c>
      <c r="AL394" s="22" t="s">
        <v>55</v>
      </c>
      <c r="AM394" s="22" t="s">
        <v>55</v>
      </c>
      <c r="AN394" s="22" t="s">
        <v>55</v>
      </c>
      <c r="AO394" s="22" t="s">
        <v>55</v>
      </c>
      <c r="AP394" s="22" t="s">
        <v>55</v>
      </c>
      <c r="AQ394" s="22" t="s">
        <v>55</v>
      </c>
      <c r="AR394" s="22" t="s">
        <v>55</v>
      </c>
      <c r="AS394" s="22" t="s">
        <v>55</v>
      </c>
      <c r="AT394" s="22" t="s">
        <v>55</v>
      </c>
      <c r="AU394" s="22" t="s">
        <v>55</v>
      </c>
      <c r="AV394" s="22" t="s">
        <v>55</v>
      </c>
      <c r="AW394" s="23">
        <v>45107</v>
      </c>
      <c r="AX394" s="23">
        <v>45189</v>
      </c>
      <c r="AY394" s="22" t="s">
        <v>307</v>
      </c>
    </row>
    <row r="395" spans="1:51" ht="87" x14ac:dyDescent="0.35">
      <c r="A395" s="22" t="s">
        <v>313</v>
      </c>
      <c r="B395" s="22" t="s">
        <v>50</v>
      </c>
      <c r="C395" s="22" t="s">
        <v>51</v>
      </c>
      <c r="D395" s="22" t="s">
        <v>55</v>
      </c>
      <c r="E395" s="22" t="s">
        <v>52</v>
      </c>
      <c r="F395" s="22" t="s">
        <v>314</v>
      </c>
      <c r="G395" s="22" t="s">
        <v>84</v>
      </c>
      <c r="H395" s="22" t="s">
        <v>84</v>
      </c>
      <c r="I395" s="22" t="s">
        <v>160</v>
      </c>
      <c r="J395" s="22" t="s">
        <v>55</v>
      </c>
      <c r="K395" s="22" t="s">
        <v>858</v>
      </c>
      <c r="L395" s="22" t="s">
        <v>103</v>
      </c>
      <c r="M395" s="22" t="s">
        <v>55</v>
      </c>
      <c r="N395" s="22" t="s">
        <v>55</v>
      </c>
      <c r="O395" s="22" t="s">
        <v>315</v>
      </c>
      <c r="P395" s="22" t="s">
        <v>316</v>
      </c>
      <c r="Q395" s="22" t="s">
        <v>317</v>
      </c>
      <c r="R395" s="22" t="s">
        <v>55</v>
      </c>
      <c r="S395" s="22" t="s">
        <v>318</v>
      </c>
      <c r="T395" s="22" t="s">
        <v>319</v>
      </c>
      <c r="U395" s="22" t="s">
        <v>132</v>
      </c>
      <c r="V395" s="23">
        <v>45900</v>
      </c>
      <c r="W395" s="22" t="s">
        <v>320</v>
      </c>
      <c r="X395" s="22" t="s">
        <v>321</v>
      </c>
      <c r="Y395" s="22" t="s">
        <v>65</v>
      </c>
      <c r="Z395" s="22" t="s">
        <v>55</v>
      </c>
      <c r="AA395" s="22" t="s">
        <v>66</v>
      </c>
      <c r="AB395" s="22" t="s">
        <v>55</v>
      </c>
      <c r="AC395" s="22" t="s">
        <v>55</v>
      </c>
      <c r="AD395" s="22" t="s">
        <v>67</v>
      </c>
      <c r="AE395" s="22" t="s">
        <v>68</v>
      </c>
      <c r="AF395" s="22" t="s">
        <v>55</v>
      </c>
      <c r="AG395" s="22" t="s">
        <v>55</v>
      </c>
      <c r="AH395" s="22" t="s">
        <v>55</v>
      </c>
      <c r="AI395" s="22" t="s">
        <v>55</v>
      </c>
      <c r="AJ395" s="22" t="s">
        <v>55</v>
      </c>
      <c r="AK395" s="22" t="s">
        <v>55</v>
      </c>
      <c r="AL395" s="22" t="s">
        <v>55</v>
      </c>
      <c r="AM395" s="22" t="s">
        <v>55</v>
      </c>
      <c r="AN395" s="22" t="s">
        <v>55</v>
      </c>
      <c r="AO395" s="22" t="s">
        <v>55</v>
      </c>
      <c r="AP395" s="22" t="s">
        <v>55</v>
      </c>
      <c r="AQ395" s="22" t="s">
        <v>55</v>
      </c>
      <c r="AR395" s="22" t="s">
        <v>55</v>
      </c>
      <c r="AS395" s="22" t="s">
        <v>55</v>
      </c>
      <c r="AT395" s="22" t="s">
        <v>55</v>
      </c>
      <c r="AU395" s="22" t="s">
        <v>55</v>
      </c>
      <c r="AV395" s="22" t="s">
        <v>55</v>
      </c>
      <c r="AW395" s="23">
        <v>45247</v>
      </c>
      <c r="AX395" s="23">
        <v>45338</v>
      </c>
      <c r="AY395" s="22" t="s">
        <v>322</v>
      </c>
    </row>
    <row r="396" spans="1:51" ht="87" x14ac:dyDescent="0.35">
      <c r="A396" s="22" t="s">
        <v>324</v>
      </c>
      <c r="B396" s="22" t="s">
        <v>50</v>
      </c>
      <c r="C396" s="22" t="s">
        <v>51</v>
      </c>
      <c r="D396" s="22" t="s">
        <v>55</v>
      </c>
      <c r="E396" s="22" t="s">
        <v>52</v>
      </c>
      <c r="F396" s="22" t="s">
        <v>325</v>
      </c>
      <c r="G396" s="22" t="s">
        <v>54</v>
      </c>
      <c r="H396" s="22" t="s">
        <v>1716</v>
      </c>
      <c r="I396" s="22" t="s">
        <v>56</v>
      </c>
      <c r="J396" s="22" t="s">
        <v>55</v>
      </c>
      <c r="K396" s="22" t="s">
        <v>572</v>
      </c>
      <c r="L396" s="22" t="s">
        <v>57</v>
      </c>
      <c r="M396" s="22" t="s">
        <v>58</v>
      </c>
      <c r="N396" s="22" t="s">
        <v>55</v>
      </c>
      <c r="O396" s="22" t="s">
        <v>55</v>
      </c>
      <c r="P396" s="22" t="s">
        <v>59</v>
      </c>
      <c r="Q396" s="22" t="s">
        <v>326</v>
      </c>
      <c r="R396" s="22" t="s">
        <v>55</v>
      </c>
      <c r="S396" s="22" t="s">
        <v>61</v>
      </c>
      <c r="T396" s="22" t="s">
        <v>327</v>
      </c>
      <c r="U396" s="22" t="s">
        <v>63</v>
      </c>
      <c r="V396" s="23">
        <v>45657</v>
      </c>
      <c r="W396" s="22" t="s">
        <v>55</v>
      </c>
      <c r="X396" s="22" t="s">
        <v>328</v>
      </c>
      <c r="Y396" s="22" t="s">
        <v>65</v>
      </c>
      <c r="Z396" s="22" t="s">
        <v>55</v>
      </c>
      <c r="AA396" s="22" t="s">
        <v>66</v>
      </c>
      <c r="AB396" s="22" t="s">
        <v>55</v>
      </c>
      <c r="AC396" s="22" t="s">
        <v>55</v>
      </c>
      <c r="AD396" s="22" t="s">
        <v>67</v>
      </c>
      <c r="AE396" s="22" t="s">
        <v>68</v>
      </c>
      <c r="AF396" s="22" t="s">
        <v>69</v>
      </c>
      <c r="AG396" s="22" t="s">
        <v>55</v>
      </c>
      <c r="AH396" s="22" t="s">
        <v>55</v>
      </c>
      <c r="AI396" s="22" t="s">
        <v>55</v>
      </c>
      <c r="AJ396" s="22" t="s">
        <v>55</v>
      </c>
      <c r="AK396" s="22" t="s">
        <v>55</v>
      </c>
      <c r="AL396" s="22" t="s">
        <v>55</v>
      </c>
      <c r="AM396" s="22" t="s">
        <v>55</v>
      </c>
      <c r="AN396" s="22" t="s">
        <v>55</v>
      </c>
      <c r="AO396" s="22" t="s">
        <v>55</v>
      </c>
      <c r="AP396" s="22" t="s">
        <v>55</v>
      </c>
      <c r="AQ396" s="22" t="s">
        <v>55</v>
      </c>
      <c r="AR396" s="22" t="s">
        <v>55</v>
      </c>
      <c r="AS396" s="22" t="s">
        <v>55</v>
      </c>
      <c r="AT396" s="22" t="s">
        <v>55</v>
      </c>
      <c r="AU396" s="22" t="s">
        <v>55</v>
      </c>
      <c r="AV396" s="22" t="s">
        <v>55</v>
      </c>
      <c r="AW396" s="22" t="s">
        <v>55</v>
      </c>
      <c r="AX396" s="22" t="s">
        <v>55</v>
      </c>
      <c r="AY396" s="22" t="s">
        <v>70</v>
      </c>
    </row>
  </sheetData>
  <autoFilter ref="A1:AY396" xr:uid="{169967AB-EA3C-41A3-AA28-3D6F19F9CE83}"/>
  <conditionalFormatting sqref="A4:A328">
    <cfRule type="duplicateValues" dxfId="1" priority="1"/>
  </conditionalFormatting>
  <pageMargins left="0.7" right="0.7" top="0.75" bottom="0.75" header="0.3" footer="0.3"/>
  <headerFooter>
    <oddHeader>&amp;L&amp;"Calibri"&amp;10&amp;K000000 General Business - Tenneco Confidential&amp;1#_x000D_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BF397"/>
  <sheetViews>
    <sheetView topLeftCell="AT379" workbookViewId="0">
      <selection activeCell="AV24" sqref="AV24"/>
    </sheetView>
  </sheetViews>
  <sheetFormatPr defaultRowHeight="14.5" x14ac:dyDescent="0.35"/>
  <cols>
    <col min="1" max="1" width="9.6328125" bestFit="1" customWidth="1"/>
    <col min="2" max="2" width="6.81640625" bestFit="1" customWidth="1"/>
    <col min="3" max="3" width="13.6328125" bestFit="1" customWidth="1"/>
    <col min="4" max="4" width="19.90625" bestFit="1" customWidth="1"/>
    <col min="5" max="5" width="10.36328125" bestFit="1" customWidth="1"/>
    <col min="6" max="6" width="41.54296875" bestFit="1" customWidth="1"/>
    <col min="7" max="7" width="20.1796875" bestFit="1" customWidth="1"/>
    <col min="8" max="8" width="39.1796875" bestFit="1" customWidth="1"/>
    <col min="9" max="9" width="39.7265625" bestFit="1" customWidth="1"/>
    <col min="10" max="10" width="55.26953125" bestFit="1" customWidth="1"/>
    <col min="11" max="11" width="62.90625" bestFit="1" customWidth="1"/>
    <col min="12" max="12" width="8.54296875" bestFit="1" customWidth="1"/>
    <col min="13" max="13" width="22.81640625" bestFit="1" customWidth="1"/>
    <col min="14" max="14" width="30.6328125" bestFit="1" customWidth="1"/>
    <col min="15" max="15" width="133" bestFit="1" customWidth="1"/>
    <col min="16" max="16" width="185.90625" bestFit="1" customWidth="1"/>
    <col min="17" max="17" width="255.6328125" bestFit="1" customWidth="1"/>
    <col min="18" max="18" width="13.7265625" bestFit="1" customWidth="1"/>
    <col min="19" max="20" width="255.6328125" bestFit="1" customWidth="1"/>
    <col min="21" max="21" width="24.6328125" bestFit="1" customWidth="1"/>
    <col min="22" max="22" width="18.7265625" bestFit="1" customWidth="1"/>
    <col min="23" max="23" width="74.81640625" bestFit="1" customWidth="1"/>
    <col min="24" max="24" width="143.36328125" bestFit="1" customWidth="1"/>
    <col min="25" max="25" width="13.08984375" bestFit="1" customWidth="1"/>
    <col min="26" max="26" width="14.7265625" bestFit="1" customWidth="1"/>
    <col min="27" max="27" width="13.7265625" bestFit="1" customWidth="1"/>
    <col min="28" max="28" width="255.6328125" bestFit="1" customWidth="1"/>
    <col min="29" max="29" width="17.1796875" bestFit="1" customWidth="1"/>
    <col min="30" max="30" width="23" bestFit="1" customWidth="1"/>
    <col min="31" max="31" width="12.1796875" bestFit="1" customWidth="1"/>
    <col min="32" max="32" width="22.81640625" bestFit="1" customWidth="1"/>
    <col min="33" max="33" width="30.81640625" bestFit="1" customWidth="1"/>
    <col min="34" max="34" width="22.90625" bestFit="1" customWidth="1"/>
    <col min="35" max="35" width="55.54296875" bestFit="1" customWidth="1"/>
    <col min="36" max="36" width="20.453125" bestFit="1" customWidth="1"/>
    <col min="37" max="37" width="56.90625" bestFit="1" customWidth="1"/>
    <col min="38" max="38" width="25.7265625" bestFit="1" customWidth="1"/>
    <col min="39" max="39" width="22.81640625" bestFit="1" customWidth="1"/>
    <col min="40" max="40" width="35.26953125" bestFit="1" customWidth="1"/>
    <col min="41" max="41" width="27.54296875" bestFit="1" customWidth="1"/>
    <col min="42" max="42" width="20.36328125" bestFit="1" customWidth="1"/>
    <col min="43" max="43" width="31" bestFit="1" customWidth="1"/>
    <col min="44" max="44" width="20.36328125" bestFit="1" customWidth="1"/>
    <col min="45" max="45" width="29.1796875" bestFit="1" customWidth="1"/>
    <col min="46" max="46" width="23.36328125" bestFit="1" customWidth="1"/>
    <col min="47" max="47" width="24.54296875" bestFit="1" customWidth="1"/>
    <col min="48" max="48" width="22.81640625" bestFit="1" customWidth="1"/>
    <col min="49" max="49" width="12.81640625" bestFit="1" customWidth="1"/>
    <col min="50" max="50" width="15.453125" bestFit="1" customWidth="1"/>
    <col min="51" max="51" width="14.7265625" bestFit="1" customWidth="1"/>
    <col min="52" max="52" width="10.453125" bestFit="1" customWidth="1"/>
    <col min="53" max="53" width="11.90625" bestFit="1" customWidth="1"/>
    <col min="54" max="54" width="10.36328125" bestFit="1" customWidth="1"/>
    <col min="57" max="57" width="4.81640625" bestFit="1" customWidth="1"/>
    <col min="58" max="58" width="11.90625" bestFit="1" customWidth="1"/>
  </cols>
  <sheetData>
    <row r="1" spans="1:58" x14ac:dyDescent="0.35">
      <c r="AZ1" s="8" t="s">
        <v>337</v>
      </c>
      <c r="BE1" s="8" t="s">
        <v>343</v>
      </c>
    </row>
    <row r="2" spans="1:58" ht="12.75" customHeight="1" x14ac:dyDescent="0.35">
      <c r="A2" s="13" t="s">
        <v>0</v>
      </c>
      <c r="B2" s="13" t="s">
        <v>1</v>
      </c>
      <c r="C2" s="13" t="s">
        <v>2</v>
      </c>
      <c r="D2" s="16" t="s">
        <v>365</v>
      </c>
      <c r="E2" s="13" t="s">
        <v>3</v>
      </c>
      <c r="F2" s="13" t="s">
        <v>4</v>
      </c>
      <c r="G2" s="13" t="s">
        <v>5</v>
      </c>
      <c r="H2" s="13" t="s">
        <v>6</v>
      </c>
      <c r="I2" s="13" t="s">
        <v>7</v>
      </c>
      <c r="J2" s="13" t="s">
        <v>8</v>
      </c>
      <c r="K2" s="13" t="s">
        <v>9</v>
      </c>
      <c r="L2" s="13" t="s">
        <v>10</v>
      </c>
      <c r="M2" s="13" t="s">
        <v>11</v>
      </c>
      <c r="N2" s="13" t="s">
        <v>12</v>
      </c>
      <c r="O2" s="13" t="s">
        <v>13</v>
      </c>
      <c r="P2" s="13" t="s">
        <v>14</v>
      </c>
      <c r="Q2" s="13" t="s">
        <v>15</v>
      </c>
      <c r="R2" s="13" t="s">
        <v>16</v>
      </c>
      <c r="S2" s="13" t="s">
        <v>17</v>
      </c>
      <c r="T2" s="13" t="s">
        <v>18</v>
      </c>
      <c r="U2" s="13" t="s">
        <v>19</v>
      </c>
      <c r="V2" s="13" t="s">
        <v>20</v>
      </c>
      <c r="W2" s="13" t="s">
        <v>21</v>
      </c>
      <c r="X2" s="13" t="s">
        <v>22</v>
      </c>
      <c r="Y2" s="13" t="s">
        <v>23</v>
      </c>
      <c r="Z2" s="13" t="s">
        <v>24</v>
      </c>
      <c r="AA2" s="13" t="s">
        <v>25</v>
      </c>
      <c r="AB2" s="13" t="s">
        <v>26</v>
      </c>
      <c r="AC2" s="13" t="s">
        <v>27</v>
      </c>
      <c r="AD2" s="13" t="s">
        <v>28</v>
      </c>
      <c r="AE2" s="13" t="s">
        <v>29</v>
      </c>
      <c r="AF2" s="13" t="s">
        <v>30</v>
      </c>
      <c r="AG2" s="13" t="s">
        <v>31</v>
      </c>
      <c r="AH2" s="13" t="s">
        <v>32</v>
      </c>
      <c r="AI2" s="13" t="s">
        <v>33</v>
      </c>
      <c r="AJ2" s="13" t="s">
        <v>34</v>
      </c>
      <c r="AK2" s="13" t="s">
        <v>35</v>
      </c>
      <c r="AL2" s="13" t="s">
        <v>36</v>
      </c>
      <c r="AM2" s="13" t="s">
        <v>37</v>
      </c>
      <c r="AN2" s="13" t="s">
        <v>38</v>
      </c>
      <c r="AO2" s="13" t="s">
        <v>39</v>
      </c>
      <c r="AP2" s="13" t="s">
        <v>40</v>
      </c>
      <c r="AQ2" s="13" t="s">
        <v>41</v>
      </c>
      <c r="AR2" s="13" t="s">
        <v>40</v>
      </c>
      <c r="AS2" s="13" t="s">
        <v>42</v>
      </c>
      <c r="AT2" s="13" t="s">
        <v>43</v>
      </c>
      <c r="AU2" s="13" t="s">
        <v>44</v>
      </c>
      <c r="AV2" s="13" t="s">
        <v>45</v>
      </c>
      <c r="AW2" s="13" t="s">
        <v>46</v>
      </c>
      <c r="AX2" s="13" t="s">
        <v>47</v>
      </c>
      <c r="AY2" s="13" t="s">
        <v>48</v>
      </c>
      <c r="AZ2" s="14">
        <v>45982</v>
      </c>
      <c r="BA2" s="14" t="s">
        <v>343</v>
      </c>
      <c r="BB2" s="15" t="s">
        <v>334</v>
      </c>
      <c r="BE2" s="11" t="s">
        <v>338</v>
      </c>
      <c r="BF2" s="11" t="s">
        <v>339</v>
      </c>
    </row>
    <row r="3" spans="1:58" ht="12.75" customHeight="1" x14ac:dyDescent="0.35">
      <c r="A3" s="25" t="s">
        <v>49</v>
      </c>
      <c r="B3" s="25" t="s">
        <v>50</v>
      </c>
      <c r="C3" s="25" t="s">
        <v>51</v>
      </c>
      <c r="D3" s="25" t="s">
        <v>55</v>
      </c>
      <c r="E3" s="25" t="s">
        <v>52</v>
      </c>
      <c r="F3" s="25" t="s">
        <v>53</v>
      </c>
      <c r="G3" s="25" t="s">
        <v>54</v>
      </c>
      <c r="H3" s="25" t="s">
        <v>1711</v>
      </c>
      <c r="I3" s="25" t="s">
        <v>56</v>
      </c>
      <c r="J3" s="25" t="s">
        <v>55</v>
      </c>
      <c r="K3" s="25" t="s">
        <v>572</v>
      </c>
      <c r="L3" s="25" t="s">
        <v>57</v>
      </c>
      <c r="M3" s="25" t="s">
        <v>58</v>
      </c>
      <c r="N3" s="25" t="s">
        <v>55</v>
      </c>
      <c r="O3" s="25" t="s">
        <v>55</v>
      </c>
      <c r="P3" s="25" t="s">
        <v>59</v>
      </c>
      <c r="Q3" s="25" t="s">
        <v>60</v>
      </c>
      <c r="R3" s="25" t="s">
        <v>55</v>
      </c>
      <c r="S3" s="25" t="s">
        <v>61</v>
      </c>
      <c r="T3" s="25" t="s">
        <v>62</v>
      </c>
      <c r="U3" s="25" t="s">
        <v>63</v>
      </c>
      <c r="V3" s="26">
        <v>45657</v>
      </c>
      <c r="W3" s="25" t="s">
        <v>55</v>
      </c>
      <c r="X3" s="25" t="s">
        <v>64</v>
      </c>
      <c r="Y3" s="25" t="s">
        <v>65</v>
      </c>
      <c r="Z3" s="25" t="s">
        <v>55</v>
      </c>
      <c r="AA3" s="25" t="s">
        <v>66</v>
      </c>
      <c r="AB3" s="25" t="s">
        <v>55</v>
      </c>
      <c r="AC3" s="25" t="s">
        <v>55</v>
      </c>
      <c r="AD3" s="25" t="s">
        <v>67</v>
      </c>
      <c r="AE3" s="25" t="s">
        <v>68</v>
      </c>
      <c r="AF3" s="25" t="s">
        <v>69</v>
      </c>
      <c r="AG3" s="25" t="s">
        <v>55</v>
      </c>
      <c r="AH3" s="25" t="s">
        <v>55</v>
      </c>
      <c r="AI3" s="25" t="s">
        <v>55</v>
      </c>
      <c r="AJ3" s="25" t="s">
        <v>55</v>
      </c>
      <c r="AK3" s="25" t="s">
        <v>55</v>
      </c>
      <c r="AL3" s="25" t="s">
        <v>55</v>
      </c>
      <c r="AM3" s="25" t="s">
        <v>55</v>
      </c>
      <c r="AN3" s="25" t="s">
        <v>55</v>
      </c>
      <c r="AO3" s="25" t="s">
        <v>55</v>
      </c>
      <c r="AP3" s="25" t="s">
        <v>55</v>
      </c>
      <c r="AQ3" s="25" t="s">
        <v>55</v>
      </c>
      <c r="AR3" s="25" t="s">
        <v>55</v>
      </c>
      <c r="AS3" s="25" t="s">
        <v>55</v>
      </c>
      <c r="AT3" s="25" t="s">
        <v>55</v>
      </c>
      <c r="AU3" s="25" t="s">
        <v>55</v>
      </c>
      <c r="AV3" s="25" t="s">
        <v>55</v>
      </c>
      <c r="AW3" s="25" t="s">
        <v>55</v>
      </c>
      <c r="AX3" s="25" t="s">
        <v>55</v>
      </c>
      <c r="AY3" s="25" t="s">
        <v>70</v>
      </c>
      <c r="AZ3" s="20">
        <f>$AZ$2-V3</f>
        <v>325</v>
      </c>
      <c r="BA3" s="17" t="str">
        <f>VLOOKUP(AZ3,$BE$2:$BF$7,2,TRUE)</f>
        <v>10-12 months</v>
      </c>
      <c r="BB3" s="21" t="s">
        <v>66</v>
      </c>
      <c r="BE3" s="7">
        <v>1</v>
      </c>
      <c r="BF3" s="7" t="s">
        <v>340</v>
      </c>
    </row>
    <row r="4" spans="1:58" ht="12.75" customHeight="1" x14ac:dyDescent="0.35">
      <c r="A4" s="25" t="s">
        <v>71</v>
      </c>
      <c r="B4" s="25" t="s">
        <v>50</v>
      </c>
      <c r="C4" s="25" t="s">
        <v>51</v>
      </c>
      <c r="D4" s="25" t="s">
        <v>55</v>
      </c>
      <c r="E4" s="25" t="s">
        <v>52</v>
      </c>
      <c r="F4" s="25" t="s">
        <v>72</v>
      </c>
      <c r="G4" s="25" t="s">
        <v>54</v>
      </c>
      <c r="H4" s="25" t="s">
        <v>1712</v>
      </c>
      <c r="I4" s="25" t="s">
        <v>56</v>
      </c>
      <c r="J4" s="25" t="s">
        <v>55</v>
      </c>
      <c r="K4" s="25" t="s">
        <v>572</v>
      </c>
      <c r="L4" s="25" t="s">
        <v>57</v>
      </c>
      <c r="M4" s="25" t="s">
        <v>58</v>
      </c>
      <c r="N4" s="25" t="s">
        <v>55</v>
      </c>
      <c r="O4" s="25" t="s">
        <v>55</v>
      </c>
      <c r="P4" s="25" t="s">
        <v>59</v>
      </c>
      <c r="Q4" s="25" t="s">
        <v>73</v>
      </c>
      <c r="R4" s="25" t="s">
        <v>55</v>
      </c>
      <c r="S4" s="25" t="s">
        <v>61</v>
      </c>
      <c r="T4" s="25" t="s">
        <v>74</v>
      </c>
      <c r="U4" s="25" t="s">
        <v>63</v>
      </c>
      <c r="V4" s="26">
        <v>45657</v>
      </c>
      <c r="W4" s="25" t="s">
        <v>55</v>
      </c>
      <c r="X4" s="25" t="s">
        <v>75</v>
      </c>
      <c r="Y4" s="25" t="s">
        <v>65</v>
      </c>
      <c r="Z4" s="25" t="s">
        <v>55</v>
      </c>
      <c r="AA4" s="25" t="s">
        <v>66</v>
      </c>
      <c r="AB4" s="25" t="s">
        <v>55</v>
      </c>
      <c r="AC4" s="25" t="s">
        <v>55</v>
      </c>
      <c r="AD4" s="25" t="s">
        <v>67</v>
      </c>
      <c r="AE4" s="25" t="s">
        <v>68</v>
      </c>
      <c r="AF4" s="25" t="s">
        <v>69</v>
      </c>
      <c r="AG4" s="25" t="s">
        <v>55</v>
      </c>
      <c r="AH4" s="25" t="s">
        <v>55</v>
      </c>
      <c r="AI4" s="25" t="s">
        <v>55</v>
      </c>
      <c r="AJ4" s="25" t="s">
        <v>55</v>
      </c>
      <c r="AK4" s="25" t="s">
        <v>55</v>
      </c>
      <c r="AL4" s="25" t="s">
        <v>55</v>
      </c>
      <c r="AM4" s="25" t="s">
        <v>55</v>
      </c>
      <c r="AN4" s="25" t="s">
        <v>55</v>
      </c>
      <c r="AO4" s="25" t="s">
        <v>55</v>
      </c>
      <c r="AP4" s="25" t="s">
        <v>55</v>
      </c>
      <c r="AQ4" s="25" t="s">
        <v>55</v>
      </c>
      <c r="AR4" s="25" t="s">
        <v>55</v>
      </c>
      <c r="AS4" s="25" t="s">
        <v>55</v>
      </c>
      <c r="AT4" s="25" t="s">
        <v>55</v>
      </c>
      <c r="AU4" s="25" t="s">
        <v>55</v>
      </c>
      <c r="AV4" s="25" t="s">
        <v>55</v>
      </c>
      <c r="AW4" s="25" t="s">
        <v>55</v>
      </c>
      <c r="AX4" s="25" t="s">
        <v>55</v>
      </c>
      <c r="AY4" s="25" t="s">
        <v>70</v>
      </c>
      <c r="AZ4" s="20">
        <f t="shared" ref="AZ4:AZ65" si="0">$AZ$2-V4</f>
        <v>325</v>
      </c>
      <c r="BA4" s="17" t="str">
        <f t="shared" ref="BA4:BA7" si="1">VLOOKUP(AZ4,$BE$2:$BF$7,2,TRUE)</f>
        <v>10-12 months</v>
      </c>
      <c r="BB4" s="21" t="s">
        <v>66</v>
      </c>
      <c r="BE4" s="7">
        <v>90</v>
      </c>
      <c r="BF4" s="7" t="s">
        <v>341</v>
      </c>
    </row>
    <row r="5" spans="1:58" ht="12.75" customHeight="1" x14ac:dyDescent="0.35">
      <c r="A5" s="25" t="s">
        <v>76</v>
      </c>
      <c r="B5" s="25" t="s">
        <v>50</v>
      </c>
      <c r="C5" s="25" t="s">
        <v>51</v>
      </c>
      <c r="D5" s="25" t="s">
        <v>55</v>
      </c>
      <c r="E5" s="25" t="s">
        <v>52</v>
      </c>
      <c r="F5" s="25" t="s">
        <v>77</v>
      </c>
      <c r="G5" s="25" t="s">
        <v>54</v>
      </c>
      <c r="H5" s="25" t="s">
        <v>1713</v>
      </c>
      <c r="I5" s="25" t="s">
        <v>56</v>
      </c>
      <c r="J5" s="25" t="s">
        <v>55</v>
      </c>
      <c r="K5" s="25" t="s">
        <v>572</v>
      </c>
      <c r="L5" s="25" t="s">
        <v>57</v>
      </c>
      <c r="M5" s="25" t="s">
        <v>58</v>
      </c>
      <c r="N5" s="25" t="s">
        <v>55</v>
      </c>
      <c r="O5" s="25" t="s">
        <v>55</v>
      </c>
      <c r="P5" s="25" t="s">
        <v>59</v>
      </c>
      <c r="Q5" s="25" t="s">
        <v>78</v>
      </c>
      <c r="R5" s="25" t="s">
        <v>55</v>
      </c>
      <c r="S5" s="25" t="s">
        <v>61</v>
      </c>
      <c r="T5" s="25" t="s">
        <v>79</v>
      </c>
      <c r="U5" s="25" t="s">
        <v>63</v>
      </c>
      <c r="V5" s="26">
        <v>45657</v>
      </c>
      <c r="W5" s="25" t="s">
        <v>55</v>
      </c>
      <c r="X5" s="25" t="s">
        <v>80</v>
      </c>
      <c r="Y5" s="25" t="s">
        <v>65</v>
      </c>
      <c r="Z5" s="25" t="s">
        <v>55</v>
      </c>
      <c r="AA5" s="25" t="s">
        <v>66</v>
      </c>
      <c r="AB5" s="25" t="s">
        <v>55</v>
      </c>
      <c r="AC5" s="25" t="s">
        <v>55</v>
      </c>
      <c r="AD5" s="25" t="s">
        <v>67</v>
      </c>
      <c r="AE5" s="25" t="s">
        <v>68</v>
      </c>
      <c r="AF5" s="25" t="s">
        <v>69</v>
      </c>
      <c r="AG5" s="25" t="s">
        <v>55</v>
      </c>
      <c r="AH5" s="25" t="s">
        <v>55</v>
      </c>
      <c r="AI5" s="25" t="s">
        <v>55</v>
      </c>
      <c r="AJ5" s="25" t="s">
        <v>55</v>
      </c>
      <c r="AK5" s="25" t="s">
        <v>55</v>
      </c>
      <c r="AL5" s="25" t="s">
        <v>55</v>
      </c>
      <c r="AM5" s="25" t="s">
        <v>55</v>
      </c>
      <c r="AN5" s="25" t="s">
        <v>55</v>
      </c>
      <c r="AO5" s="25" t="s">
        <v>55</v>
      </c>
      <c r="AP5" s="25" t="s">
        <v>55</v>
      </c>
      <c r="AQ5" s="25" t="s">
        <v>55</v>
      </c>
      <c r="AR5" s="25" t="s">
        <v>55</v>
      </c>
      <c r="AS5" s="25" t="s">
        <v>55</v>
      </c>
      <c r="AT5" s="25" t="s">
        <v>55</v>
      </c>
      <c r="AU5" s="25" t="s">
        <v>55</v>
      </c>
      <c r="AV5" s="25" t="s">
        <v>55</v>
      </c>
      <c r="AW5" s="25" t="s">
        <v>55</v>
      </c>
      <c r="AX5" s="25" t="s">
        <v>55</v>
      </c>
      <c r="AY5" s="25" t="s">
        <v>70</v>
      </c>
      <c r="AZ5" s="20">
        <f t="shared" si="0"/>
        <v>325</v>
      </c>
      <c r="BA5" s="17" t="str">
        <f t="shared" si="1"/>
        <v>10-12 months</v>
      </c>
      <c r="BB5" s="21" t="s">
        <v>66</v>
      </c>
      <c r="BE5" s="7">
        <v>180</v>
      </c>
      <c r="BF5" s="7" t="s">
        <v>358</v>
      </c>
    </row>
    <row r="6" spans="1:58" ht="12.75" customHeight="1" x14ac:dyDescent="0.35">
      <c r="A6" s="25" t="s">
        <v>81</v>
      </c>
      <c r="B6" s="25" t="s">
        <v>50</v>
      </c>
      <c r="C6" s="25" t="s">
        <v>82</v>
      </c>
      <c r="D6" s="25" t="s">
        <v>55</v>
      </c>
      <c r="E6" s="25" t="s">
        <v>52</v>
      </c>
      <c r="F6" s="25" t="s">
        <v>83</v>
      </c>
      <c r="G6" s="25" t="s">
        <v>84</v>
      </c>
      <c r="H6" s="25" t="s">
        <v>84</v>
      </c>
      <c r="I6" s="25" t="s">
        <v>85</v>
      </c>
      <c r="J6" s="25" t="s">
        <v>55</v>
      </c>
      <c r="K6" s="25" t="s">
        <v>585</v>
      </c>
      <c r="L6" s="25" t="s">
        <v>55</v>
      </c>
      <c r="M6" s="25" t="s">
        <v>87</v>
      </c>
      <c r="N6" s="25" t="s">
        <v>55</v>
      </c>
      <c r="O6" s="25" t="s">
        <v>88</v>
      </c>
      <c r="P6" s="25" t="s">
        <v>89</v>
      </c>
      <c r="Q6" s="25" t="s">
        <v>90</v>
      </c>
      <c r="R6" s="25" t="s">
        <v>55</v>
      </c>
      <c r="S6" s="25" t="s">
        <v>55</v>
      </c>
      <c r="T6" s="25" t="s">
        <v>91</v>
      </c>
      <c r="U6" s="25" t="s">
        <v>55</v>
      </c>
      <c r="V6" s="26">
        <v>45657</v>
      </c>
      <c r="W6" s="25" t="s">
        <v>55</v>
      </c>
      <c r="X6" s="25" t="s">
        <v>861</v>
      </c>
      <c r="Y6" s="25" t="s">
        <v>65</v>
      </c>
      <c r="Z6" s="25" t="s">
        <v>55</v>
      </c>
      <c r="AA6" s="25" t="s">
        <v>66</v>
      </c>
      <c r="AB6" s="25" t="s">
        <v>55</v>
      </c>
      <c r="AC6" s="25" t="s">
        <v>55</v>
      </c>
      <c r="AD6" s="25" t="s">
        <v>67</v>
      </c>
      <c r="AE6" s="25" t="s">
        <v>68</v>
      </c>
      <c r="AF6" s="25" t="s">
        <v>92</v>
      </c>
      <c r="AG6" s="25" t="s">
        <v>55</v>
      </c>
      <c r="AH6" s="25" t="s">
        <v>55</v>
      </c>
      <c r="AI6" s="25" t="s">
        <v>55</v>
      </c>
      <c r="AJ6" s="25" t="s">
        <v>55</v>
      </c>
      <c r="AK6" s="25" t="s">
        <v>55</v>
      </c>
      <c r="AL6" s="25" t="s">
        <v>55</v>
      </c>
      <c r="AM6" s="25" t="s">
        <v>55</v>
      </c>
      <c r="AN6" s="25" t="s">
        <v>55</v>
      </c>
      <c r="AO6" s="25" t="s">
        <v>55</v>
      </c>
      <c r="AP6" s="25" t="s">
        <v>55</v>
      </c>
      <c r="AQ6" s="25" t="s">
        <v>55</v>
      </c>
      <c r="AR6" s="25" t="s">
        <v>55</v>
      </c>
      <c r="AS6" s="25" t="s">
        <v>55</v>
      </c>
      <c r="AT6" s="25" t="s">
        <v>55</v>
      </c>
      <c r="AU6" s="25" t="s">
        <v>55</v>
      </c>
      <c r="AV6" s="25" t="s">
        <v>55</v>
      </c>
      <c r="AW6" s="25" t="s">
        <v>55</v>
      </c>
      <c r="AX6" s="26">
        <v>45365</v>
      </c>
      <c r="AY6" s="25" t="s">
        <v>93</v>
      </c>
      <c r="AZ6" s="20">
        <f t="shared" si="0"/>
        <v>325</v>
      </c>
      <c r="BA6" s="17" t="str">
        <f t="shared" si="1"/>
        <v>10-12 months</v>
      </c>
      <c r="BB6" s="21" t="s">
        <v>66</v>
      </c>
      <c r="BE6" s="7">
        <v>270</v>
      </c>
      <c r="BF6" s="7" t="s">
        <v>359</v>
      </c>
    </row>
    <row r="7" spans="1:58" ht="12.75" customHeight="1" x14ac:dyDescent="0.35">
      <c r="A7" s="25" t="s">
        <v>107</v>
      </c>
      <c r="B7" s="25" t="s">
        <v>50</v>
      </c>
      <c r="C7" s="25" t="s">
        <v>51</v>
      </c>
      <c r="D7" s="25" t="s">
        <v>55</v>
      </c>
      <c r="E7" s="25" t="s">
        <v>108</v>
      </c>
      <c r="F7" s="25" t="s">
        <v>102</v>
      </c>
      <c r="G7" s="25" t="s">
        <v>54</v>
      </c>
      <c r="H7" s="25" t="s">
        <v>1714</v>
      </c>
      <c r="I7" s="25" t="s">
        <v>109</v>
      </c>
      <c r="J7" s="25" t="s">
        <v>55</v>
      </c>
      <c r="K7" s="25" t="s">
        <v>586</v>
      </c>
      <c r="L7" s="25" t="s">
        <v>57</v>
      </c>
      <c r="M7" s="25" t="s">
        <v>55</v>
      </c>
      <c r="N7" s="25" t="s">
        <v>55</v>
      </c>
      <c r="O7" s="25" t="s">
        <v>105</v>
      </c>
      <c r="P7" s="25" t="s">
        <v>110</v>
      </c>
      <c r="Q7" s="25" t="s">
        <v>111</v>
      </c>
      <c r="R7" s="25" t="s">
        <v>55</v>
      </c>
      <c r="S7" s="25" t="s">
        <v>112</v>
      </c>
      <c r="T7" s="25" t="s">
        <v>113</v>
      </c>
      <c r="U7" s="25" t="s">
        <v>55</v>
      </c>
      <c r="V7" s="26">
        <v>45657</v>
      </c>
      <c r="W7" s="25" t="s">
        <v>55</v>
      </c>
      <c r="X7" s="25" t="s">
        <v>114</v>
      </c>
      <c r="Y7" s="25" t="s">
        <v>65</v>
      </c>
      <c r="Z7" s="25" t="s">
        <v>55</v>
      </c>
      <c r="AA7" s="25" t="s">
        <v>66</v>
      </c>
      <c r="AB7" s="25" t="s">
        <v>360</v>
      </c>
      <c r="AC7" s="25" t="s">
        <v>55</v>
      </c>
      <c r="AD7" s="25" t="s">
        <v>67</v>
      </c>
      <c r="AE7" s="25" t="s">
        <v>97</v>
      </c>
      <c r="AF7" s="25" t="s">
        <v>55</v>
      </c>
      <c r="AG7" s="25" t="s">
        <v>55</v>
      </c>
      <c r="AH7" s="25" t="s">
        <v>55</v>
      </c>
      <c r="AI7" s="25" t="s">
        <v>55</v>
      </c>
      <c r="AJ7" s="25" t="s">
        <v>55</v>
      </c>
      <c r="AK7" s="25" t="s">
        <v>55</v>
      </c>
      <c r="AL7" s="25" t="s">
        <v>55</v>
      </c>
      <c r="AM7" s="25" t="s">
        <v>55</v>
      </c>
      <c r="AN7" s="25" t="s">
        <v>55</v>
      </c>
      <c r="AO7" s="25" t="s">
        <v>55</v>
      </c>
      <c r="AP7" s="25" t="s">
        <v>55</v>
      </c>
      <c r="AQ7" s="25" t="s">
        <v>55</v>
      </c>
      <c r="AR7" s="25" t="s">
        <v>55</v>
      </c>
      <c r="AS7" s="25" t="s">
        <v>55</v>
      </c>
      <c r="AT7" s="25" t="s">
        <v>55</v>
      </c>
      <c r="AU7" s="25" t="s">
        <v>55</v>
      </c>
      <c r="AV7" s="25" t="s">
        <v>55</v>
      </c>
      <c r="AW7" s="26">
        <v>45226</v>
      </c>
      <c r="AX7" s="26">
        <v>45426</v>
      </c>
      <c r="AY7" s="25" t="s">
        <v>104</v>
      </c>
      <c r="AZ7" s="20">
        <f t="shared" si="0"/>
        <v>325</v>
      </c>
      <c r="BA7" s="17" t="str">
        <f t="shared" si="1"/>
        <v>10-12 months</v>
      </c>
      <c r="BB7" s="21" t="s">
        <v>66</v>
      </c>
      <c r="BE7" s="7">
        <v>365</v>
      </c>
      <c r="BF7" s="7" t="s">
        <v>342</v>
      </c>
    </row>
    <row r="8" spans="1:58" ht="12.75" customHeight="1" x14ac:dyDescent="0.35">
      <c r="A8" s="25" t="s">
        <v>124</v>
      </c>
      <c r="B8" s="25" t="s">
        <v>115</v>
      </c>
      <c r="C8" s="25" t="s">
        <v>116</v>
      </c>
      <c r="D8" s="25" t="s">
        <v>55</v>
      </c>
      <c r="E8" s="25" t="s">
        <v>52</v>
      </c>
      <c r="F8" s="25" t="s">
        <v>125</v>
      </c>
      <c r="G8" s="25" t="s">
        <v>126</v>
      </c>
      <c r="H8" s="25" t="s">
        <v>127</v>
      </c>
      <c r="I8" s="25" t="s">
        <v>117</v>
      </c>
      <c r="J8" s="25" t="s">
        <v>55</v>
      </c>
      <c r="K8" s="25" t="s">
        <v>576</v>
      </c>
      <c r="L8" s="25" t="s">
        <v>55</v>
      </c>
      <c r="M8" s="25" t="s">
        <v>128</v>
      </c>
      <c r="N8" s="25" t="s">
        <v>55</v>
      </c>
      <c r="O8" s="25" t="s">
        <v>129</v>
      </c>
      <c r="P8" s="25" t="s">
        <v>55</v>
      </c>
      <c r="Q8" s="25" t="s">
        <v>130</v>
      </c>
      <c r="R8" s="25" t="s">
        <v>55</v>
      </c>
      <c r="S8" s="25" t="s">
        <v>55</v>
      </c>
      <c r="T8" s="25" t="s">
        <v>131</v>
      </c>
      <c r="U8" s="25" t="s">
        <v>132</v>
      </c>
      <c r="V8" s="26">
        <v>46022</v>
      </c>
      <c r="W8" s="25" t="s">
        <v>133</v>
      </c>
      <c r="X8" s="25" t="s">
        <v>134</v>
      </c>
      <c r="Y8" s="25" t="s">
        <v>65</v>
      </c>
      <c r="Z8" s="25" t="s">
        <v>55</v>
      </c>
      <c r="AA8" s="25" t="s">
        <v>221</v>
      </c>
      <c r="AB8" s="25" t="s">
        <v>55</v>
      </c>
      <c r="AC8" s="25" t="s">
        <v>55</v>
      </c>
      <c r="AD8" s="25" t="s">
        <v>118</v>
      </c>
      <c r="AE8" s="25" t="s">
        <v>97</v>
      </c>
      <c r="AF8" s="25" t="s">
        <v>69</v>
      </c>
      <c r="AG8" s="25" t="s">
        <v>55</v>
      </c>
      <c r="AH8" s="25" t="s">
        <v>55</v>
      </c>
      <c r="AI8" s="25" t="s">
        <v>55</v>
      </c>
      <c r="AJ8" s="25" t="s">
        <v>55</v>
      </c>
      <c r="AK8" s="25" t="s">
        <v>55</v>
      </c>
      <c r="AL8" s="25" t="s">
        <v>55</v>
      </c>
      <c r="AM8" s="25" t="s">
        <v>55</v>
      </c>
      <c r="AN8" s="25" t="s">
        <v>55</v>
      </c>
      <c r="AO8" s="25" t="s">
        <v>55</v>
      </c>
      <c r="AP8" s="25" t="s">
        <v>55</v>
      </c>
      <c r="AQ8" s="25" t="s">
        <v>55</v>
      </c>
      <c r="AR8" s="25" t="s">
        <v>55</v>
      </c>
      <c r="AS8" s="25" t="s">
        <v>55</v>
      </c>
      <c r="AT8" s="25" t="s">
        <v>55</v>
      </c>
      <c r="AU8" s="25" t="s">
        <v>55</v>
      </c>
      <c r="AV8" s="25" t="s">
        <v>55</v>
      </c>
      <c r="AW8" s="25" t="s">
        <v>55</v>
      </c>
      <c r="AX8" s="26">
        <v>45558</v>
      </c>
      <c r="AY8" s="25" t="s">
        <v>135</v>
      </c>
      <c r="AZ8" s="20">
        <f t="shared" si="0"/>
        <v>-40</v>
      </c>
      <c r="BA8" s="17" t="e">
        <f t="shared" ref="BA8:BA65" si="2">VLOOKUP(AZ8,$BE$2:$BF$7,2,TRUE)</f>
        <v>#N/A</v>
      </c>
      <c r="BB8" s="21" t="s">
        <v>335</v>
      </c>
    </row>
    <row r="9" spans="1:58" ht="12.75" customHeight="1" x14ac:dyDescent="0.35">
      <c r="A9" s="25" t="s">
        <v>140</v>
      </c>
      <c r="B9" s="25" t="s">
        <v>115</v>
      </c>
      <c r="C9" s="25" t="s">
        <v>116</v>
      </c>
      <c r="D9" s="25" t="s">
        <v>55</v>
      </c>
      <c r="E9" s="25" t="s">
        <v>52</v>
      </c>
      <c r="F9" s="25" t="s">
        <v>141</v>
      </c>
      <c r="G9" s="25" t="s">
        <v>84</v>
      </c>
      <c r="H9" s="25" t="s">
        <v>84</v>
      </c>
      <c r="I9" s="25" t="s">
        <v>142</v>
      </c>
      <c r="J9" s="25" t="s">
        <v>55</v>
      </c>
      <c r="K9" s="25" t="s">
        <v>587</v>
      </c>
      <c r="L9" s="25" t="s">
        <v>55</v>
      </c>
      <c r="M9" s="25" t="s">
        <v>143</v>
      </c>
      <c r="N9" s="25" t="s">
        <v>55</v>
      </c>
      <c r="O9" s="25" t="s">
        <v>144</v>
      </c>
      <c r="P9" s="25" t="s">
        <v>55</v>
      </c>
      <c r="Q9" s="25" t="s">
        <v>145</v>
      </c>
      <c r="R9" s="25" t="s">
        <v>55</v>
      </c>
      <c r="S9" s="25" t="s">
        <v>55</v>
      </c>
      <c r="T9" s="25" t="s">
        <v>146</v>
      </c>
      <c r="U9" s="25" t="s">
        <v>63</v>
      </c>
      <c r="V9" s="26">
        <v>45646</v>
      </c>
      <c r="W9" s="25" t="s">
        <v>55</v>
      </c>
      <c r="X9" s="25" t="s">
        <v>147</v>
      </c>
      <c r="Y9" s="25" t="s">
        <v>65</v>
      </c>
      <c r="Z9" s="25" t="s">
        <v>55</v>
      </c>
      <c r="AA9" s="25" t="s">
        <v>66</v>
      </c>
      <c r="AB9" s="25" t="s">
        <v>55</v>
      </c>
      <c r="AC9" s="25" t="s">
        <v>55</v>
      </c>
      <c r="AD9" s="25" t="s">
        <v>118</v>
      </c>
      <c r="AE9" s="25" t="s">
        <v>97</v>
      </c>
      <c r="AF9" s="25" t="s">
        <v>100</v>
      </c>
      <c r="AG9" s="25" t="s">
        <v>55</v>
      </c>
      <c r="AH9" s="25" t="s">
        <v>55</v>
      </c>
      <c r="AI9" s="25" t="s">
        <v>55</v>
      </c>
      <c r="AJ9" s="25" t="s">
        <v>55</v>
      </c>
      <c r="AK9" s="25" t="s">
        <v>55</v>
      </c>
      <c r="AL9" s="25" t="s">
        <v>55</v>
      </c>
      <c r="AM9" s="25" t="s">
        <v>55</v>
      </c>
      <c r="AN9" s="25" t="s">
        <v>55</v>
      </c>
      <c r="AO9" s="25" t="s">
        <v>55</v>
      </c>
      <c r="AP9" s="25" t="s">
        <v>55</v>
      </c>
      <c r="AQ9" s="25" t="s">
        <v>55</v>
      </c>
      <c r="AR9" s="25" t="s">
        <v>55</v>
      </c>
      <c r="AS9" s="25" t="s">
        <v>55</v>
      </c>
      <c r="AT9" s="25" t="s">
        <v>55</v>
      </c>
      <c r="AU9" s="25" t="s">
        <v>55</v>
      </c>
      <c r="AV9" s="25" t="s">
        <v>55</v>
      </c>
      <c r="AW9" s="25" t="s">
        <v>55</v>
      </c>
      <c r="AX9" s="26">
        <v>45635</v>
      </c>
      <c r="AY9" s="25" t="s">
        <v>148</v>
      </c>
      <c r="AZ9" s="20">
        <f t="shared" si="0"/>
        <v>336</v>
      </c>
      <c r="BA9" s="17" t="str">
        <f t="shared" si="2"/>
        <v>10-12 months</v>
      </c>
      <c r="BB9" s="21" t="s">
        <v>66</v>
      </c>
    </row>
    <row r="10" spans="1:58" ht="12.75" customHeight="1" x14ac:dyDescent="0.35">
      <c r="A10" s="25" t="s">
        <v>163</v>
      </c>
      <c r="B10" s="25" t="s">
        <v>115</v>
      </c>
      <c r="C10" s="25" t="s">
        <v>588</v>
      </c>
      <c r="D10" s="25" t="s">
        <v>55</v>
      </c>
      <c r="E10" s="25" t="s">
        <v>52</v>
      </c>
      <c r="F10" s="25" t="s">
        <v>1715</v>
      </c>
      <c r="G10" s="25" t="s">
        <v>94</v>
      </c>
      <c r="H10" s="25" t="s">
        <v>162</v>
      </c>
      <c r="I10" s="25" t="s">
        <v>56</v>
      </c>
      <c r="J10" s="25" t="s">
        <v>153</v>
      </c>
      <c r="K10" s="25" t="s">
        <v>572</v>
      </c>
      <c r="L10" s="25" t="s">
        <v>57</v>
      </c>
      <c r="M10" s="25" t="s">
        <v>58</v>
      </c>
      <c r="N10" s="25" t="s">
        <v>55</v>
      </c>
      <c r="O10" s="25" t="s">
        <v>164</v>
      </c>
      <c r="P10" s="25" t="s">
        <v>165</v>
      </c>
      <c r="Q10" s="25" t="s">
        <v>166</v>
      </c>
      <c r="R10" s="25" t="s">
        <v>55</v>
      </c>
      <c r="S10" s="25" t="s">
        <v>167</v>
      </c>
      <c r="T10" s="25" t="s">
        <v>168</v>
      </c>
      <c r="U10" s="25" t="s">
        <v>55</v>
      </c>
      <c r="V10" s="26">
        <v>45991</v>
      </c>
      <c r="W10" s="25" t="s">
        <v>55</v>
      </c>
      <c r="X10" s="25" t="s">
        <v>169</v>
      </c>
      <c r="Y10" s="25" t="s">
        <v>65</v>
      </c>
      <c r="Z10" s="25" t="s">
        <v>55</v>
      </c>
      <c r="AA10" s="25" t="s">
        <v>152</v>
      </c>
      <c r="AB10" s="25" t="s">
        <v>55</v>
      </c>
      <c r="AC10" s="25" t="s">
        <v>55</v>
      </c>
      <c r="AD10" s="25" t="s">
        <v>67</v>
      </c>
      <c r="AE10" s="25" t="s">
        <v>97</v>
      </c>
      <c r="AF10" s="25" t="s">
        <v>69</v>
      </c>
      <c r="AG10" s="25" t="s">
        <v>55</v>
      </c>
      <c r="AH10" s="25" t="s">
        <v>55</v>
      </c>
      <c r="AI10" s="25" t="s">
        <v>55</v>
      </c>
      <c r="AJ10" s="25" t="s">
        <v>55</v>
      </c>
      <c r="AK10" s="25" t="s">
        <v>55</v>
      </c>
      <c r="AL10" s="25" t="s">
        <v>55</v>
      </c>
      <c r="AM10" s="25" t="s">
        <v>55</v>
      </c>
      <c r="AN10" s="25" t="s">
        <v>55</v>
      </c>
      <c r="AO10" s="25" t="s">
        <v>55</v>
      </c>
      <c r="AP10" s="25" t="s">
        <v>55</v>
      </c>
      <c r="AQ10" s="25" t="s">
        <v>55</v>
      </c>
      <c r="AR10" s="25" t="s">
        <v>55</v>
      </c>
      <c r="AS10" s="25" t="s">
        <v>55</v>
      </c>
      <c r="AT10" s="25" t="s">
        <v>55</v>
      </c>
      <c r="AU10" s="25" t="s">
        <v>55</v>
      </c>
      <c r="AV10" s="25" t="s">
        <v>55</v>
      </c>
      <c r="AW10" s="25" t="s">
        <v>55</v>
      </c>
      <c r="AX10" s="26">
        <v>45722</v>
      </c>
      <c r="AY10" s="25" t="s">
        <v>170</v>
      </c>
      <c r="AZ10" s="20">
        <f t="shared" si="0"/>
        <v>-9</v>
      </c>
      <c r="BA10" s="17" t="e">
        <f t="shared" si="2"/>
        <v>#N/A</v>
      </c>
      <c r="BB10" s="21" t="s">
        <v>335</v>
      </c>
    </row>
    <row r="11" spans="1:58" ht="12.75" customHeight="1" x14ac:dyDescent="0.35">
      <c r="A11" s="25" t="s">
        <v>172</v>
      </c>
      <c r="B11" s="25" t="s">
        <v>115</v>
      </c>
      <c r="C11" s="25" t="s">
        <v>51</v>
      </c>
      <c r="D11" s="25" t="s">
        <v>55</v>
      </c>
      <c r="E11" s="25" t="s">
        <v>108</v>
      </c>
      <c r="F11" s="25" t="s">
        <v>173</v>
      </c>
      <c r="G11" s="25" t="s">
        <v>94</v>
      </c>
      <c r="H11" s="25" t="s">
        <v>95</v>
      </c>
      <c r="I11" s="25" t="s">
        <v>121</v>
      </c>
      <c r="J11" s="25" t="s">
        <v>174</v>
      </c>
      <c r="K11" s="25" t="s">
        <v>558</v>
      </c>
      <c r="L11" s="25" t="s">
        <v>57</v>
      </c>
      <c r="M11" s="25" t="s">
        <v>55</v>
      </c>
      <c r="N11" s="25" t="s">
        <v>55</v>
      </c>
      <c r="O11" s="25" t="s">
        <v>175</v>
      </c>
      <c r="P11" s="25" t="s">
        <v>176</v>
      </c>
      <c r="Q11" s="25" t="s">
        <v>177</v>
      </c>
      <c r="R11" s="25" t="s">
        <v>63</v>
      </c>
      <c r="S11" s="25" t="s">
        <v>178</v>
      </c>
      <c r="T11" s="25" t="s">
        <v>179</v>
      </c>
      <c r="U11" s="25" t="s">
        <v>63</v>
      </c>
      <c r="V11" s="26">
        <v>46022</v>
      </c>
      <c r="W11" s="25" t="s">
        <v>55</v>
      </c>
      <c r="X11" s="25" t="s">
        <v>180</v>
      </c>
      <c r="Y11" s="25" t="s">
        <v>65</v>
      </c>
      <c r="Z11" s="25" t="s">
        <v>55</v>
      </c>
      <c r="AA11" s="25" t="s">
        <v>221</v>
      </c>
      <c r="AB11" s="25" t="s">
        <v>181</v>
      </c>
      <c r="AC11" s="25" t="s">
        <v>55</v>
      </c>
      <c r="AD11" s="25" t="s">
        <v>67</v>
      </c>
      <c r="AE11" s="25" t="s">
        <v>182</v>
      </c>
      <c r="AF11" s="25" t="s">
        <v>55</v>
      </c>
      <c r="AG11" s="25" t="s">
        <v>55</v>
      </c>
      <c r="AH11" s="25" t="s">
        <v>55</v>
      </c>
      <c r="AI11" s="25" t="s">
        <v>55</v>
      </c>
      <c r="AJ11" s="25" t="s">
        <v>55</v>
      </c>
      <c r="AK11" s="25" t="s">
        <v>55</v>
      </c>
      <c r="AL11" s="25" t="s">
        <v>55</v>
      </c>
      <c r="AM11" s="25" t="s">
        <v>55</v>
      </c>
      <c r="AN11" s="25" t="s">
        <v>55</v>
      </c>
      <c r="AO11" s="25" t="s">
        <v>55</v>
      </c>
      <c r="AP11" s="25" t="s">
        <v>55</v>
      </c>
      <c r="AQ11" s="25" t="s">
        <v>55</v>
      </c>
      <c r="AR11" s="25" t="s">
        <v>55</v>
      </c>
      <c r="AS11" s="25" t="s">
        <v>55</v>
      </c>
      <c r="AT11" s="25" t="s">
        <v>55</v>
      </c>
      <c r="AU11" s="25" t="s">
        <v>55</v>
      </c>
      <c r="AV11" s="25" t="s">
        <v>55</v>
      </c>
      <c r="AW11" s="26">
        <v>45544</v>
      </c>
      <c r="AX11" s="26">
        <v>45427</v>
      </c>
      <c r="AY11" s="25" t="s">
        <v>183</v>
      </c>
      <c r="AZ11" s="20">
        <f t="shared" si="0"/>
        <v>-40</v>
      </c>
      <c r="BA11" s="17" t="e">
        <f t="shared" si="2"/>
        <v>#N/A</v>
      </c>
      <c r="BB11" s="21" t="s">
        <v>335</v>
      </c>
    </row>
    <row r="12" spans="1:58" ht="12.75" customHeight="1" x14ac:dyDescent="0.35">
      <c r="A12" s="25" t="s">
        <v>184</v>
      </c>
      <c r="B12" s="25" t="s">
        <v>115</v>
      </c>
      <c r="C12" s="25" t="s">
        <v>51</v>
      </c>
      <c r="D12" s="25" t="s">
        <v>55</v>
      </c>
      <c r="E12" s="25" t="s">
        <v>52</v>
      </c>
      <c r="F12" s="25" t="s">
        <v>173</v>
      </c>
      <c r="G12" s="25" t="s">
        <v>94</v>
      </c>
      <c r="H12" s="25" t="s">
        <v>95</v>
      </c>
      <c r="I12" s="25" t="s">
        <v>119</v>
      </c>
      <c r="J12" s="25" t="s">
        <v>185</v>
      </c>
      <c r="K12" s="25" t="s">
        <v>544</v>
      </c>
      <c r="L12" s="25" t="s">
        <v>57</v>
      </c>
      <c r="M12" s="25" t="s">
        <v>122</v>
      </c>
      <c r="N12" s="25" t="s">
        <v>55</v>
      </c>
      <c r="O12" s="25" t="s">
        <v>175</v>
      </c>
      <c r="P12" s="25" t="s">
        <v>187</v>
      </c>
      <c r="Q12" s="25" t="s">
        <v>188</v>
      </c>
      <c r="R12" s="25" t="s">
        <v>63</v>
      </c>
      <c r="S12" s="25" t="s">
        <v>189</v>
      </c>
      <c r="T12" s="25" t="s">
        <v>190</v>
      </c>
      <c r="U12" s="25" t="s">
        <v>63</v>
      </c>
      <c r="V12" s="26">
        <v>46022</v>
      </c>
      <c r="W12" s="25" t="s">
        <v>55</v>
      </c>
      <c r="X12" s="25" t="s">
        <v>191</v>
      </c>
      <c r="Y12" s="25" t="s">
        <v>65</v>
      </c>
      <c r="Z12" s="25" t="s">
        <v>55</v>
      </c>
      <c r="AA12" s="25" t="s">
        <v>221</v>
      </c>
      <c r="AB12" s="25" t="s">
        <v>181</v>
      </c>
      <c r="AC12" s="25" t="s">
        <v>55</v>
      </c>
      <c r="AD12" s="25" t="s">
        <v>67</v>
      </c>
      <c r="AE12" s="25" t="s">
        <v>182</v>
      </c>
      <c r="AF12" s="25" t="s">
        <v>123</v>
      </c>
      <c r="AG12" s="25" t="s">
        <v>55</v>
      </c>
      <c r="AH12" s="25" t="s">
        <v>55</v>
      </c>
      <c r="AI12" s="25" t="s">
        <v>55</v>
      </c>
      <c r="AJ12" s="25" t="s">
        <v>55</v>
      </c>
      <c r="AK12" s="25" t="s">
        <v>55</v>
      </c>
      <c r="AL12" s="25" t="s">
        <v>55</v>
      </c>
      <c r="AM12" s="25" t="s">
        <v>55</v>
      </c>
      <c r="AN12" s="25" t="s">
        <v>55</v>
      </c>
      <c r="AO12" s="25" t="s">
        <v>55</v>
      </c>
      <c r="AP12" s="25" t="s">
        <v>55</v>
      </c>
      <c r="AQ12" s="25" t="s">
        <v>55</v>
      </c>
      <c r="AR12" s="25" t="s">
        <v>55</v>
      </c>
      <c r="AS12" s="25" t="s">
        <v>55</v>
      </c>
      <c r="AT12" s="25" t="s">
        <v>55</v>
      </c>
      <c r="AU12" s="25" t="s">
        <v>55</v>
      </c>
      <c r="AV12" s="25" t="s">
        <v>55</v>
      </c>
      <c r="AW12" s="26">
        <v>45544</v>
      </c>
      <c r="AX12" s="26">
        <v>45427</v>
      </c>
      <c r="AY12" s="25" t="s">
        <v>183</v>
      </c>
      <c r="AZ12" s="20">
        <f t="shared" si="0"/>
        <v>-40</v>
      </c>
      <c r="BA12" s="17" t="e">
        <f t="shared" si="2"/>
        <v>#N/A</v>
      </c>
      <c r="BB12" s="21" t="s">
        <v>335</v>
      </c>
    </row>
    <row r="13" spans="1:58" ht="12.75" customHeight="1" x14ac:dyDescent="0.35">
      <c r="A13" s="25" t="s">
        <v>192</v>
      </c>
      <c r="B13" s="25" t="s">
        <v>115</v>
      </c>
      <c r="C13" s="25" t="s">
        <v>51</v>
      </c>
      <c r="D13" s="25" t="s">
        <v>55</v>
      </c>
      <c r="E13" s="25" t="s">
        <v>108</v>
      </c>
      <c r="F13" s="25" t="s">
        <v>173</v>
      </c>
      <c r="G13" s="25" t="s">
        <v>94</v>
      </c>
      <c r="H13" s="25" t="s">
        <v>95</v>
      </c>
      <c r="I13" s="25" t="s">
        <v>109</v>
      </c>
      <c r="J13" s="25" t="s">
        <v>193</v>
      </c>
      <c r="K13" s="25" t="s">
        <v>586</v>
      </c>
      <c r="L13" s="25" t="s">
        <v>57</v>
      </c>
      <c r="M13" s="25" t="s">
        <v>55</v>
      </c>
      <c r="N13" s="25" t="s">
        <v>55</v>
      </c>
      <c r="O13" s="25" t="s">
        <v>175</v>
      </c>
      <c r="P13" s="25" t="s">
        <v>194</v>
      </c>
      <c r="Q13" s="25" t="s">
        <v>195</v>
      </c>
      <c r="R13" s="25" t="s">
        <v>63</v>
      </c>
      <c r="S13" s="25" t="s">
        <v>196</v>
      </c>
      <c r="T13" s="25" t="s">
        <v>197</v>
      </c>
      <c r="U13" s="25" t="s">
        <v>63</v>
      </c>
      <c r="V13" s="26">
        <v>46022</v>
      </c>
      <c r="W13" s="25" t="s">
        <v>55</v>
      </c>
      <c r="X13" s="25" t="s">
        <v>198</v>
      </c>
      <c r="Y13" s="25" t="s">
        <v>65</v>
      </c>
      <c r="Z13" s="25" t="s">
        <v>55</v>
      </c>
      <c r="AA13" s="25" t="s">
        <v>221</v>
      </c>
      <c r="AB13" s="25" t="s">
        <v>181</v>
      </c>
      <c r="AC13" s="25" t="s">
        <v>55</v>
      </c>
      <c r="AD13" s="25" t="s">
        <v>67</v>
      </c>
      <c r="AE13" s="25" t="s">
        <v>182</v>
      </c>
      <c r="AF13" s="25" t="s">
        <v>55</v>
      </c>
      <c r="AG13" s="25" t="s">
        <v>55</v>
      </c>
      <c r="AH13" s="25" t="s">
        <v>55</v>
      </c>
      <c r="AI13" s="25" t="s">
        <v>55</v>
      </c>
      <c r="AJ13" s="25" t="s">
        <v>55</v>
      </c>
      <c r="AK13" s="25" t="s">
        <v>55</v>
      </c>
      <c r="AL13" s="25" t="s">
        <v>55</v>
      </c>
      <c r="AM13" s="25" t="s">
        <v>55</v>
      </c>
      <c r="AN13" s="25" t="s">
        <v>55</v>
      </c>
      <c r="AO13" s="25" t="s">
        <v>55</v>
      </c>
      <c r="AP13" s="25" t="s">
        <v>55</v>
      </c>
      <c r="AQ13" s="25" t="s">
        <v>55</v>
      </c>
      <c r="AR13" s="25" t="s">
        <v>55</v>
      </c>
      <c r="AS13" s="25" t="s">
        <v>55</v>
      </c>
      <c r="AT13" s="25" t="s">
        <v>55</v>
      </c>
      <c r="AU13" s="25" t="s">
        <v>55</v>
      </c>
      <c r="AV13" s="25" t="s">
        <v>55</v>
      </c>
      <c r="AW13" s="26">
        <v>45544</v>
      </c>
      <c r="AX13" s="26">
        <v>45427</v>
      </c>
      <c r="AY13" s="25" t="s">
        <v>183</v>
      </c>
      <c r="AZ13" s="20">
        <f t="shared" si="0"/>
        <v>-40</v>
      </c>
      <c r="BA13" s="17" t="e">
        <f t="shared" si="2"/>
        <v>#N/A</v>
      </c>
      <c r="BB13" s="21" t="s">
        <v>335</v>
      </c>
    </row>
    <row r="14" spans="1:58" ht="12.75" customHeight="1" x14ac:dyDescent="0.35">
      <c r="A14" s="25" t="s">
        <v>199</v>
      </c>
      <c r="B14" s="25" t="s">
        <v>115</v>
      </c>
      <c r="C14" s="25" t="s">
        <v>51</v>
      </c>
      <c r="D14" s="25" t="s">
        <v>55</v>
      </c>
      <c r="E14" s="25" t="s">
        <v>108</v>
      </c>
      <c r="F14" s="25" t="s">
        <v>173</v>
      </c>
      <c r="G14" s="25" t="s">
        <v>94</v>
      </c>
      <c r="H14" s="25" t="s">
        <v>95</v>
      </c>
      <c r="I14" s="25" t="s">
        <v>142</v>
      </c>
      <c r="J14" s="25" t="s">
        <v>200</v>
      </c>
      <c r="K14" s="25" t="s">
        <v>585</v>
      </c>
      <c r="L14" s="25" t="s">
        <v>57</v>
      </c>
      <c r="M14" s="25" t="s">
        <v>55</v>
      </c>
      <c r="N14" s="25" t="s">
        <v>55</v>
      </c>
      <c r="O14" s="25" t="s">
        <v>175</v>
      </c>
      <c r="P14" s="25" t="s">
        <v>201</v>
      </c>
      <c r="Q14" s="25" t="s">
        <v>202</v>
      </c>
      <c r="R14" s="25" t="s">
        <v>63</v>
      </c>
      <c r="S14" s="25" t="s">
        <v>203</v>
      </c>
      <c r="T14" s="25" t="s">
        <v>204</v>
      </c>
      <c r="U14" s="25" t="s">
        <v>63</v>
      </c>
      <c r="V14" s="26">
        <v>46022</v>
      </c>
      <c r="W14" s="25" t="s">
        <v>55</v>
      </c>
      <c r="X14" s="25" t="s">
        <v>205</v>
      </c>
      <c r="Y14" s="25" t="s">
        <v>65</v>
      </c>
      <c r="Z14" s="25" t="s">
        <v>55</v>
      </c>
      <c r="AA14" s="25" t="s">
        <v>221</v>
      </c>
      <c r="AB14" s="25" t="s">
        <v>181</v>
      </c>
      <c r="AC14" s="25" t="s">
        <v>55</v>
      </c>
      <c r="AD14" s="25" t="s">
        <v>67</v>
      </c>
      <c r="AE14" s="25" t="s">
        <v>182</v>
      </c>
      <c r="AF14" s="25" t="s">
        <v>55</v>
      </c>
      <c r="AG14" s="25" t="s">
        <v>55</v>
      </c>
      <c r="AH14" s="25" t="s">
        <v>55</v>
      </c>
      <c r="AI14" s="25" t="s">
        <v>55</v>
      </c>
      <c r="AJ14" s="25" t="s">
        <v>55</v>
      </c>
      <c r="AK14" s="25" t="s">
        <v>55</v>
      </c>
      <c r="AL14" s="25" t="s">
        <v>55</v>
      </c>
      <c r="AM14" s="25" t="s">
        <v>55</v>
      </c>
      <c r="AN14" s="25" t="s">
        <v>55</v>
      </c>
      <c r="AO14" s="25" t="s">
        <v>55</v>
      </c>
      <c r="AP14" s="25" t="s">
        <v>55</v>
      </c>
      <c r="AQ14" s="25" t="s">
        <v>55</v>
      </c>
      <c r="AR14" s="25" t="s">
        <v>55</v>
      </c>
      <c r="AS14" s="25" t="s">
        <v>55</v>
      </c>
      <c r="AT14" s="25" t="s">
        <v>55</v>
      </c>
      <c r="AU14" s="25" t="s">
        <v>55</v>
      </c>
      <c r="AV14" s="25" t="s">
        <v>55</v>
      </c>
      <c r="AW14" s="26">
        <v>45544</v>
      </c>
      <c r="AX14" s="26">
        <v>45427</v>
      </c>
      <c r="AY14" s="25" t="s">
        <v>183</v>
      </c>
      <c r="AZ14" s="20">
        <f t="shared" si="0"/>
        <v>-40</v>
      </c>
      <c r="BA14" s="17" t="e">
        <f t="shared" si="2"/>
        <v>#N/A</v>
      </c>
      <c r="BB14" s="21" t="s">
        <v>335</v>
      </c>
    </row>
    <row r="15" spans="1:58" ht="12.75" customHeight="1" x14ac:dyDescent="0.35">
      <c r="A15" s="25" t="s">
        <v>210</v>
      </c>
      <c r="B15" s="25" t="s">
        <v>115</v>
      </c>
      <c r="C15" s="25" t="s">
        <v>51</v>
      </c>
      <c r="D15" s="25" t="s">
        <v>55</v>
      </c>
      <c r="E15" s="25" t="s">
        <v>52</v>
      </c>
      <c r="F15" s="25" t="s">
        <v>207</v>
      </c>
      <c r="G15" s="25" t="s">
        <v>54</v>
      </c>
      <c r="H15" s="25" t="s">
        <v>1716</v>
      </c>
      <c r="I15" s="25" t="s">
        <v>119</v>
      </c>
      <c r="J15" s="25" t="s">
        <v>106</v>
      </c>
      <c r="K15" s="25" t="s">
        <v>552</v>
      </c>
      <c r="L15" s="25" t="s">
        <v>57</v>
      </c>
      <c r="M15" s="25" t="s">
        <v>206</v>
      </c>
      <c r="N15" s="25" t="s">
        <v>55</v>
      </c>
      <c r="O15" s="25" t="s">
        <v>208</v>
      </c>
      <c r="P15" s="25" t="s">
        <v>211</v>
      </c>
      <c r="Q15" s="25" t="s">
        <v>212</v>
      </c>
      <c r="R15" s="25" t="s">
        <v>63</v>
      </c>
      <c r="S15" s="25" t="s">
        <v>213</v>
      </c>
      <c r="T15" s="25" t="s">
        <v>214</v>
      </c>
      <c r="U15" s="25" t="s">
        <v>63</v>
      </c>
      <c r="V15" s="26">
        <v>45930</v>
      </c>
      <c r="W15" s="25" t="s">
        <v>55</v>
      </c>
      <c r="X15" s="25" t="s">
        <v>209</v>
      </c>
      <c r="Y15" s="25" t="s">
        <v>65</v>
      </c>
      <c r="Z15" s="25" t="s">
        <v>55</v>
      </c>
      <c r="AA15" s="25" t="s">
        <v>66</v>
      </c>
      <c r="AB15" s="25" t="s">
        <v>181</v>
      </c>
      <c r="AC15" s="25" t="s">
        <v>55</v>
      </c>
      <c r="AD15" s="25" t="s">
        <v>67</v>
      </c>
      <c r="AE15" s="25" t="s">
        <v>182</v>
      </c>
      <c r="AF15" s="25" t="s">
        <v>92</v>
      </c>
      <c r="AG15" s="25" t="s">
        <v>55</v>
      </c>
      <c r="AH15" s="25" t="s">
        <v>55</v>
      </c>
      <c r="AI15" s="25" t="s">
        <v>55</v>
      </c>
      <c r="AJ15" s="25" t="s">
        <v>55</v>
      </c>
      <c r="AK15" s="25" t="s">
        <v>55</v>
      </c>
      <c r="AL15" s="25" t="s">
        <v>55</v>
      </c>
      <c r="AM15" s="25" t="s">
        <v>55</v>
      </c>
      <c r="AN15" s="25" t="s">
        <v>55</v>
      </c>
      <c r="AO15" s="25" t="s">
        <v>55</v>
      </c>
      <c r="AP15" s="25" t="s">
        <v>55</v>
      </c>
      <c r="AQ15" s="25" t="s">
        <v>55</v>
      </c>
      <c r="AR15" s="25" t="s">
        <v>55</v>
      </c>
      <c r="AS15" s="25" t="s">
        <v>55</v>
      </c>
      <c r="AT15" s="25" t="s">
        <v>55</v>
      </c>
      <c r="AU15" s="25" t="s">
        <v>55</v>
      </c>
      <c r="AV15" s="25" t="s">
        <v>55</v>
      </c>
      <c r="AW15" s="26">
        <v>45516</v>
      </c>
      <c r="AX15" s="26">
        <v>45427</v>
      </c>
      <c r="AY15" s="25" t="s">
        <v>183</v>
      </c>
      <c r="AZ15" s="20">
        <f t="shared" si="0"/>
        <v>52</v>
      </c>
      <c r="BA15" s="17" t="str">
        <f t="shared" si="2"/>
        <v>&lt; 3 months</v>
      </c>
      <c r="BB15" s="21" t="s">
        <v>66</v>
      </c>
    </row>
    <row r="16" spans="1:58" ht="12.75" customHeight="1" x14ac:dyDescent="0.35">
      <c r="A16" s="25" t="s">
        <v>215</v>
      </c>
      <c r="B16" s="25" t="s">
        <v>115</v>
      </c>
      <c r="C16" s="25" t="s">
        <v>51</v>
      </c>
      <c r="D16" s="25" t="s">
        <v>55</v>
      </c>
      <c r="E16" s="25" t="s">
        <v>108</v>
      </c>
      <c r="F16" s="25" t="s">
        <v>207</v>
      </c>
      <c r="G16" s="25" t="s">
        <v>54</v>
      </c>
      <c r="H16" s="25" t="s">
        <v>1716</v>
      </c>
      <c r="I16" s="25" t="s">
        <v>109</v>
      </c>
      <c r="J16" s="25" t="s">
        <v>109</v>
      </c>
      <c r="K16" s="25" t="s">
        <v>586</v>
      </c>
      <c r="L16" s="25" t="s">
        <v>57</v>
      </c>
      <c r="M16" s="25" t="s">
        <v>55</v>
      </c>
      <c r="N16" s="25" t="s">
        <v>55</v>
      </c>
      <c r="O16" s="25" t="s">
        <v>208</v>
      </c>
      <c r="P16" s="25" t="s">
        <v>216</v>
      </c>
      <c r="Q16" s="25" t="s">
        <v>217</v>
      </c>
      <c r="R16" s="25" t="s">
        <v>63</v>
      </c>
      <c r="S16" s="25" t="s">
        <v>218</v>
      </c>
      <c r="T16" s="25" t="s">
        <v>219</v>
      </c>
      <c r="U16" s="25" t="s">
        <v>132</v>
      </c>
      <c r="V16" s="26">
        <v>46022</v>
      </c>
      <c r="W16" s="25" t="s">
        <v>55</v>
      </c>
      <c r="X16" s="25" t="s">
        <v>209</v>
      </c>
      <c r="Y16" s="25" t="s">
        <v>65</v>
      </c>
      <c r="Z16" s="25" t="s">
        <v>55</v>
      </c>
      <c r="AA16" s="25" t="s">
        <v>221</v>
      </c>
      <c r="AB16" s="25" t="s">
        <v>181</v>
      </c>
      <c r="AC16" s="25" t="s">
        <v>55</v>
      </c>
      <c r="AD16" s="25" t="s">
        <v>67</v>
      </c>
      <c r="AE16" s="25" t="s">
        <v>182</v>
      </c>
      <c r="AF16" s="25" t="s">
        <v>55</v>
      </c>
      <c r="AG16" s="25" t="s">
        <v>55</v>
      </c>
      <c r="AH16" s="25" t="s">
        <v>55</v>
      </c>
      <c r="AI16" s="25" t="s">
        <v>55</v>
      </c>
      <c r="AJ16" s="25" t="s">
        <v>55</v>
      </c>
      <c r="AK16" s="25" t="s">
        <v>55</v>
      </c>
      <c r="AL16" s="25" t="s">
        <v>55</v>
      </c>
      <c r="AM16" s="25" t="s">
        <v>55</v>
      </c>
      <c r="AN16" s="25" t="s">
        <v>55</v>
      </c>
      <c r="AO16" s="25" t="s">
        <v>55</v>
      </c>
      <c r="AP16" s="25" t="s">
        <v>55</v>
      </c>
      <c r="AQ16" s="25" t="s">
        <v>55</v>
      </c>
      <c r="AR16" s="25" t="s">
        <v>55</v>
      </c>
      <c r="AS16" s="25" t="s">
        <v>55</v>
      </c>
      <c r="AT16" s="25" t="s">
        <v>55</v>
      </c>
      <c r="AU16" s="25" t="s">
        <v>55</v>
      </c>
      <c r="AV16" s="25" t="s">
        <v>55</v>
      </c>
      <c r="AW16" s="26">
        <v>45516</v>
      </c>
      <c r="AX16" s="26">
        <v>45427</v>
      </c>
      <c r="AY16" s="25" t="s">
        <v>183</v>
      </c>
      <c r="AZ16" s="20">
        <f t="shared" si="0"/>
        <v>-40</v>
      </c>
      <c r="BA16" s="17" t="e">
        <f t="shared" si="2"/>
        <v>#N/A</v>
      </c>
      <c r="BB16" s="21" t="s">
        <v>335</v>
      </c>
    </row>
    <row r="17" spans="1:54" ht="12.75" customHeight="1" x14ac:dyDescent="0.35">
      <c r="A17" s="25" t="s">
        <v>227</v>
      </c>
      <c r="B17" s="25" t="s">
        <v>115</v>
      </c>
      <c r="C17" s="25" t="s">
        <v>51</v>
      </c>
      <c r="D17" s="25" t="s">
        <v>55</v>
      </c>
      <c r="E17" s="25" t="s">
        <v>108</v>
      </c>
      <c r="F17" s="25" t="s">
        <v>222</v>
      </c>
      <c r="G17" s="25" t="s">
        <v>126</v>
      </c>
      <c r="H17" s="25" t="s">
        <v>157</v>
      </c>
      <c r="I17" s="25" t="s">
        <v>363</v>
      </c>
      <c r="J17" s="25" t="s">
        <v>228</v>
      </c>
      <c r="K17" s="25" t="s">
        <v>590</v>
      </c>
      <c r="L17" s="25" t="s">
        <v>57</v>
      </c>
      <c r="M17" s="25" t="s">
        <v>55</v>
      </c>
      <c r="N17" s="25" t="s">
        <v>55</v>
      </c>
      <c r="O17" s="25" t="s">
        <v>225</v>
      </c>
      <c r="P17" s="25" t="s">
        <v>229</v>
      </c>
      <c r="Q17" s="25" t="s">
        <v>230</v>
      </c>
      <c r="R17" s="25" t="s">
        <v>63</v>
      </c>
      <c r="S17" s="25" t="s">
        <v>231</v>
      </c>
      <c r="T17" s="25" t="s">
        <v>232</v>
      </c>
      <c r="U17" s="25" t="s">
        <v>63</v>
      </c>
      <c r="V17" s="26">
        <v>46022</v>
      </c>
      <c r="W17" s="25" t="s">
        <v>55</v>
      </c>
      <c r="X17" s="25" t="s">
        <v>233</v>
      </c>
      <c r="Y17" s="25" t="s">
        <v>65</v>
      </c>
      <c r="Z17" s="25" t="s">
        <v>55</v>
      </c>
      <c r="AA17" s="25" t="s">
        <v>221</v>
      </c>
      <c r="AB17" s="25" t="s">
        <v>181</v>
      </c>
      <c r="AC17" s="25" t="s">
        <v>55</v>
      </c>
      <c r="AD17" s="25" t="s">
        <v>67</v>
      </c>
      <c r="AE17" s="25" t="s">
        <v>171</v>
      </c>
      <c r="AF17" s="25" t="s">
        <v>55</v>
      </c>
      <c r="AG17" s="25" t="s">
        <v>55</v>
      </c>
      <c r="AH17" s="25" t="s">
        <v>55</v>
      </c>
      <c r="AI17" s="25" t="s">
        <v>55</v>
      </c>
      <c r="AJ17" s="25" t="s">
        <v>55</v>
      </c>
      <c r="AK17" s="25" t="s">
        <v>55</v>
      </c>
      <c r="AL17" s="25" t="s">
        <v>55</v>
      </c>
      <c r="AM17" s="25" t="s">
        <v>55</v>
      </c>
      <c r="AN17" s="25" t="s">
        <v>55</v>
      </c>
      <c r="AO17" s="25" t="s">
        <v>55</v>
      </c>
      <c r="AP17" s="25" t="s">
        <v>55</v>
      </c>
      <c r="AQ17" s="25" t="s">
        <v>55</v>
      </c>
      <c r="AR17" s="25" t="s">
        <v>55</v>
      </c>
      <c r="AS17" s="25" t="s">
        <v>55</v>
      </c>
      <c r="AT17" s="25" t="s">
        <v>55</v>
      </c>
      <c r="AU17" s="25" t="s">
        <v>55</v>
      </c>
      <c r="AV17" s="25" t="s">
        <v>55</v>
      </c>
      <c r="AW17" s="26">
        <v>45425</v>
      </c>
      <c r="AX17" s="26">
        <v>45798</v>
      </c>
      <c r="AY17" s="25" t="s">
        <v>183</v>
      </c>
      <c r="AZ17" s="20">
        <f t="shared" si="0"/>
        <v>-40</v>
      </c>
      <c r="BA17" s="17" t="e">
        <f t="shared" si="2"/>
        <v>#N/A</v>
      </c>
      <c r="BB17" s="21" t="s">
        <v>335</v>
      </c>
    </row>
    <row r="18" spans="1:54" ht="12.75" customHeight="1" x14ac:dyDescent="0.35">
      <c r="A18" s="25" t="s">
        <v>234</v>
      </c>
      <c r="B18" s="25" t="s">
        <v>115</v>
      </c>
      <c r="C18" s="25" t="s">
        <v>51</v>
      </c>
      <c r="D18" s="25" t="s">
        <v>55</v>
      </c>
      <c r="E18" s="25" t="s">
        <v>108</v>
      </c>
      <c r="F18" s="25" t="s">
        <v>235</v>
      </c>
      <c r="G18" s="25" t="s">
        <v>126</v>
      </c>
      <c r="H18" s="25" t="s">
        <v>157</v>
      </c>
      <c r="I18" s="25" t="s">
        <v>109</v>
      </c>
      <c r="J18" s="25" t="s">
        <v>181</v>
      </c>
      <c r="K18" s="25" t="s">
        <v>586</v>
      </c>
      <c r="L18" s="25" t="s">
        <v>103</v>
      </c>
      <c r="M18" s="25" t="s">
        <v>55</v>
      </c>
      <c r="N18" s="25" t="s">
        <v>55</v>
      </c>
      <c r="O18" s="25" t="s">
        <v>236</v>
      </c>
      <c r="P18" s="25" t="s">
        <v>237</v>
      </c>
      <c r="Q18" s="25" t="s">
        <v>238</v>
      </c>
      <c r="R18" s="25" t="s">
        <v>63</v>
      </c>
      <c r="S18" s="25" t="s">
        <v>239</v>
      </c>
      <c r="T18" s="25" t="s">
        <v>240</v>
      </c>
      <c r="U18" s="25" t="s">
        <v>63</v>
      </c>
      <c r="V18" s="26">
        <v>46022</v>
      </c>
      <c r="W18" s="25" t="s">
        <v>55</v>
      </c>
      <c r="X18" s="25" t="s">
        <v>241</v>
      </c>
      <c r="Y18" s="25" t="s">
        <v>65</v>
      </c>
      <c r="Z18" s="25" t="s">
        <v>55</v>
      </c>
      <c r="AA18" s="25" t="s">
        <v>221</v>
      </c>
      <c r="AB18" s="25" t="s">
        <v>181</v>
      </c>
      <c r="AC18" s="25" t="s">
        <v>55</v>
      </c>
      <c r="AD18" s="25" t="s">
        <v>67</v>
      </c>
      <c r="AE18" s="25" t="s">
        <v>171</v>
      </c>
      <c r="AF18" s="25" t="s">
        <v>55</v>
      </c>
      <c r="AG18" s="25" t="s">
        <v>55</v>
      </c>
      <c r="AH18" s="25" t="s">
        <v>55</v>
      </c>
      <c r="AI18" s="25" t="s">
        <v>55</v>
      </c>
      <c r="AJ18" s="25" t="s">
        <v>55</v>
      </c>
      <c r="AK18" s="25" t="s">
        <v>55</v>
      </c>
      <c r="AL18" s="25" t="s">
        <v>55</v>
      </c>
      <c r="AM18" s="25" t="s">
        <v>55</v>
      </c>
      <c r="AN18" s="25" t="s">
        <v>55</v>
      </c>
      <c r="AO18" s="25" t="s">
        <v>55</v>
      </c>
      <c r="AP18" s="25" t="s">
        <v>55</v>
      </c>
      <c r="AQ18" s="25" t="s">
        <v>55</v>
      </c>
      <c r="AR18" s="25" t="s">
        <v>55</v>
      </c>
      <c r="AS18" s="25" t="s">
        <v>55</v>
      </c>
      <c r="AT18" s="25" t="s">
        <v>55</v>
      </c>
      <c r="AU18" s="25" t="s">
        <v>55</v>
      </c>
      <c r="AV18" s="25" t="s">
        <v>55</v>
      </c>
      <c r="AW18" s="26">
        <v>45571</v>
      </c>
      <c r="AX18" s="26">
        <v>45798</v>
      </c>
      <c r="AY18" s="25" t="s">
        <v>183</v>
      </c>
      <c r="AZ18" s="20">
        <f t="shared" si="0"/>
        <v>-40</v>
      </c>
      <c r="BA18" s="17" t="e">
        <f t="shared" si="2"/>
        <v>#N/A</v>
      </c>
      <c r="BB18" s="21" t="s">
        <v>335</v>
      </c>
    </row>
    <row r="19" spans="1:54" ht="12.75" customHeight="1" x14ac:dyDescent="0.35">
      <c r="A19" s="25" t="s">
        <v>244</v>
      </c>
      <c r="B19" s="25" t="s">
        <v>115</v>
      </c>
      <c r="C19" s="25" t="s">
        <v>51</v>
      </c>
      <c r="D19" s="25" t="s">
        <v>55</v>
      </c>
      <c r="E19" s="25" t="s">
        <v>108</v>
      </c>
      <c r="F19" s="25" t="s">
        <v>245</v>
      </c>
      <c r="G19" s="25" t="s">
        <v>126</v>
      </c>
      <c r="H19" s="25" t="s">
        <v>157</v>
      </c>
      <c r="I19" s="25" t="s">
        <v>109</v>
      </c>
      <c r="J19" s="25" t="s">
        <v>181</v>
      </c>
      <c r="K19" s="25" t="s">
        <v>586</v>
      </c>
      <c r="L19" s="25" t="s">
        <v>103</v>
      </c>
      <c r="M19" s="25" t="s">
        <v>55</v>
      </c>
      <c r="N19" s="25" t="s">
        <v>55</v>
      </c>
      <c r="O19" s="25" t="s">
        <v>246</v>
      </c>
      <c r="P19" s="25" t="s">
        <v>247</v>
      </c>
      <c r="Q19" s="25" t="s">
        <v>248</v>
      </c>
      <c r="R19" s="25" t="s">
        <v>63</v>
      </c>
      <c r="S19" s="25" t="s">
        <v>249</v>
      </c>
      <c r="T19" s="25" t="s">
        <v>250</v>
      </c>
      <c r="U19" s="25" t="s">
        <v>63</v>
      </c>
      <c r="V19" s="26">
        <v>46022</v>
      </c>
      <c r="W19" s="25" t="s">
        <v>55</v>
      </c>
      <c r="X19" s="25" t="s">
        <v>251</v>
      </c>
      <c r="Y19" s="25" t="s">
        <v>65</v>
      </c>
      <c r="Z19" s="25" t="s">
        <v>55</v>
      </c>
      <c r="AA19" s="25" t="s">
        <v>221</v>
      </c>
      <c r="AB19" s="25" t="s">
        <v>367</v>
      </c>
      <c r="AC19" s="25" t="s">
        <v>55</v>
      </c>
      <c r="AD19" s="25" t="s">
        <v>67</v>
      </c>
      <c r="AE19" s="25" t="s">
        <v>171</v>
      </c>
      <c r="AF19" s="25" t="s">
        <v>55</v>
      </c>
      <c r="AG19" s="25" t="s">
        <v>55</v>
      </c>
      <c r="AH19" s="25" t="s">
        <v>55</v>
      </c>
      <c r="AI19" s="25" t="s">
        <v>55</v>
      </c>
      <c r="AJ19" s="25" t="s">
        <v>55</v>
      </c>
      <c r="AK19" s="25" t="s">
        <v>55</v>
      </c>
      <c r="AL19" s="25" t="s">
        <v>55</v>
      </c>
      <c r="AM19" s="25" t="s">
        <v>55</v>
      </c>
      <c r="AN19" s="25" t="s">
        <v>55</v>
      </c>
      <c r="AO19" s="25" t="s">
        <v>55</v>
      </c>
      <c r="AP19" s="25" t="s">
        <v>55</v>
      </c>
      <c r="AQ19" s="25" t="s">
        <v>55</v>
      </c>
      <c r="AR19" s="25" t="s">
        <v>55</v>
      </c>
      <c r="AS19" s="25" t="s">
        <v>55</v>
      </c>
      <c r="AT19" s="25" t="s">
        <v>55</v>
      </c>
      <c r="AU19" s="25" t="s">
        <v>55</v>
      </c>
      <c r="AV19" s="25" t="s">
        <v>55</v>
      </c>
      <c r="AW19" s="26">
        <v>45544</v>
      </c>
      <c r="AX19" s="26">
        <v>45798</v>
      </c>
      <c r="AY19" s="25" t="s">
        <v>183</v>
      </c>
      <c r="AZ19" s="20">
        <f t="shared" si="0"/>
        <v>-40</v>
      </c>
      <c r="BA19" s="17" t="e">
        <f t="shared" si="2"/>
        <v>#N/A</v>
      </c>
      <c r="BB19" s="21" t="s">
        <v>335</v>
      </c>
    </row>
    <row r="20" spans="1:54" ht="12.75" customHeight="1" x14ac:dyDescent="0.35">
      <c r="A20" s="25" t="s">
        <v>259</v>
      </c>
      <c r="B20" s="25" t="s">
        <v>115</v>
      </c>
      <c r="C20" s="25" t="s">
        <v>51</v>
      </c>
      <c r="D20" s="25" t="s">
        <v>55</v>
      </c>
      <c r="E20" s="25" t="s">
        <v>52</v>
      </c>
      <c r="F20" s="25" t="s">
        <v>254</v>
      </c>
      <c r="G20" s="25" t="s">
        <v>126</v>
      </c>
      <c r="H20" s="25" t="s">
        <v>127</v>
      </c>
      <c r="I20" s="25" t="s">
        <v>361</v>
      </c>
      <c r="J20" s="25" t="s">
        <v>260</v>
      </c>
      <c r="K20" s="25" t="s">
        <v>591</v>
      </c>
      <c r="L20" s="25" t="s">
        <v>103</v>
      </c>
      <c r="M20" s="25" t="s">
        <v>158</v>
      </c>
      <c r="N20" s="25" t="s">
        <v>55</v>
      </c>
      <c r="O20" s="25" t="s">
        <v>255</v>
      </c>
      <c r="P20" s="25" t="s">
        <v>261</v>
      </c>
      <c r="Q20" s="25" t="s">
        <v>262</v>
      </c>
      <c r="R20" s="25" t="s">
        <v>63</v>
      </c>
      <c r="S20" s="25" t="s">
        <v>263</v>
      </c>
      <c r="T20" s="25" t="s">
        <v>264</v>
      </c>
      <c r="U20" s="25" t="s">
        <v>63</v>
      </c>
      <c r="V20" s="26">
        <v>45930</v>
      </c>
      <c r="W20" s="25" t="s">
        <v>366</v>
      </c>
      <c r="X20" s="25" t="s">
        <v>256</v>
      </c>
      <c r="Y20" s="25" t="s">
        <v>65</v>
      </c>
      <c r="Z20" s="25" t="s">
        <v>55</v>
      </c>
      <c r="AA20" s="25" t="s">
        <v>66</v>
      </c>
      <c r="AB20" s="25" t="s">
        <v>181</v>
      </c>
      <c r="AC20" s="25" t="s">
        <v>55</v>
      </c>
      <c r="AD20" s="25" t="s">
        <v>67</v>
      </c>
      <c r="AE20" s="25" t="s">
        <v>257</v>
      </c>
      <c r="AF20" s="25" t="s">
        <v>69</v>
      </c>
      <c r="AG20" s="25" t="s">
        <v>55</v>
      </c>
      <c r="AH20" s="25" t="s">
        <v>55</v>
      </c>
      <c r="AI20" s="25" t="s">
        <v>55</v>
      </c>
      <c r="AJ20" s="25" t="s">
        <v>55</v>
      </c>
      <c r="AK20" s="25" t="s">
        <v>55</v>
      </c>
      <c r="AL20" s="25" t="s">
        <v>55</v>
      </c>
      <c r="AM20" s="25" t="s">
        <v>55</v>
      </c>
      <c r="AN20" s="25" t="s">
        <v>55</v>
      </c>
      <c r="AO20" s="25" t="s">
        <v>55</v>
      </c>
      <c r="AP20" s="25" t="s">
        <v>55</v>
      </c>
      <c r="AQ20" s="25" t="s">
        <v>55</v>
      </c>
      <c r="AR20" s="25" t="s">
        <v>55</v>
      </c>
      <c r="AS20" s="25" t="s">
        <v>55</v>
      </c>
      <c r="AT20" s="25" t="s">
        <v>55</v>
      </c>
      <c r="AU20" s="25" t="s">
        <v>55</v>
      </c>
      <c r="AV20" s="25" t="s">
        <v>55</v>
      </c>
      <c r="AW20" s="26">
        <v>45579</v>
      </c>
      <c r="AX20" s="26">
        <v>45792</v>
      </c>
      <c r="AY20" s="25" t="s">
        <v>183</v>
      </c>
      <c r="AZ20" s="20">
        <f t="shared" si="0"/>
        <v>52</v>
      </c>
      <c r="BA20" s="17" t="str">
        <f t="shared" si="2"/>
        <v>&lt; 3 months</v>
      </c>
      <c r="BB20" s="21" t="s">
        <v>66</v>
      </c>
    </row>
    <row r="21" spans="1:54" ht="12.75" customHeight="1" x14ac:dyDescent="0.35">
      <c r="A21" s="25" t="s">
        <v>265</v>
      </c>
      <c r="B21" s="25" t="s">
        <v>115</v>
      </c>
      <c r="C21" s="25" t="s">
        <v>51</v>
      </c>
      <c r="D21" s="25" t="s">
        <v>55</v>
      </c>
      <c r="E21" s="25" t="s">
        <v>52</v>
      </c>
      <c r="F21" s="25" t="s">
        <v>266</v>
      </c>
      <c r="G21" s="25" t="s">
        <v>54</v>
      </c>
      <c r="H21" s="25" t="s">
        <v>1711</v>
      </c>
      <c r="I21" s="25" t="s">
        <v>101</v>
      </c>
      <c r="J21" s="25" t="s">
        <v>267</v>
      </c>
      <c r="K21" s="25" t="s">
        <v>561</v>
      </c>
      <c r="L21" s="25" t="s">
        <v>103</v>
      </c>
      <c r="M21" s="25" t="s">
        <v>139</v>
      </c>
      <c r="N21" s="25" t="s">
        <v>55</v>
      </c>
      <c r="O21" s="25" t="s">
        <v>268</v>
      </c>
      <c r="P21" s="25" t="s">
        <v>269</v>
      </c>
      <c r="Q21" s="25" t="s">
        <v>270</v>
      </c>
      <c r="R21" s="25" t="s">
        <v>63</v>
      </c>
      <c r="S21" s="25" t="s">
        <v>271</v>
      </c>
      <c r="T21" s="25" t="s">
        <v>272</v>
      </c>
      <c r="U21" s="25" t="s">
        <v>132</v>
      </c>
      <c r="V21" s="26">
        <v>45838</v>
      </c>
      <c r="W21" s="25" t="s">
        <v>55</v>
      </c>
      <c r="X21" s="25" t="s">
        <v>273</v>
      </c>
      <c r="Y21" s="25" t="s">
        <v>65</v>
      </c>
      <c r="Z21" s="25" t="s">
        <v>55</v>
      </c>
      <c r="AA21" s="25" t="s">
        <v>66</v>
      </c>
      <c r="AB21" s="25" t="s">
        <v>181</v>
      </c>
      <c r="AC21" s="25" t="s">
        <v>55</v>
      </c>
      <c r="AD21" s="25" t="s">
        <v>67</v>
      </c>
      <c r="AE21" s="25" t="s">
        <v>257</v>
      </c>
      <c r="AF21" s="25" t="s">
        <v>98</v>
      </c>
      <c r="AG21" s="25" t="s">
        <v>55</v>
      </c>
      <c r="AH21" s="25" t="s">
        <v>55</v>
      </c>
      <c r="AI21" s="25" t="s">
        <v>55</v>
      </c>
      <c r="AJ21" s="25" t="s">
        <v>55</v>
      </c>
      <c r="AK21" s="25" t="s">
        <v>55</v>
      </c>
      <c r="AL21" s="25" t="s">
        <v>55</v>
      </c>
      <c r="AM21" s="25" t="s">
        <v>55</v>
      </c>
      <c r="AN21" s="25" t="s">
        <v>55</v>
      </c>
      <c r="AO21" s="25" t="s">
        <v>55</v>
      </c>
      <c r="AP21" s="25" t="s">
        <v>55</v>
      </c>
      <c r="AQ21" s="25" t="s">
        <v>55</v>
      </c>
      <c r="AR21" s="25" t="s">
        <v>55</v>
      </c>
      <c r="AS21" s="25" t="s">
        <v>55</v>
      </c>
      <c r="AT21" s="25" t="s">
        <v>55</v>
      </c>
      <c r="AU21" s="25" t="s">
        <v>55</v>
      </c>
      <c r="AV21" s="25" t="s">
        <v>55</v>
      </c>
      <c r="AW21" s="26">
        <v>45481</v>
      </c>
      <c r="AX21" s="26">
        <v>45792</v>
      </c>
      <c r="AY21" s="25" t="s">
        <v>183</v>
      </c>
      <c r="AZ21" s="20">
        <f t="shared" si="0"/>
        <v>144</v>
      </c>
      <c r="BA21" s="17" t="str">
        <f t="shared" si="2"/>
        <v>3-6 months</v>
      </c>
      <c r="BB21" s="21" t="s">
        <v>66</v>
      </c>
    </row>
    <row r="22" spans="1:54" ht="12.75" customHeight="1" x14ac:dyDescent="0.35">
      <c r="A22" s="25" t="s">
        <v>274</v>
      </c>
      <c r="B22" s="25" t="s">
        <v>115</v>
      </c>
      <c r="C22" s="25" t="s">
        <v>51</v>
      </c>
      <c r="D22" s="25" t="s">
        <v>55</v>
      </c>
      <c r="E22" s="25" t="s">
        <v>52</v>
      </c>
      <c r="F22" s="25" t="s">
        <v>266</v>
      </c>
      <c r="G22" s="25" t="s">
        <v>54</v>
      </c>
      <c r="H22" s="25" t="s">
        <v>1711</v>
      </c>
      <c r="I22" s="25" t="s">
        <v>119</v>
      </c>
      <c r="J22" s="25" t="s">
        <v>275</v>
      </c>
      <c r="K22" s="25" t="s">
        <v>592</v>
      </c>
      <c r="L22" s="25" t="s">
        <v>103</v>
      </c>
      <c r="M22" s="25" t="s">
        <v>99</v>
      </c>
      <c r="N22" s="25" t="s">
        <v>55</v>
      </c>
      <c r="O22" s="25" t="s">
        <v>268</v>
      </c>
      <c r="P22" s="25" t="s">
        <v>276</v>
      </c>
      <c r="Q22" s="25" t="s">
        <v>277</v>
      </c>
      <c r="R22" s="25" t="s">
        <v>63</v>
      </c>
      <c r="S22" s="25" t="s">
        <v>278</v>
      </c>
      <c r="T22" s="25" t="s">
        <v>279</v>
      </c>
      <c r="U22" s="25" t="s">
        <v>63</v>
      </c>
      <c r="V22" s="26">
        <v>45838</v>
      </c>
      <c r="W22" s="25" t="s">
        <v>55</v>
      </c>
      <c r="X22" s="25" t="s">
        <v>280</v>
      </c>
      <c r="Y22" s="25" t="s">
        <v>65</v>
      </c>
      <c r="Z22" s="25" t="s">
        <v>55</v>
      </c>
      <c r="AA22" s="25" t="s">
        <v>66</v>
      </c>
      <c r="AB22" s="25" t="s">
        <v>181</v>
      </c>
      <c r="AC22" s="25" t="s">
        <v>55</v>
      </c>
      <c r="AD22" s="25" t="s">
        <v>67</v>
      </c>
      <c r="AE22" s="25" t="s">
        <v>257</v>
      </c>
      <c r="AF22" s="25" t="s">
        <v>100</v>
      </c>
      <c r="AG22" s="25" t="s">
        <v>55</v>
      </c>
      <c r="AH22" s="25" t="s">
        <v>55</v>
      </c>
      <c r="AI22" s="25" t="s">
        <v>55</v>
      </c>
      <c r="AJ22" s="25" t="s">
        <v>55</v>
      </c>
      <c r="AK22" s="25" t="s">
        <v>55</v>
      </c>
      <c r="AL22" s="25" t="s">
        <v>55</v>
      </c>
      <c r="AM22" s="25" t="s">
        <v>55</v>
      </c>
      <c r="AN22" s="25" t="s">
        <v>55</v>
      </c>
      <c r="AO22" s="25" t="s">
        <v>55</v>
      </c>
      <c r="AP22" s="25" t="s">
        <v>55</v>
      </c>
      <c r="AQ22" s="25" t="s">
        <v>55</v>
      </c>
      <c r="AR22" s="25" t="s">
        <v>55</v>
      </c>
      <c r="AS22" s="25" t="s">
        <v>55</v>
      </c>
      <c r="AT22" s="25" t="s">
        <v>55</v>
      </c>
      <c r="AU22" s="25" t="s">
        <v>55</v>
      </c>
      <c r="AV22" s="25" t="s">
        <v>55</v>
      </c>
      <c r="AW22" s="26">
        <v>45481</v>
      </c>
      <c r="AX22" s="26">
        <v>45792</v>
      </c>
      <c r="AY22" s="25" t="s">
        <v>183</v>
      </c>
      <c r="AZ22" s="20">
        <f t="shared" si="0"/>
        <v>144</v>
      </c>
      <c r="BA22" s="17" t="str">
        <f t="shared" si="2"/>
        <v>3-6 months</v>
      </c>
      <c r="BB22" s="21" t="s">
        <v>66</v>
      </c>
    </row>
    <row r="23" spans="1:54" ht="12.75" customHeight="1" x14ac:dyDescent="0.35">
      <c r="A23" s="25" t="s">
        <v>284</v>
      </c>
      <c r="B23" s="25" t="s">
        <v>115</v>
      </c>
      <c r="C23" s="25" t="s">
        <v>51</v>
      </c>
      <c r="D23" s="25" t="s">
        <v>55</v>
      </c>
      <c r="E23" s="25" t="s">
        <v>52</v>
      </c>
      <c r="F23" s="25" t="s">
        <v>282</v>
      </c>
      <c r="G23" s="25" t="s">
        <v>126</v>
      </c>
      <c r="H23" s="25" t="s">
        <v>138</v>
      </c>
      <c r="I23" s="25" t="s">
        <v>56</v>
      </c>
      <c r="J23" s="25" t="s">
        <v>285</v>
      </c>
      <c r="K23" s="25" t="s">
        <v>572</v>
      </c>
      <c r="L23" s="25" t="s">
        <v>103</v>
      </c>
      <c r="M23" s="25" t="s">
        <v>252</v>
      </c>
      <c r="N23" s="25" t="s">
        <v>55</v>
      </c>
      <c r="O23" s="25" t="s">
        <v>283</v>
      </c>
      <c r="P23" s="25" t="s">
        <v>286</v>
      </c>
      <c r="Q23" s="25" t="s">
        <v>287</v>
      </c>
      <c r="R23" s="25" t="s">
        <v>55</v>
      </c>
      <c r="S23" s="25" t="s">
        <v>288</v>
      </c>
      <c r="T23" s="25" t="s">
        <v>289</v>
      </c>
      <c r="U23" s="25" t="s">
        <v>55</v>
      </c>
      <c r="V23" s="26">
        <v>45930</v>
      </c>
      <c r="W23" s="25" t="s">
        <v>366</v>
      </c>
      <c r="X23" s="25" t="s">
        <v>290</v>
      </c>
      <c r="Y23" s="25" t="s">
        <v>65</v>
      </c>
      <c r="Z23" s="25" t="s">
        <v>55</v>
      </c>
      <c r="AA23" s="25" t="s">
        <v>66</v>
      </c>
      <c r="AB23" s="25" t="s">
        <v>862</v>
      </c>
      <c r="AC23" s="25" t="s">
        <v>55</v>
      </c>
      <c r="AD23" s="25" t="s">
        <v>67</v>
      </c>
      <c r="AE23" s="25" t="s">
        <v>257</v>
      </c>
      <c r="AF23" s="25" t="s">
        <v>98</v>
      </c>
      <c r="AG23" s="25" t="s">
        <v>55</v>
      </c>
      <c r="AH23" s="25" t="s">
        <v>55</v>
      </c>
      <c r="AI23" s="25" t="s">
        <v>55</v>
      </c>
      <c r="AJ23" s="25" t="s">
        <v>55</v>
      </c>
      <c r="AK23" s="25" t="s">
        <v>55</v>
      </c>
      <c r="AL23" s="25" t="s">
        <v>55</v>
      </c>
      <c r="AM23" s="25" t="s">
        <v>55</v>
      </c>
      <c r="AN23" s="25" t="s">
        <v>55</v>
      </c>
      <c r="AO23" s="25" t="s">
        <v>55</v>
      </c>
      <c r="AP23" s="25" t="s">
        <v>55</v>
      </c>
      <c r="AQ23" s="25" t="s">
        <v>55</v>
      </c>
      <c r="AR23" s="25" t="s">
        <v>55</v>
      </c>
      <c r="AS23" s="25" t="s">
        <v>55</v>
      </c>
      <c r="AT23" s="25" t="s">
        <v>55</v>
      </c>
      <c r="AU23" s="25" t="s">
        <v>55</v>
      </c>
      <c r="AV23" s="25" t="s">
        <v>55</v>
      </c>
      <c r="AW23" s="26">
        <v>45544</v>
      </c>
      <c r="AX23" s="26">
        <v>45792</v>
      </c>
      <c r="AY23" s="25" t="s">
        <v>183</v>
      </c>
      <c r="AZ23" s="20">
        <f t="shared" si="0"/>
        <v>52</v>
      </c>
      <c r="BA23" s="17" t="str">
        <f t="shared" si="2"/>
        <v>&lt; 3 months</v>
      </c>
      <c r="BB23" s="21" t="s">
        <v>66</v>
      </c>
    </row>
    <row r="24" spans="1:54" ht="12.75" customHeight="1" x14ac:dyDescent="0.35">
      <c r="A24" s="25" t="s">
        <v>291</v>
      </c>
      <c r="B24" s="25" t="s">
        <v>115</v>
      </c>
      <c r="C24" s="25" t="s">
        <v>51</v>
      </c>
      <c r="D24" s="25" t="s">
        <v>55</v>
      </c>
      <c r="E24" s="25" t="s">
        <v>52</v>
      </c>
      <c r="F24" s="25" t="s">
        <v>282</v>
      </c>
      <c r="G24" s="25" t="s">
        <v>126</v>
      </c>
      <c r="H24" s="25" t="s">
        <v>138</v>
      </c>
      <c r="I24" s="25" t="s">
        <v>362</v>
      </c>
      <c r="J24" s="25" t="s">
        <v>292</v>
      </c>
      <c r="K24" s="25" t="s">
        <v>593</v>
      </c>
      <c r="L24" s="25" t="s">
        <v>103</v>
      </c>
      <c r="M24" s="25" t="s">
        <v>55</v>
      </c>
      <c r="N24" s="25" t="s">
        <v>55</v>
      </c>
      <c r="O24" s="25" t="s">
        <v>283</v>
      </c>
      <c r="P24" s="25" t="s">
        <v>293</v>
      </c>
      <c r="Q24" s="25" t="s">
        <v>294</v>
      </c>
      <c r="R24" s="25" t="s">
        <v>55</v>
      </c>
      <c r="S24" s="25" t="s">
        <v>295</v>
      </c>
      <c r="T24" s="25" t="s">
        <v>296</v>
      </c>
      <c r="U24" s="25" t="s">
        <v>55</v>
      </c>
      <c r="V24" s="26">
        <v>45930</v>
      </c>
      <c r="W24" s="25" t="s">
        <v>366</v>
      </c>
      <c r="X24" s="25" t="s">
        <v>297</v>
      </c>
      <c r="Y24" s="25" t="s">
        <v>65</v>
      </c>
      <c r="Z24" s="25" t="s">
        <v>55</v>
      </c>
      <c r="AA24" s="25" t="s">
        <v>66</v>
      </c>
      <c r="AB24" s="25" t="s">
        <v>863</v>
      </c>
      <c r="AC24" s="25" t="s">
        <v>55</v>
      </c>
      <c r="AD24" s="25" t="s">
        <v>67</v>
      </c>
      <c r="AE24" s="25" t="s">
        <v>257</v>
      </c>
      <c r="AF24" s="25" t="s">
        <v>55</v>
      </c>
      <c r="AG24" s="25" t="s">
        <v>55</v>
      </c>
      <c r="AH24" s="25" t="s">
        <v>55</v>
      </c>
      <c r="AI24" s="25" t="s">
        <v>55</v>
      </c>
      <c r="AJ24" s="25" t="s">
        <v>55</v>
      </c>
      <c r="AK24" s="25" t="s">
        <v>55</v>
      </c>
      <c r="AL24" s="25" t="s">
        <v>55</v>
      </c>
      <c r="AM24" s="25" t="s">
        <v>55</v>
      </c>
      <c r="AN24" s="25" t="s">
        <v>55</v>
      </c>
      <c r="AO24" s="25" t="s">
        <v>55</v>
      </c>
      <c r="AP24" s="25" t="s">
        <v>55</v>
      </c>
      <c r="AQ24" s="25" t="s">
        <v>55</v>
      </c>
      <c r="AR24" s="25" t="s">
        <v>55</v>
      </c>
      <c r="AS24" s="25" t="s">
        <v>55</v>
      </c>
      <c r="AT24" s="25" t="s">
        <v>55</v>
      </c>
      <c r="AU24" s="25" t="s">
        <v>55</v>
      </c>
      <c r="AV24" s="25" t="s">
        <v>55</v>
      </c>
      <c r="AW24" s="26">
        <v>45544</v>
      </c>
      <c r="AX24" s="26">
        <v>45792</v>
      </c>
      <c r="AY24" s="25" t="s">
        <v>183</v>
      </c>
      <c r="AZ24" s="20">
        <f t="shared" si="0"/>
        <v>52</v>
      </c>
      <c r="BA24" s="17" t="str">
        <f>VLOOKUP(AZ24,$BE$2:$BF$7,2,TRUE)</f>
        <v>&lt; 3 months</v>
      </c>
      <c r="BB24" s="21" t="s">
        <v>66</v>
      </c>
    </row>
    <row r="25" spans="1:54" ht="12.75" customHeight="1" x14ac:dyDescent="0.35">
      <c r="A25" s="25" t="s">
        <v>379</v>
      </c>
      <c r="B25" s="25" t="s">
        <v>347</v>
      </c>
      <c r="C25" s="25" t="s">
        <v>368</v>
      </c>
      <c r="D25" s="25" t="s">
        <v>369</v>
      </c>
      <c r="E25" s="25" t="s">
        <v>108</v>
      </c>
      <c r="F25" s="25" t="s">
        <v>370</v>
      </c>
      <c r="G25" s="25" t="s">
        <v>371</v>
      </c>
      <c r="H25" s="25" t="s">
        <v>372</v>
      </c>
      <c r="I25" s="25" t="s">
        <v>160</v>
      </c>
      <c r="J25" s="25" t="s">
        <v>373</v>
      </c>
      <c r="K25" s="25" t="s">
        <v>593</v>
      </c>
      <c r="L25" s="25" t="s">
        <v>103</v>
      </c>
      <c r="M25" s="25" t="s">
        <v>55</v>
      </c>
      <c r="N25" s="25" t="s">
        <v>55</v>
      </c>
      <c r="O25" s="25" t="s">
        <v>374</v>
      </c>
      <c r="P25" s="25" t="s">
        <v>378</v>
      </c>
      <c r="Q25" s="25" t="s">
        <v>380</v>
      </c>
      <c r="R25" s="25" t="s">
        <v>63</v>
      </c>
      <c r="S25" s="25" t="s">
        <v>381</v>
      </c>
      <c r="T25" s="25" t="s">
        <v>382</v>
      </c>
      <c r="U25" s="25" t="s">
        <v>132</v>
      </c>
      <c r="V25" s="26">
        <v>45900</v>
      </c>
      <c r="W25" s="25" t="s">
        <v>55</v>
      </c>
      <c r="X25" s="25" t="s">
        <v>376</v>
      </c>
      <c r="Y25" s="25" t="s">
        <v>65</v>
      </c>
      <c r="Z25" s="25" t="s">
        <v>55</v>
      </c>
      <c r="AA25" s="25" t="s">
        <v>66</v>
      </c>
      <c r="AB25" s="25" t="s">
        <v>383</v>
      </c>
      <c r="AC25" s="25" t="s">
        <v>55</v>
      </c>
      <c r="AD25" s="25" t="s">
        <v>67</v>
      </c>
      <c r="AE25" s="25" t="s">
        <v>257</v>
      </c>
      <c r="AF25" s="25" t="s">
        <v>55</v>
      </c>
      <c r="AG25" s="25" t="s">
        <v>55</v>
      </c>
      <c r="AH25" s="25" t="s">
        <v>55</v>
      </c>
      <c r="AI25" s="25" t="s">
        <v>55</v>
      </c>
      <c r="AJ25" s="25" t="s">
        <v>55</v>
      </c>
      <c r="AK25" s="25" t="s">
        <v>55</v>
      </c>
      <c r="AL25" s="25" t="s">
        <v>55</v>
      </c>
      <c r="AM25" s="25" t="s">
        <v>55</v>
      </c>
      <c r="AN25" s="25" t="s">
        <v>55</v>
      </c>
      <c r="AO25" s="25" t="s">
        <v>55</v>
      </c>
      <c r="AP25" s="25" t="s">
        <v>55</v>
      </c>
      <c r="AQ25" s="25" t="s">
        <v>55</v>
      </c>
      <c r="AR25" s="25" t="s">
        <v>55</v>
      </c>
      <c r="AS25" s="25" t="s">
        <v>55</v>
      </c>
      <c r="AT25" s="25" t="s">
        <v>55</v>
      </c>
      <c r="AU25" s="25" t="s">
        <v>55</v>
      </c>
      <c r="AV25" s="25" t="s">
        <v>55</v>
      </c>
      <c r="AW25" s="26">
        <v>45677</v>
      </c>
      <c r="AX25" s="26">
        <v>45677</v>
      </c>
      <c r="AY25" s="25" t="s">
        <v>377</v>
      </c>
      <c r="AZ25" s="20">
        <f t="shared" si="0"/>
        <v>82</v>
      </c>
      <c r="BA25" s="17" t="str">
        <f t="shared" si="2"/>
        <v>&lt; 3 months</v>
      </c>
      <c r="BB25" s="21" t="s">
        <v>66</v>
      </c>
    </row>
    <row r="26" spans="1:54" ht="12.75" customHeight="1" x14ac:dyDescent="0.35">
      <c r="A26" s="25" t="s">
        <v>384</v>
      </c>
      <c r="B26" s="25" t="s">
        <v>347</v>
      </c>
      <c r="C26" s="25" t="s">
        <v>368</v>
      </c>
      <c r="D26" s="25" t="s">
        <v>369</v>
      </c>
      <c r="E26" s="25" t="s">
        <v>52</v>
      </c>
      <c r="F26" s="25" t="s">
        <v>370</v>
      </c>
      <c r="G26" s="25" t="s">
        <v>371</v>
      </c>
      <c r="H26" s="25" t="s">
        <v>372</v>
      </c>
      <c r="I26" s="25" t="s">
        <v>160</v>
      </c>
      <c r="J26" s="25" t="s">
        <v>373</v>
      </c>
      <c r="K26" s="25" t="s">
        <v>563</v>
      </c>
      <c r="L26" s="25" t="s">
        <v>57</v>
      </c>
      <c r="M26" s="25" t="s">
        <v>385</v>
      </c>
      <c r="N26" s="25" t="s">
        <v>55</v>
      </c>
      <c r="O26" s="25" t="s">
        <v>374</v>
      </c>
      <c r="P26" s="25" t="s">
        <v>386</v>
      </c>
      <c r="Q26" s="25" t="s">
        <v>387</v>
      </c>
      <c r="R26" s="25" t="s">
        <v>63</v>
      </c>
      <c r="S26" s="25" t="s">
        <v>388</v>
      </c>
      <c r="T26" s="25" t="s">
        <v>389</v>
      </c>
      <c r="U26" s="25" t="s">
        <v>63</v>
      </c>
      <c r="V26" s="26">
        <v>45900</v>
      </c>
      <c r="W26" s="25" t="s">
        <v>55</v>
      </c>
      <c r="X26" s="25" t="s">
        <v>376</v>
      </c>
      <c r="Y26" s="25" t="s">
        <v>65</v>
      </c>
      <c r="Z26" s="25" t="s">
        <v>55</v>
      </c>
      <c r="AA26" s="25" t="s">
        <v>66</v>
      </c>
      <c r="AB26" s="25" t="s">
        <v>390</v>
      </c>
      <c r="AC26" s="25" t="s">
        <v>55</v>
      </c>
      <c r="AD26" s="25" t="s">
        <v>67</v>
      </c>
      <c r="AE26" s="25" t="s">
        <v>257</v>
      </c>
      <c r="AF26" s="25" t="s">
        <v>391</v>
      </c>
      <c r="AG26" s="25" t="s">
        <v>55</v>
      </c>
      <c r="AH26" s="25" t="s">
        <v>55</v>
      </c>
      <c r="AI26" s="25" t="s">
        <v>55</v>
      </c>
      <c r="AJ26" s="25" t="s">
        <v>55</v>
      </c>
      <c r="AK26" s="25" t="s">
        <v>55</v>
      </c>
      <c r="AL26" s="25" t="s">
        <v>55</v>
      </c>
      <c r="AM26" s="25" t="s">
        <v>55</v>
      </c>
      <c r="AN26" s="25" t="s">
        <v>55</v>
      </c>
      <c r="AO26" s="25" t="s">
        <v>55</v>
      </c>
      <c r="AP26" s="25" t="s">
        <v>55</v>
      </c>
      <c r="AQ26" s="25" t="s">
        <v>55</v>
      </c>
      <c r="AR26" s="25" t="s">
        <v>55</v>
      </c>
      <c r="AS26" s="25" t="s">
        <v>55</v>
      </c>
      <c r="AT26" s="25" t="s">
        <v>55</v>
      </c>
      <c r="AU26" s="25" t="s">
        <v>55</v>
      </c>
      <c r="AV26" s="25" t="s">
        <v>55</v>
      </c>
      <c r="AW26" s="26">
        <v>45660</v>
      </c>
      <c r="AX26" s="26">
        <v>45660</v>
      </c>
      <c r="AY26" s="25" t="s">
        <v>377</v>
      </c>
      <c r="AZ26" s="20">
        <f t="shared" si="0"/>
        <v>82</v>
      </c>
      <c r="BA26" s="17" t="str">
        <f t="shared" si="2"/>
        <v>&lt; 3 months</v>
      </c>
      <c r="BB26" s="21" t="s">
        <v>66</v>
      </c>
    </row>
    <row r="27" spans="1:54" ht="12.75" customHeight="1" x14ac:dyDescent="0.35">
      <c r="A27" s="25" t="s">
        <v>392</v>
      </c>
      <c r="B27" s="25" t="s">
        <v>347</v>
      </c>
      <c r="C27" s="25" t="s">
        <v>368</v>
      </c>
      <c r="D27" s="25" t="s">
        <v>369</v>
      </c>
      <c r="E27" s="25" t="s">
        <v>108</v>
      </c>
      <c r="F27" s="25" t="s">
        <v>370</v>
      </c>
      <c r="G27" s="25" t="s">
        <v>371</v>
      </c>
      <c r="H27" s="25" t="s">
        <v>372</v>
      </c>
      <c r="I27" s="25" t="s">
        <v>160</v>
      </c>
      <c r="J27" s="25" t="s">
        <v>393</v>
      </c>
      <c r="K27" s="25" t="s">
        <v>584</v>
      </c>
      <c r="L27" s="25" t="s">
        <v>57</v>
      </c>
      <c r="M27" s="25" t="s">
        <v>55</v>
      </c>
      <c r="N27" s="25" t="s">
        <v>55</v>
      </c>
      <c r="O27" s="25" t="s">
        <v>374</v>
      </c>
      <c r="P27" s="25" t="s">
        <v>394</v>
      </c>
      <c r="Q27" s="25" t="s">
        <v>395</v>
      </c>
      <c r="R27" s="25" t="s">
        <v>63</v>
      </c>
      <c r="S27" s="25" t="s">
        <v>396</v>
      </c>
      <c r="T27" s="25" t="s">
        <v>397</v>
      </c>
      <c r="U27" s="25" t="s">
        <v>132</v>
      </c>
      <c r="V27" s="26">
        <v>45900</v>
      </c>
      <c r="W27" s="25" t="s">
        <v>55</v>
      </c>
      <c r="X27" s="25" t="s">
        <v>376</v>
      </c>
      <c r="Y27" s="25" t="s">
        <v>65</v>
      </c>
      <c r="Z27" s="25" t="s">
        <v>55</v>
      </c>
      <c r="AA27" s="25" t="s">
        <v>66</v>
      </c>
      <c r="AB27" s="25" t="s">
        <v>118</v>
      </c>
      <c r="AC27" s="25" t="s">
        <v>55</v>
      </c>
      <c r="AD27" s="25" t="s">
        <v>67</v>
      </c>
      <c r="AE27" s="25" t="s">
        <v>257</v>
      </c>
      <c r="AF27" s="25" t="s">
        <v>55</v>
      </c>
      <c r="AG27" s="25" t="s">
        <v>55</v>
      </c>
      <c r="AH27" s="25" t="s">
        <v>55</v>
      </c>
      <c r="AI27" s="25" t="s">
        <v>55</v>
      </c>
      <c r="AJ27" s="25" t="s">
        <v>55</v>
      </c>
      <c r="AK27" s="25" t="s">
        <v>55</v>
      </c>
      <c r="AL27" s="25" t="s">
        <v>55</v>
      </c>
      <c r="AM27" s="25" t="s">
        <v>55</v>
      </c>
      <c r="AN27" s="25" t="s">
        <v>55</v>
      </c>
      <c r="AO27" s="25" t="s">
        <v>55</v>
      </c>
      <c r="AP27" s="25" t="s">
        <v>55</v>
      </c>
      <c r="AQ27" s="25" t="s">
        <v>55</v>
      </c>
      <c r="AR27" s="25" t="s">
        <v>55</v>
      </c>
      <c r="AS27" s="25" t="s">
        <v>55</v>
      </c>
      <c r="AT27" s="25" t="s">
        <v>55</v>
      </c>
      <c r="AU27" s="25" t="s">
        <v>55</v>
      </c>
      <c r="AV27" s="25" t="s">
        <v>55</v>
      </c>
      <c r="AW27" s="26">
        <v>45672</v>
      </c>
      <c r="AX27" s="26">
        <v>45672</v>
      </c>
      <c r="AY27" s="25" t="s">
        <v>377</v>
      </c>
      <c r="AZ27" s="20">
        <f t="shared" si="0"/>
        <v>82</v>
      </c>
      <c r="BA27" s="17" t="str">
        <f t="shared" si="2"/>
        <v>&lt; 3 months</v>
      </c>
      <c r="BB27" s="21" t="s">
        <v>66</v>
      </c>
    </row>
    <row r="28" spans="1:54" ht="12.75" customHeight="1" x14ac:dyDescent="0.35">
      <c r="A28" s="25" t="s">
        <v>398</v>
      </c>
      <c r="B28" s="25" t="s">
        <v>347</v>
      </c>
      <c r="C28" s="25" t="s">
        <v>368</v>
      </c>
      <c r="D28" s="25" t="s">
        <v>369</v>
      </c>
      <c r="E28" s="25" t="s">
        <v>108</v>
      </c>
      <c r="F28" s="25" t="s">
        <v>370</v>
      </c>
      <c r="G28" s="25" t="s">
        <v>371</v>
      </c>
      <c r="H28" s="25" t="s">
        <v>372</v>
      </c>
      <c r="I28" s="25" t="s">
        <v>160</v>
      </c>
      <c r="J28" s="25" t="s">
        <v>393</v>
      </c>
      <c r="K28" s="25" t="s">
        <v>587</v>
      </c>
      <c r="L28" s="25" t="s">
        <v>57</v>
      </c>
      <c r="M28" s="25" t="s">
        <v>55</v>
      </c>
      <c r="N28" s="25" t="s">
        <v>55</v>
      </c>
      <c r="O28" s="25" t="s">
        <v>374</v>
      </c>
      <c r="P28" s="25" t="s">
        <v>399</v>
      </c>
      <c r="Q28" s="25" t="s">
        <v>400</v>
      </c>
      <c r="R28" s="25" t="s">
        <v>63</v>
      </c>
      <c r="S28" s="25" t="s">
        <v>401</v>
      </c>
      <c r="T28" s="25" t="s">
        <v>402</v>
      </c>
      <c r="U28" s="25" t="s">
        <v>132</v>
      </c>
      <c r="V28" s="26">
        <v>45900</v>
      </c>
      <c r="W28" s="25" t="s">
        <v>55</v>
      </c>
      <c r="X28" s="25" t="s">
        <v>376</v>
      </c>
      <c r="Y28" s="25" t="s">
        <v>65</v>
      </c>
      <c r="Z28" s="25" t="s">
        <v>55</v>
      </c>
      <c r="AA28" s="25" t="s">
        <v>66</v>
      </c>
      <c r="AB28" s="25" t="s">
        <v>118</v>
      </c>
      <c r="AC28" s="25" t="s">
        <v>55</v>
      </c>
      <c r="AD28" s="25" t="s">
        <v>67</v>
      </c>
      <c r="AE28" s="25" t="s">
        <v>257</v>
      </c>
      <c r="AF28" s="25" t="s">
        <v>55</v>
      </c>
      <c r="AG28" s="25" t="s">
        <v>55</v>
      </c>
      <c r="AH28" s="25" t="s">
        <v>55</v>
      </c>
      <c r="AI28" s="25" t="s">
        <v>55</v>
      </c>
      <c r="AJ28" s="25" t="s">
        <v>55</v>
      </c>
      <c r="AK28" s="25" t="s">
        <v>55</v>
      </c>
      <c r="AL28" s="25" t="s">
        <v>55</v>
      </c>
      <c r="AM28" s="25" t="s">
        <v>55</v>
      </c>
      <c r="AN28" s="25" t="s">
        <v>55</v>
      </c>
      <c r="AO28" s="25" t="s">
        <v>55</v>
      </c>
      <c r="AP28" s="25" t="s">
        <v>55</v>
      </c>
      <c r="AQ28" s="25" t="s">
        <v>55</v>
      </c>
      <c r="AR28" s="25" t="s">
        <v>55</v>
      </c>
      <c r="AS28" s="25" t="s">
        <v>55</v>
      </c>
      <c r="AT28" s="25" t="s">
        <v>55</v>
      </c>
      <c r="AU28" s="25" t="s">
        <v>55</v>
      </c>
      <c r="AV28" s="25" t="s">
        <v>55</v>
      </c>
      <c r="AW28" s="26">
        <v>45672</v>
      </c>
      <c r="AX28" s="26">
        <v>45672</v>
      </c>
      <c r="AY28" s="25" t="s">
        <v>377</v>
      </c>
      <c r="AZ28" s="20">
        <f t="shared" si="0"/>
        <v>82</v>
      </c>
      <c r="BA28" s="17" t="str">
        <f t="shared" si="2"/>
        <v>&lt; 3 months</v>
      </c>
      <c r="BB28" s="21" t="s">
        <v>66</v>
      </c>
    </row>
    <row r="29" spans="1:54" ht="12.75" customHeight="1" x14ac:dyDescent="0.35">
      <c r="A29" s="25" t="s">
        <v>403</v>
      </c>
      <c r="B29" s="25" t="s">
        <v>347</v>
      </c>
      <c r="C29" s="25" t="s">
        <v>368</v>
      </c>
      <c r="D29" s="25" t="s">
        <v>369</v>
      </c>
      <c r="E29" s="25" t="s">
        <v>108</v>
      </c>
      <c r="F29" s="25" t="s">
        <v>370</v>
      </c>
      <c r="G29" s="25" t="s">
        <v>371</v>
      </c>
      <c r="H29" s="25" t="s">
        <v>372</v>
      </c>
      <c r="I29" s="25" t="s">
        <v>160</v>
      </c>
      <c r="J29" s="25" t="s">
        <v>393</v>
      </c>
      <c r="K29" s="25" t="s">
        <v>595</v>
      </c>
      <c r="L29" s="25" t="s">
        <v>57</v>
      </c>
      <c r="M29" s="25" t="s">
        <v>55</v>
      </c>
      <c r="N29" s="25" t="s">
        <v>55</v>
      </c>
      <c r="O29" s="25" t="s">
        <v>374</v>
      </c>
      <c r="P29" s="25" t="s">
        <v>404</v>
      </c>
      <c r="Q29" s="25" t="s">
        <v>405</v>
      </c>
      <c r="R29" s="25" t="s">
        <v>63</v>
      </c>
      <c r="S29" s="25" t="s">
        <v>406</v>
      </c>
      <c r="T29" s="25" t="s">
        <v>407</v>
      </c>
      <c r="U29" s="25" t="s">
        <v>63</v>
      </c>
      <c r="V29" s="26">
        <v>45900</v>
      </c>
      <c r="W29" s="25" t="s">
        <v>55</v>
      </c>
      <c r="X29" s="25" t="s">
        <v>376</v>
      </c>
      <c r="Y29" s="25" t="s">
        <v>65</v>
      </c>
      <c r="Z29" s="25" t="s">
        <v>55</v>
      </c>
      <c r="AA29" s="25" t="s">
        <v>66</v>
      </c>
      <c r="AB29" s="25" t="s">
        <v>408</v>
      </c>
      <c r="AC29" s="25" t="s">
        <v>55</v>
      </c>
      <c r="AD29" s="25" t="s">
        <v>67</v>
      </c>
      <c r="AE29" s="25" t="s">
        <v>257</v>
      </c>
      <c r="AF29" s="25" t="s">
        <v>55</v>
      </c>
      <c r="AG29" s="25" t="s">
        <v>55</v>
      </c>
      <c r="AH29" s="25" t="s">
        <v>55</v>
      </c>
      <c r="AI29" s="25" t="s">
        <v>55</v>
      </c>
      <c r="AJ29" s="25" t="s">
        <v>55</v>
      </c>
      <c r="AK29" s="25" t="s">
        <v>55</v>
      </c>
      <c r="AL29" s="25" t="s">
        <v>55</v>
      </c>
      <c r="AM29" s="25" t="s">
        <v>55</v>
      </c>
      <c r="AN29" s="25" t="s">
        <v>55</v>
      </c>
      <c r="AO29" s="25" t="s">
        <v>55</v>
      </c>
      <c r="AP29" s="25" t="s">
        <v>55</v>
      </c>
      <c r="AQ29" s="25" t="s">
        <v>55</v>
      </c>
      <c r="AR29" s="25" t="s">
        <v>55</v>
      </c>
      <c r="AS29" s="25" t="s">
        <v>55</v>
      </c>
      <c r="AT29" s="25" t="s">
        <v>55</v>
      </c>
      <c r="AU29" s="25" t="s">
        <v>55</v>
      </c>
      <c r="AV29" s="25" t="s">
        <v>55</v>
      </c>
      <c r="AW29" s="26">
        <v>45686</v>
      </c>
      <c r="AX29" s="26">
        <v>45686</v>
      </c>
      <c r="AY29" s="25" t="s">
        <v>377</v>
      </c>
      <c r="AZ29" s="20">
        <f t="shared" si="0"/>
        <v>82</v>
      </c>
      <c r="BA29" s="17" t="str">
        <f t="shared" si="2"/>
        <v>&lt; 3 months</v>
      </c>
      <c r="BB29" s="21" t="s">
        <v>66</v>
      </c>
    </row>
    <row r="30" spans="1:54" ht="12.75" customHeight="1" x14ac:dyDescent="0.35">
      <c r="A30" s="25" t="s">
        <v>409</v>
      </c>
      <c r="B30" s="25" t="s">
        <v>347</v>
      </c>
      <c r="C30" s="25" t="s">
        <v>368</v>
      </c>
      <c r="D30" s="25" t="s">
        <v>369</v>
      </c>
      <c r="E30" s="25" t="s">
        <v>52</v>
      </c>
      <c r="F30" s="25" t="s">
        <v>370</v>
      </c>
      <c r="G30" s="25" t="s">
        <v>371</v>
      </c>
      <c r="H30" s="25" t="s">
        <v>372</v>
      </c>
      <c r="I30" s="25" t="s">
        <v>160</v>
      </c>
      <c r="J30" s="25" t="s">
        <v>393</v>
      </c>
      <c r="K30" s="25" t="s">
        <v>593</v>
      </c>
      <c r="L30" s="25" t="s">
        <v>103</v>
      </c>
      <c r="M30" s="25" t="s">
        <v>311</v>
      </c>
      <c r="N30" s="25" t="s">
        <v>55</v>
      </c>
      <c r="O30" s="25" t="s">
        <v>374</v>
      </c>
      <c r="P30" s="25" t="s">
        <v>375</v>
      </c>
      <c r="Q30" s="25" t="s">
        <v>410</v>
      </c>
      <c r="R30" s="25" t="s">
        <v>63</v>
      </c>
      <c r="S30" s="25" t="s">
        <v>411</v>
      </c>
      <c r="T30" s="25" t="s">
        <v>412</v>
      </c>
      <c r="U30" s="25" t="s">
        <v>132</v>
      </c>
      <c r="V30" s="26">
        <v>45900</v>
      </c>
      <c r="W30" s="25" t="s">
        <v>55</v>
      </c>
      <c r="X30" s="25" t="s">
        <v>376</v>
      </c>
      <c r="Y30" s="25" t="s">
        <v>65</v>
      </c>
      <c r="Z30" s="25" t="s">
        <v>55</v>
      </c>
      <c r="AA30" s="25" t="s">
        <v>66</v>
      </c>
      <c r="AB30" s="25" t="s">
        <v>413</v>
      </c>
      <c r="AC30" s="25" t="s">
        <v>55</v>
      </c>
      <c r="AD30" s="25" t="s">
        <v>67</v>
      </c>
      <c r="AE30" s="25" t="s">
        <v>257</v>
      </c>
      <c r="AF30" s="25" t="s">
        <v>220</v>
      </c>
      <c r="AG30" s="25" t="s">
        <v>55</v>
      </c>
      <c r="AH30" s="25" t="s">
        <v>55</v>
      </c>
      <c r="AI30" s="25" t="s">
        <v>55</v>
      </c>
      <c r="AJ30" s="25" t="s">
        <v>55</v>
      </c>
      <c r="AK30" s="25" t="s">
        <v>55</v>
      </c>
      <c r="AL30" s="25" t="s">
        <v>55</v>
      </c>
      <c r="AM30" s="25" t="s">
        <v>55</v>
      </c>
      <c r="AN30" s="25" t="s">
        <v>55</v>
      </c>
      <c r="AO30" s="25" t="s">
        <v>55</v>
      </c>
      <c r="AP30" s="25" t="s">
        <v>55</v>
      </c>
      <c r="AQ30" s="25" t="s">
        <v>55</v>
      </c>
      <c r="AR30" s="25" t="s">
        <v>55</v>
      </c>
      <c r="AS30" s="25" t="s">
        <v>55</v>
      </c>
      <c r="AT30" s="25" t="s">
        <v>55</v>
      </c>
      <c r="AU30" s="25" t="s">
        <v>55</v>
      </c>
      <c r="AV30" s="25" t="s">
        <v>55</v>
      </c>
      <c r="AW30" s="26">
        <v>45700</v>
      </c>
      <c r="AX30" s="26">
        <v>45700</v>
      </c>
      <c r="AY30" s="25" t="s">
        <v>377</v>
      </c>
      <c r="AZ30" s="20">
        <f t="shared" si="0"/>
        <v>82</v>
      </c>
      <c r="BA30" s="17" t="str">
        <f t="shared" si="2"/>
        <v>&lt; 3 months</v>
      </c>
      <c r="BB30" s="21" t="s">
        <v>66</v>
      </c>
    </row>
    <row r="31" spans="1:54" ht="12.75" customHeight="1" x14ac:dyDescent="0.35">
      <c r="A31" s="25" t="s">
        <v>414</v>
      </c>
      <c r="B31" s="25" t="s">
        <v>347</v>
      </c>
      <c r="C31" s="25" t="s">
        <v>368</v>
      </c>
      <c r="D31" s="25" t="s">
        <v>369</v>
      </c>
      <c r="E31" s="25" t="s">
        <v>108</v>
      </c>
      <c r="F31" s="25" t="s">
        <v>370</v>
      </c>
      <c r="G31" s="25" t="s">
        <v>371</v>
      </c>
      <c r="H31" s="25" t="s">
        <v>372</v>
      </c>
      <c r="I31" s="25" t="s">
        <v>160</v>
      </c>
      <c r="J31" s="25" t="s">
        <v>393</v>
      </c>
      <c r="K31" s="25" t="s">
        <v>596</v>
      </c>
      <c r="L31" s="25" t="s">
        <v>57</v>
      </c>
      <c r="M31" s="25" t="s">
        <v>55</v>
      </c>
      <c r="N31" s="25" t="s">
        <v>55</v>
      </c>
      <c r="O31" s="25" t="s">
        <v>374</v>
      </c>
      <c r="P31" s="25" t="s">
        <v>399</v>
      </c>
      <c r="Q31" s="25" t="s">
        <v>415</v>
      </c>
      <c r="R31" s="25" t="s">
        <v>63</v>
      </c>
      <c r="S31" s="25" t="s">
        <v>416</v>
      </c>
      <c r="T31" s="25" t="s">
        <v>417</v>
      </c>
      <c r="U31" s="25" t="s">
        <v>132</v>
      </c>
      <c r="V31" s="26">
        <v>45900</v>
      </c>
      <c r="W31" s="25" t="s">
        <v>55</v>
      </c>
      <c r="X31" s="25" t="s">
        <v>376</v>
      </c>
      <c r="Y31" s="25" t="s">
        <v>65</v>
      </c>
      <c r="Z31" s="25" t="s">
        <v>55</v>
      </c>
      <c r="AA31" s="25" t="s">
        <v>66</v>
      </c>
      <c r="AB31" s="25" t="s">
        <v>118</v>
      </c>
      <c r="AC31" s="25" t="s">
        <v>55</v>
      </c>
      <c r="AD31" s="25" t="s">
        <v>67</v>
      </c>
      <c r="AE31" s="25" t="s">
        <v>257</v>
      </c>
      <c r="AF31" s="25" t="s">
        <v>55</v>
      </c>
      <c r="AG31" s="25" t="s">
        <v>55</v>
      </c>
      <c r="AH31" s="25" t="s">
        <v>55</v>
      </c>
      <c r="AI31" s="25" t="s">
        <v>55</v>
      </c>
      <c r="AJ31" s="25" t="s">
        <v>55</v>
      </c>
      <c r="AK31" s="25" t="s">
        <v>55</v>
      </c>
      <c r="AL31" s="25" t="s">
        <v>55</v>
      </c>
      <c r="AM31" s="25" t="s">
        <v>55</v>
      </c>
      <c r="AN31" s="25" t="s">
        <v>55</v>
      </c>
      <c r="AO31" s="25" t="s">
        <v>55</v>
      </c>
      <c r="AP31" s="25" t="s">
        <v>55</v>
      </c>
      <c r="AQ31" s="25" t="s">
        <v>55</v>
      </c>
      <c r="AR31" s="25" t="s">
        <v>55</v>
      </c>
      <c r="AS31" s="25" t="s">
        <v>55</v>
      </c>
      <c r="AT31" s="25" t="s">
        <v>55</v>
      </c>
      <c r="AU31" s="25" t="s">
        <v>55</v>
      </c>
      <c r="AV31" s="25" t="s">
        <v>55</v>
      </c>
      <c r="AW31" s="26">
        <v>45672</v>
      </c>
      <c r="AX31" s="26">
        <v>45672</v>
      </c>
      <c r="AY31" s="25" t="s">
        <v>377</v>
      </c>
      <c r="AZ31" s="20">
        <f t="shared" si="0"/>
        <v>82</v>
      </c>
      <c r="BA31" s="17" t="str">
        <f t="shared" si="2"/>
        <v>&lt; 3 months</v>
      </c>
      <c r="BB31" s="21" t="s">
        <v>66</v>
      </c>
    </row>
    <row r="32" spans="1:54" ht="12.75" customHeight="1" x14ac:dyDescent="0.35">
      <c r="A32" s="25" t="s">
        <v>418</v>
      </c>
      <c r="B32" s="25" t="s">
        <v>347</v>
      </c>
      <c r="C32" s="25" t="s">
        <v>368</v>
      </c>
      <c r="D32" s="25" t="s">
        <v>369</v>
      </c>
      <c r="E32" s="25" t="s">
        <v>108</v>
      </c>
      <c r="F32" s="25" t="s">
        <v>370</v>
      </c>
      <c r="G32" s="25" t="s">
        <v>371</v>
      </c>
      <c r="H32" s="25" t="s">
        <v>372</v>
      </c>
      <c r="I32" s="25" t="s">
        <v>160</v>
      </c>
      <c r="J32" s="25" t="s">
        <v>393</v>
      </c>
      <c r="K32" s="25" t="s">
        <v>597</v>
      </c>
      <c r="L32" s="25" t="s">
        <v>57</v>
      </c>
      <c r="M32" s="25" t="s">
        <v>55</v>
      </c>
      <c r="N32" s="25" t="s">
        <v>55</v>
      </c>
      <c r="O32" s="25" t="s">
        <v>374</v>
      </c>
      <c r="P32" s="25" t="s">
        <v>419</v>
      </c>
      <c r="Q32" s="25" t="s">
        <v>420</v>
      </c>
      <c r="R32" s="25" t="s">
        <v>63</v>
      </c>
      <c r="S32" s="25" t="s">
        <v>421</v>
      </c>
      <c r="T32" s="25" t="s">
        <v>422</v>
      </c>
      <c r="U32" s="25" t="s">
        <v>132</v>
      </c>
      <c r="V32" s="26">
        <v>45900</v>
      </c>
      <c r="W32" s="25" t="s">
        <v>55</v>
      </c>
      <c r="X32" s="25" t="s">
        <v>376</v>
      </c>
      <c r="Y32" s="25" t="s">
        <v>65</v>
      </c>
      <c r="Z32" s="25" t="s">
        <v>55</v>
      </c>
      <c r="AA32" s="25" t="s">
        <v>66</v>
      </c>
      <c r="AB32" s="25" t="s">
        <v>423</v>
      </c>
      <c r="AC32" s="25" t="s">
        <v>55</v>
      </c>
      <c r="AD32" s="25" t="s">
        <v>67</v>
      </c>
      <c r="AE32" s="25" t="s">
        <v>257</v>
      </c>
      <c r="AF32" s="25" t="s">
        <v>55</v>
      </c>
      <c r="AG32" s="25" t="s">
        <v>55</v>
      </c>
      <c r="AH32" s="25" t="s">
        <v>55</v>
      </c>
      <c r="AI32" s="25" t="s">
        <v>55</v>
      </c>
      <c r="AJ32" s="25" t="s">
        <v>55</v>
      </c>
      <c r="AK32" s="25" t="s">
        <v>55</v>
      </c>
      <c r="AL32" s="25" t="s">
        <v>55</v>
      </c>
      <c r="AM32" s="25" t="s">
        <v>55</v>
      </c>
      <c r="AN32" s="25" t="s">
        <v>55</v>
      </c>
      <c r="AO32" s="25" t="s">
        <v>55</v>
      </c>
      <c r="AP32" s="25" t="s">
        <v>55</v>
      </c>
      <c r="AQ32" s="25" t="s">
        <v>55</v>
      </c>
      <c r="AR32" s="25" t="s">
        <v>55</v>
      </c>
      <c r="AS32" s="25" t="s">
        <v>55</v>
      </c>
      <c r="AT32" s="25" t="s">
        <v>55</v>
      </c>
      <c r="AU32" s="25" t="s">
        <v>55</v>
      </c>
      <c r="AV32" s="25" t="s">
        <v>55</v>
      </c>
      <c r="AW32" s="26">
        <v>45700</v>
      </c>
      <c r="AX32" s="26">
        <v>45700</v>
      </c>
      <c r="AY32" s="25" t="s">
        <v>377</v>
      </c>
      <c r="AZ32" s="20">
        <f t="shared" si="0"/>
        <v>82</v>
      </c>
      <c r="BA32" s="17" t="str">
        <f t="shared" si="2"/>
        <v>&lt; 3 months</v>
      </c>
      <c r="BB32" s="21" t="s">
        <v>66</v>
      </c>
    </row>
    <row r="33" spans="1:54" ht="12.75" customHeight="1" x14ac:dyDescent="0.35">
      <c r="A33" s="25" t="s">
        <v>424</v>
      </c>
      <c r="B33" s="25" t="s">
        <v>347</v>
      </c>
      <c r="C33" s="25" t="s">
        <v>368</v>
      </c>
      <c r="D33" s="25" t="s">
        <v>369</v>
      </c>
      <c r="E33" s="25" t="s">
        <v>52</v>
      </c>
      <c r="F33" s="25" t="s">
        <v>425</v>
      </c>
      <c r="G33" s="25" t="s">
        <v>371</v>
      </c>
      <c r="H33" s="25" t="s">
        <v>372</v>
      </c>
      <c r="I33" s="25" t="s">
        <v>361</v>
      </c>
      <c r="J33" s="25" t="s">
        <v>426</v>
      </c>
      <c r="K33" s="24" t="s">
        <v>591</v>
      </c>
      <c r="L33" s="25" t="s">
        <v>57</v>
      </c>
      <c r="M33" s="25" t="s">
        <v>158</v>
      </c>
      <c r="N33" s="25" t="s">
        <v>55</v>
      </c>
      <c r="O33" s="25" t="s">
        <v>374</v>
      </c>
      <c r="P33" s="25" t="s">
        <v>427</v>
      </c>
      <c r="Q33" s="25" t="s">
        <v>428</v>
      </c>
      <c r="R33" s="25" t="s">
        <v>63</v>
      </c>
      <c r="S33" s="25" t="s">
        <v>429</v>
      </c>
      <c r="T33" s="25" t="s">
        <v>55</v>
      </c>
      <c r="U33" s="25" t="s">
        <v>63</v>
      </c>
      <c r="V33" s="26">
        <v>46022</v>
      </c>
      <c r="W33" s="25" t="s">
        <v>55</v>
      </c>
      <c r="X33" s="25" t="s">
        <v>137</v>
      </c>
      <c r="Y33" s="25" t="s">
        <v>65</v>
      </c>
      <c r="Z33" s="25" t="s">
        <v>55</v>
      </c>
      <c r="AA33" s="25" t="s">
        <v>221</v>
      </c>
      <c r="AB33" s="25" t="s">
        <v>598</v>
      </c>
      <c r="AC33" s="25" t="s">
        <v>55</v>
      </c>
      <c r="AD33" s="25" t="s">
        <v>67</v>
      </c>
      <c r="AE33" s="25" t="s">
        <v>257</v>
      </c>
      <c r="AF33" s="25" t="s">
        <v>69</v>
      </c>
      <c r="AG33" s="25" t="s">
        <v>55</v>
      </c>
      <c r="AH33" s="25" t="s">
        <v>55</v>
      </c>
      <c r="AI33" s="25" t="s">
        <v>55</v>
      </c>
      <c r="AJ33" s="25" t="s">
        <v>55</v>
      </c>
      <c r="AK33" s="25" t="s">
        <v>55</v>
      </c>
      <c r="AL33" s="25" t="s">
        <v>55</v>
      </c>
      <c r="AM33" s="25" t="s">
        <v>55</v>
      </c>
      <c r="AN33" s="25" t="s">
        <v>55</v>
      </c>
      <c r="AO33" s="25" t="s">
        <v>55</v>
      </c>
      <c r="AP33" s="25" t="s">
        <v>55</v>
      </c>
      <c r="AQ33" s="25" t="s">
        <v>55</v>
      </c>
      <c r="AR33" s="25" t="s">
        <v>55</v>
      </c>
      <c r="AS33" s="25" t="s">
        <v>55</v>
      </c>
      <c r="AT33" s="25" t="s">
        <v>55</v>
      </c>
      <c r="AU33" s="25" t="s">
        <v>55</v>
      </c>
      <c r="AV33" s="25" t="s">
        <v>55</v>
      </c>
      <c r="AW33" s="26">
        <v>45717</v>
      </c>
      <c r="AX33" s="26">
        <v>45778</v>
      </c>
      <c r="AY33" s="25" t="s">
        <v>377</v>
      </c>
      <c r="AZ33" s="20">
        <f t="shared" si="0"/>
        <v>-40</v>
      </c>
      <c r="BA33" s="17" t="e">
        <f t="shared" si="2"/>
        <v>#N/A</v>
      </c>
      <c r="BB33" s="21" t="s">
        <v>335</v>
      </c>
    </row>
    <row r="34" spans="1:54" ht="12.75" customHeight="1" x14ac:dyDescent="0.35">
      <c r="A34" s="25" t="s">
        <v>430</v>
      </c>
      <c r="B34" s="25" t="s">
        <v>347</v>
      </c>
      <c r="C34" s="25" t="s">
        <v>368</v>
      </c>
      <c r="D34" s="25" t="s">
        <v>369</v>
      </c>
      <c r="E34" s="25" t="s">
        <v>108</v>
      </c>
      <c r="F34" s="25" t="s">
        <v>425</v>
      </c>
      <c r="G34" s="25" t="s">
        <v>371</v>
      </c>
      <c r="H34" s="25" t="s">
        <v>372</v>
      </c>
      <c r="I34" s="25" t="s">
        <v>361</v>
      </c>
      <c r="J34" s="25" t="s">
        <v>426</v>
      </c>
      <c r="K34" s="24" t="s">
        <v>591</v>
      </c>
      <c r="L34" s="25" t="s">
        <v>57</v>
      </c>
      <c r="M34" s="25" t="s">
        <v>55</v>
      </c>
      <c r="N34" s="25" t="s">
        <v>55</v>
      </c>
      <c r="O34" s="25" t="s">
        <v>374</v>
      </c>
      <c r="P34" s="25" t="s">
        <v>431</v>
      </c>
      <c r="Q34" s="25" t="s">
        <v>432</v>
      </c>
      <c r="R34" s="25" t="s">
        <v>63</v>
      </c>
      <c r="S34" s="25" t="s">
        <v>429</v>
      </c>
      <c r="T34" s="25" t="s">
        <v>55</v>
      </c>
      <c r="U34" s="25" t="s">
        <v>132</v>
      </c>
      <c r="V34" s="26">
        <v>45991</v>
      </c>
      <c r="W34" s="25" t="s">
        <v>55</v>
      </c>
      <c r="X34" s="25" t="s">
        <v>599</v>
      </c>
      <c r="Y34" s="25" t="s">
        <v>65</v>
      </c>
      <c r="Z34" s="25" t="s">
        <v>55</v>
      </c>
      <c r="AA34" s="25" t="s">
        <v>152</v>
      </c>
      <c r="AB34" s="25" t="s">
        <v>598</v>
      </c>
      <c r="AC34" s="25" t="s">
        <v>55</v>
      </c>
      <c r="AD34" s="25" t="s">
        <v>67</v>
      </c>
      <c r="AE34" s="25" t="s">
        <v>257</v>
      </c>
      <c r="AF34" s="25" t="s">
        <v>55</v>
      </c>
      <c r="AG34" s="25" t="s">
        <v>55</v>
      </c>
      <c r="AH34" s="25" t="s">
        <v>55</v>
      </c>
      <c r="AI34" s="25" t="s">
        <v>55</v>
      </c>
      <c r="AJ34" s="25" t="s">
        <v>55</v>
      </c>
      <c r="AK34" s="25" t="s">
        <v>55</v>
      </c>
      <c r="AL34" s="25" t="s">
        <v>55</v>
      </c>
      <c r="AM34" s="25" t="s">
        <v>55</v>
      </c>
      <c r="AN34" s="25" t="s">
        <v>55</v>
      </c>
      <c r="AO34" s="25" t="s">
        <v>55</v>
      </c>
      <c r="AP34" s="25" t="s">
        <v>55</v>
      </c>
      <c r="AQ34" s="25" t="s">
        <v>55</v>
      </c>
      <c r="AR34" s="25" t="s">
        <v>55</v>
      </c>
      <c r="AS34" s="25" t="s">
        <v>55</v>
      </c>
      <c r="AT34" s="25" t="s">
        <v>55</v>
      </c>
      <c r="AU34" s="25" t="s">
        <v>55</v>
      </c>
      <c r="AV34" s="25" t="s">
        <v>55</v>
      </c>
      <c r="AW34" s="26">
        <v>45717</v>
      </c>
      <c r="AX34" s="26">
        <v>45778</v>
      </c>
      <c r="AY34" s="25" t="s">
        <v>377</v>
      </c>
      <c r="AZ34" s="20">
        <f t="shared" si="0"/>
        <v>-9</v>
      </c>
      <c r="BA34" s="17" t="e">
        <f t="shared" si="2"/>
        <v>#N/A</v>
      </c>
      <c r="BB34" s="21" t="s">
        <v>335</v>
      </c>
    </row>
    <row r="35" spans="1:54" ht="12.75" customHeight="1" x14ac:dyDescent="0.35">
      <c r="A35" s="25" t="s">
        <v>433</v>
      </c>
      <c r="B35" s="25" t="s">
        <v>347</v>
      </c>
      <c r="C35" s="25" t="s">
        <v>368</v>
      </c>
      <c r="D35" s="25" t="s">
        <v>369</v>
      </c>
      <c r="E35" s="25" t="s">
        <v>108</v>
      </c>
      <c r="F35" s="25" t="s">
        <v>425</v>
      </c>
      <c r="G35" s="25" t="s">
        <v>371</v>
      </c>
      <c r="H35" s="25" t="s">
        <v>372</v>
      </c>
      <c r="I35" s="25" t="s">
        <v>361</v>
      </c>
      <c r="J35" s="25" t="s">
        <v>426</v>
      </c>
      <c r="K35" s="24" t="s">
        <v>591</v>
      </c>
      <c r="L35" s="25" t="s">
        <v>57</v>
      </c>
      <c r="M35" s="25" t="s">
        <v>55</v>
      </c>
      <c r="N35" s="25" t="s">
        <v>55</v>
      </c>
      <c r="O35" s="25" t="s">
        <v>374</v>
      </c>
      <c r="P35" s="25" t="s">
        <v>434</v>
      </c>
      <c r="Q35" s="25" t="s">
        <v>435</v>
      </c>
      <c r="R35" s="25" t="s">
        <v>63</v>
      </c>
      <c r="S35" s="25" t="s">
        <v>429</v>
      </c>
      <c r="T35" s="25" t="s">
        <v>55</v>
      </c>
      <c r="U35" s="25" t="s">
        <v>132</v>
      </c>
      <c r="V35" s="26">
        <v>46143</v>
      </c>
      <c r="W35" s="25" t="s">
        <v>55</v>
      </c>
      <c r="X35" s="25" t="s">
        <v>599</v>
      </c>
      <c r="Y35" s="25" t="s">
        <v>65</v>
      </c>
      <c r="Z35" s="25" t="s">
        <v>55</v>
      </c>
      <c r="AA35" s="25" t="s">
        <v>155</v>
      </c>
      <c r="AB35" s="25" t="s">
        <v>598</v>
      </c>
      <c r="AC35" s="25" t="s">
        <v>55</v>
      </c>
      <c r="AD35" s="25" t="s">
        <v>67</v>
      </c>
      <c r="AE35" s="25" t="s">
        <v>257</v>
      </c>
      <c r="AF35" s="25" t="s">
        <v>55</v>
      </c>
      <c r="AG35" s="25" t="s">
        <v>55</v>
      </c>
      <c r="AH35" s="25" t="s">
        <v>55</v>
      </c>
      <c r="AI35" s="25" t="s">
        <v>55</v>
      </c>
      <c r="AJ35" s="25" t="s">
        <v>55</v>
      </c>
      <c r="AK35" s="25" t="s">
        <v>55</v>
      </c>
      <c r="AL35" s="25" t="s">
        <v>55</v>
      </c>
      <c r="AM35" s="25" t="s">
        <v>55</v>
      </c>
      <c r="AN35" s="25" t="s">
        <v>55</v>
      </c>
      <c r="AO35" s="25" t="s">
        <v>55</v>
      </c>
      <c r="AP35" s="25" t="s">
        <v>55</v>
      </c>
      <c r="AQ35" s="25" t="s">
        <v>55</v>
      </c>
      <c r="AR35" s="25" t="s">
        <v>55</v>
      </c>
      <c r="AS35" s="25" t="s">
        <v>55</v>
      </c>
      <c r="AT35" s="25" t="s">
        <v>55</v>
      </c>
      <c r="AU35" s="25" t="s">
        <v>55</v>
      </c>
      <c r="AV35" s="25" t="s">
        <v>55</v>
      </c>
      <c r="AW35" s="26">
        <v>45717</v>
      </c>
      <c r="AX35" s="26">
        <v>45778</v>
      </c>
      <c r="AY35" s="25" t="s">
        <v>377</v>
      </c>
      <c r="AZ35" s="20">
        <f t="shared" si="0"/>
        <v>-161</v>
      </c>
      <c r="BA35" s="17" t="e">
        <f t="shared" si="2"/>
        <v>#N/A</v>
      </c>
      <c r="BB35" s="21" t="s">
        <v>335</v>
      </c>
    </row>
    <row r="36" spans="1:54" ht="12.75" customHeight="1" x14ac:dyDescent="0.35">
      <c r="A36" s="25" t="s">
        <v>437</v>
      </c>
      <c r="B36" s="25" t="s">
        <v>347</v>
      </c>
      <c r="C36" s="25" t="s">
        <v>368</v>
      </c>
      <c r="D36" s="25" t="s">
        <v>369</v>
      </c>
      <c r="E36" s="25" t="s">
        <v>108</v>
      </c>
      <c r="F36" s="25" t="s">
        <v>370</v>
      </c>
      <c r="G36" s="25" t="s">
        <v>371</v>
      </c>
      <c r="H36" s="25" t="s">
        <v>372</v>
      </c>
      <c r="I36" s="25" t="s">
        <v>160</v>
      </c>
      <c r="J36" s="25" t="s">
        <v>436</v>
      </c>
      <c r="K36" s="25" t="s">
        <v>593</v>
      </c>
      <c r="L36" s="25" t="s">
        <v>103</v>
      </c>
      <c r="M36" s="25" t="s">
        <v>55</v>
      </c>
      <c r="N36" s="25" t="s">
        <v>55</v>
      </c>
      <c r="O36" s="25" t="s">
        <v>374</v>
      </c>
      <c r="P36" s="25" t="s">
        <v>438</v>
      </c>
      <c r="Q36" s="25" t="s">
        <v>439</v>
      </c>
      <c r="R36" s="25" t="s">
        <v>63</v>
      </c>
      <c r="S36" s="25" t="s">
        <v>440</v>
      </c>
      <c r="T36" s="25" t="s">
        <v>441</v>
      </c>
      <c r="U36" s="25" t="s">
        <v>132</v>
      </c>
      <c r="V36" s="26">
        <v>45900</v>
      </c>
      <c r="W36" s="25" t="s">
        <v>55</v>
      </c>
      <c r="X36" s="25" t="s">
        <v>376</v>
      </c>
      <c r="Y36" s="25" t="s">
        <v>65</v>
      </c>
      <c r="Z36" s="25" t="s">
        <v>55</v>
      </c>
      <c r="AA36" s="25" t="s">
        <v>66</v>
      </c>
      <c r="AB36" s="25" t="s">
        <v>1717</v>
      </c>
      <c r="AC36" s="25" t="s">
        <v>55</v>
      </c>
      <c r="AD36" s="25" t="s">
        <v>67</v>
      </c>
      <c r="AE36" s="25" t="s">
        <v>257</v>
      </c>
      <c r="AF36" s="25" t="s">
        <v>55</v>
      </c>
      <c r="AG36" s="25" t="s">
        <v>55</v>
      </c>
      <c r="AH36" s="25" t="s">
        <v>55</v>
      </c>
      <c r="AI36" s="25" t="s">
        <v>55</v>
      </c>
      <c r="AJ36" s="25" t="s">
        <v>55</v>
      </c>
      <c r="AK36" s="25" t="s">
        <v>55</v>
      </c>
      <c r="AL36" s="25" t="s">
        <v>55</v>
      </c>
      <c r="AM36" s="25" t="s">
        <v>55</v>
      </c>
      <c r="AN36" s="25" t="s">
        <v>55</v>
      </c>
      <c r="AO36" s="25" t="s">
        <v>55</v>
      </c>
      <c r="AP36" s="25" t="s">
        <v>55</v>
      </c>
      <c r="AQ36" s="25" t="s">
        <v>55</v>
      </c>
      <c r="AR36" s="25" t="s">
        <v>55</v>
      </c>
      <c r="AS36" s="25" t="s">
        <v>55</v>
      </c>
      <c r="AT36" s="25" t="s">
        <v>55</v>
      </c>
      <c r="AU36" s="25" t="s">
        <v>55</v>
      </c>
      <c r="AV36" s="25" t="s">
        <v>55</v>
      </c>
      <c r="AW36" s="26">
        <v>45713</v>
      </c>
      <c r="AX36" s="26">
        <v>45714</v>
      </c>
      <c r="AY36" s="25" t="s">
        <v>377</v>
      </c>
      <c r="AZ36" s="20">
        <f t="shared" si="0"/>
        <v>82</v>
      </c>
      <c r="BA36" s="17" t="str">
        <f t="shared" si="2"/>
        <v>&lt; 3 months</v>
      </c>
      <c r="BB36" s="21" t="s">
        <v>66</v>
      </c>
    </row>
    <row r="37" spans="1:54" ht="12.75" customHeight="1" x14ac:dyDescent="0.35">
      <c r="A37" s="25" t="s">
        <v>442</v>
      </c>
      <c r="B37" s="25" t="s">
        <v>347</v>
      </c>
      <c r="C37" s="25" t="s">
        <v>368</v>
      </c>
      <c r="D37" s="25" t="s">
        <v>369</v>
      </c>
      <c r="E37" s="25" t="s">
        <v>52</v>
      </c>
      <c r="F37" s="25" t="s">
        <v>370</v>
      </c>
      <c r="G37" s="25" t="s">
        <v>371</v>
      </c>
      <c r="H37" s="25" t="s">
        <v>372</v>
      </c>
      <c r="I37" s="25" t="s">
        <v>160</v>
      </c>
      <c r="J37" s="25" t="s">
        <v>436</v>
      </c>
      <c r="K37" s="25" t="s">
        <v>572</v>
      </c>
      <c r="L37" s="25" t="s">
        <v>57</v>
      </c>
      <c r="M37" s="25" t="s">
        <v>161</v>
      </c>
      <c r="N37" s="25" t="s">
        <v>55</v>
      </c>
      <c r="O37" s="25" t="s">
        <v>374</v>
      </c>
      <c r="P37" s="25" t="s">
        <v>443</v>
      </c>
      <c r="Q37" s="25" t="s">
        <v>444</v>
      </c>
      <c r="R37" s="25" t="s">
        <v>63</v>
      </c>
      <c r="S37" s="25" t="s">
        <v>445</v>
      </c>
      <c r="T37" s="25" t="s">
        <v>446</v>
      </c>
      <c r="U37" s="25" t="s">
        <v>63</v>
      </c>
      <c r="V37" s="26">
        <v>45900</v>
      </c>
      <c r="W37" s="25" t="s">
        <v>55</v>
      </c>
      <c r="X37" s="25" t="s">
        <v>376</v>
      </c>
      <c r="Y37" s="25" t="s">
        <v>65</v>
      </c>
      <c r="Z37" s="25" t="s">
        <v>55</v>
      </c>
      <c r="AA37" s="25" t="s">
        <v>66</v>
      </c>
      <c r="AB37" s="25" t="s">
        <v>118</v>
      </c>
      <c r="AC37" s="25" t="s">
        <v>55</v>
      </c>
      <c r="AD37" s="25" t="s">
        <v>67</v>
      </c>
      <c r="AE37" s="25" t="s">
        <v>257</v>
      </c>
      <c r="AF37" s="25" t="s">
        <v>69</v>
      </c>
      <c r="AG37" s="25" t="s">
        <v>55</v>
      </c>
      <c r="AH37" s="25" t="s">
        <v>55</v>
      </c>
      <c r="AI37" s="25" t="s">
        <v>55</v>
      </c>
      <c r="AJ37" s="25" t="s">
        <v>55</v>
      </c>
      <c r="AK37" s="25" t="s">
        <v>55</v>
      </c>
      <c r="AL37" s="25" t="s">
        <v>55</v>
      </c>
      <c r="AM37" s="25" t="s">
        <v>55</v>
      </c>
      <c r="AN37" s="25" t="s">
        <v>55</v>
      </c>
      <c r="AO37" s="25" t="s">
        <v>55</v>
      </c>
      <c r="AP37" s="25" t="s">
        <v>55</v>
      </c>
      <c r="AQ37" s="25" t="s">
        <v>55</v>
      </c>
      <c r="AR37" s="25" t="s">
        <v>55</v>
      </c>
      <c r="AS37" s="25" t="s">
        <v>55</v>
      </c>
      <c r="AT37" s="25" t="s">
        <v>55</v>
      </c>
      <c r="AU37" s="25" t="s">
        <v>55</v>
      </c>
      <c r="AV37" s="25" t="s">
        <v>55</v>
      </c>
      <c r="AW37" s="26">
        <v>45713</v>
      </c>
      <c r="AX37" s="26">
        <v>45714</v>
      </c>
      <c r="AY37" s="25" t="s">
        <v>377</v>
      </c>
      <c r="AZ37" s="20">
        <f t="shared" si="0"/>
        <v>82</v>
      </c>
      <c r="BA37" s="17" t="str">
        <f t="shared" si="2"/>
        <v>&lt; 3 months</v>
      </c>
      <c r="BB37" s="21" t="s">
        <v>66</v>
      </c>
    </row>
    <row r="38" spans="1:54" ht="12.75" customHeight="1" x14ac:dyDescent="0.35">
      <c r="A38" s="25" t="s">
        <v>447</v>
      </c>
      <c r="B38" s="25" t="s">
        <v>347</v>
      </c>
      <c r="C38" s="25" t="s">
        <v>368</v>
      </c>
      <c r="D38" s="25" t="s">
        <v>369</v>
      </c>
      <c r="E38" s="25" t="s">
        <v>108</v>
      </c>
      <c r="F38" s="25" t="s">
        <v>448</v>
      </c>
      <c r="G38" s="25" t="s">
        <v>94</v>
      </c>
      <c r="H38" s="25" t="s">
        <v>449</v>
      </c>
      <c r="I38" s="25" t="s">
        <v>361</v>
      </c>
      <c r="J38" s="25" t="s">
        <v>450</v>
      </c>
      <c r="K38" s="25" t="s">
        <v>601</v>
      </c>
      <c r="L38" s="25" t="s">
        <v>103</v>
      </c>
      <c r="M38" s="25" t="s">
        <v>55</v>
      </c>
      <c r="N38" s="25" t="s">
        <v>55</v>
      </c>
      <c r="O38" s="25" t="s">
        <v>374</v>
      </c>
      <c r="P38" s="25" t="s">
        <v>451</v>
      </c>
      <c r="Q38" s="25" t="s">
        <v>452</v>
      </c>
      <c r="R38" s="25" t="s">
        <v>63</v>
      </c>
      <c r="S38" s="25" t="s">
        <v>453</v>
      </c>
      <c r="T38" s="25" t="s">
        <v>55</v>
      </c>
      <c r="U38" s="25" t="s">
        <v>132</v>
      </c>
      <c r="V38" s="26">
        <v>45900</v>
      </c>
      <c r="W38" s="25" t="s">
        <v>55</v>
      </c>
      <c r="X38" s="25" t="s">
        <v>454</v>
      </c>
      <c r="Y38" s="25" t="s">
        <v>65</v>
      </c>
      <c r="Z38" s="25" t="s">
        <v>55</v>
      </c>
      <c r="AA38" s="25" t="s">
        <v>66</v>
      </c>
      <c r="AB38" s="25" t="s">
        <v>55</v>
      </c>
      <c r="AC38" s="25" t="s">
        <v>55</v>
      </c>
      <c r="AD38" s="25" t="s">
        <v>67</v>
      </c>
      <c r="AE38" s="25" t="s">
        <v>257</v>
      </c>
      <c r="AF38" s="25" t="s">
        <v>55</v>
      </c>
      <c r="AG38" s="25" t="s">
        <v>55</v>
      </c>
      <c r="AH38" s="25" t="s">
        <v>55</v>
      </c>
      <c r="AI38" s="25" t="s">
        <v>55</v>
      </c>
      <c r="AJ38" s="25" t="s">
        <v>55</v>
      </c>
      <c r="AK38" s="25" t="s">
        <v>55</v>
      </c>
      <c r="AL38" s="25" t="s">
        <v>55</v>
      </c>
      <c r="AM38" s="25" t="s">
        <v>55</v>
      </c>
      <c r="AN38" s="25" t="s">
        <v>55</v>
      </c>
      <c r="AO38" s="25" t="s">
        <v>55</v>
      </c>
      <c r="AP38" s="25" t="s">
        <v>55</v>
      </c>
      <c r="AQ38" s="25" t="s">
        <v>55</v>
      </c>
      <c r="AR38" s="25" t="s">
        <v>55</v>
      </c>
      <c r="AS38" s="25" t="s">
        <v>55</v>
      </c>
      <c r="AT38" s="25" t="s">
        <v>55</v>
      </c>
      <c r="AU38" s="25" t="s">
        <v>55</v>
      </c>
      <c r="AV38" s="25" t="s">
        <v>55</v>
      </c>
      <c r="AW38" s="26">
        <v>45670</v>
      </c>
      <c r="AX38" s="26">
        <v>45672</v>
      </c>
      <c r="AY38" s="25" t="s">
        <v>377</v>
      </c>
      <c r="AZ38" s="20">
        <f t="shared" si="0"/>
        <v>82</v>
      </c>
      <c r="BA38" s="17" t="str">
        <f t="shared" si="2"/>
        <v>&lt; 3 months</v>
      </c>
      <c r="BB38" s="21" t="s">
        <v>66</v>
      </c>
    </row>
    <row r="39" spans="1:54" ht="12.75" customHeight="1" x14ac:dyDescent="0.35">
      <c r="A39" s="25" t="s">
        <v>455</v>
      </c>
      <c r="B39" s="25" t="s">
        <v>347</v>
      </c>
      <c r="C39" s="25" t="s">
        <v>368</v>
      </c>
      <c r="D39" s="25" t="s">
        <v>369</v>
      </c>
      <c r="E39" s="25" t="s">
        <v>52</v>
      </c>
      <c r="F39" s="25" t="s">
        <v>448</v>
      </c>
      <c r="G39" s="25" t="s">
        <v>94</v>
      </c>
      <c r="H39" s="25" t="s">
        <v>449</v>
      </c>
      <c r="I39" s="25" t="s">
        <v>361</v>
      </c>
      <c r="J39" s="25" t="s">
        <v>450</v>
      </c>
      <c r="K39" s="25" t="s">
        <v>600</v>
      </c>
      <c r="L39" s="25" t="s">
        <v>57</v>
      </c>
      <c r="M39" s="25" t="s">
        <v>58</v>
      </c>
      <c r="N39" s="25" t="s">
        <v>55</v>
      </c>
      <c r="O39" s="25" t="s">
        <v>374</v>
      </c>
      <c r="P39" s="25" t="s">
        <v>456</v>
      </c>
      <c r="Q39" s="25" t="s">
        <v>457</v>
      </c>
      <c r="R39" s="25" t="s">
        <v>63</v>
      </c>
      <c r="S39" s="25" t="s">
        <v>458</v>
      </c>
      <c r="T39" s="25" t="s">
        <v>55</v>
      </c>
      <c r="U39" s="25" t="s">
        <v>132</v>
      </c>
      <c r="V39" s="26">
        <v>45900</v>
      </c>
      <c r="W39" s="25" t="s">
        <v>55</v>
      </c>
      <c r="X39" s="25" t="s">
        <v>454</v>
      </c>
      <c r="Y39" s="25" t="s">
        <v>65</v>
      </c>
      <c r="Z39" s="25" t="s">
        <v>55</v>
      </c>
      <c r="AA39" s="25" t="s">
        <v>66</v>
      </c>
      <c r="AB39" s="25" t="s">
        <v>55</v>
      </c>
      <c r="AC39" s="25" t="s">
        <v>55</v>
      </c>
      <c r="AD39" s="25" t="s">
        <v>67</v>
      </c>
      <c r="AE39" s="25" t="s">
        <v>257</v>
      </c>
      <c r="AF39" s="25" t="s">
        <v>69</v>
      </c>
      <c r="AG39" s="25" t="s">
        <v>55</v>
      </c>
      <c r="AH39" s="25" t="s">
        <v>55</v>
      </c>
      <c r="AI39" s="25" t="s">
        <v>55</v>
      </c>
      <c r="AJ39" s="25" t="s">
        <v>55</v>
      </c>
      <c r="AK39" s="25" t="s">
        <v>55</v>
      </c>
      <c r="AL39" s="25" t="s">
        <v>55</v>
      </c>
      <c r="AM39" s="25" t="s">
        <v>55</v>
      </c>
      <c r="AN39" s="25" t="s">
        <v>55</v>
      </c>
      <c r="AO39" s="25" t="s">
        <v>55</v>
      </c>
      <c r="AP39" s="25" t="s">
        <v>55</v>
      </c>
      <c r="AQ39" s="25" t="s">
        <v>55</v>
      </c>
      <c r="AR39" s="25" t="s">
        <v>55</v>
      </c>
      <c r="AS39" s="25" t="s">
        <v>55</v>
      </c>
      <c r="AT39" s="25" t="s">
        <v>55</v>
      </c>
      <c r="AU39" s="25" t="s">
        <v>55</v>
      </c>
      <c r="AV39" s="25" t="s">
        <v>55</v>
      </c>
      <c r="AW39" s="26">
        <v>45670</v>
      </c>
      <c r="AX39" s="26">
        <v>45672</v>
      </c>
      <c r="AY39" s="25" t="s">
        <v>377</v>
      </c>
      <c r="AZ39" s="20">
        <f t="shared" si="0"/>
        <v>82</v>
      </c>
      <c r="BA39" s="17" t="str">
        <f t="shared" si="2"/>
        <v>&lt; 3 months</v>
      </c>
      <c r="BB39" s="21" t="s">
        <v>66</v>
      </c>
    </row>
    <row r="40" spans="1:54" ht="12.75" customHeight="1" x14ac:dyDescent="0.35">
      <c r="A40" s="25" t="s">
        <v>459</v>
      </c>
      <c r="B40" s="25" t="s">
        <v>347</v>
      </c>
      <c r="C40" s="25" t="s">
        <v>368</v>
      </c>
      <c r="D40" s="25" t="s">
        <v>369</v>
      </c>
      <c r="E40" s="25" t="s">
        <v>52</v>
      </c>
      <c r="F40" s="25" t="s">
        <v>370</v>
      </c>
      <c r="G40" s="25" t="s">
        <v>371</v>
      </c>
      <c r="H40" s="25" t="s">
        <v>372</v>
      </c>
      <c r="I40" s="25" t="s">
        <v>160</v>
      </c>
      <c r="J40" s="25" t="s">
        <v>373</v>
      </c>
      <c r="K40" s="25" t="s">
        <v>597</v>
      </c>
      <c r="L40" s="25" t="s">
        <v>103</v>
      </c>
      <c r="M40" s="25" t="s">
        <v>311</v>
      </c>
      <c r="N40" s="25" t="s">
        <v>55</v>
      </c>
      <c r="O40" s="25" t="s">
        <v>374</v>
      </c>
      <c r="P40" s="25" t="s">
        <v>460</v>
      </c>
      <c r="Q40" s="25" t="s">
        <v>461</v>
      </c>
      <c r="R40" s="25" t="s">
        <v>63</v>
      </c>
      <c r="S40" s="25" t="s">
        <v>460</v>
      </c>
      <c r="T40" s="25" t="s">
        <v>462</v>
      </c>
      <c r="U40" s="25" t="s">
        <v>132</v>
      </c>
      <c r="V40" s="26">
        <v>45900</v>
      </c>
      <c r="W40" s="25" t="s">
        <v>55</v>
      </c>
      <c r="X40" s="25" t="s">
        <v>376</v>
      </c>
      <c r="Y40" s="25" t="s">
        <v>65</v>
      </c>
      <c r="Z40" s="25" t="s">
        <v>55</v>
      </c>
      <c r="AA40" s="25" t="s">
        <v>66</v>
      </c>
      <c r="AB40" s="25" t="s">
        <v>463</v>
      </c>
      <c r="AC40" s="25" t="s">
        <v>55</v>
      </c>
      <c r="AD40" s="25" t="s">
        <v>67</v>
      </c>
      <c r="AE40" s="25" t="s">
        <v>257</v>
      </c>
      <c r="AF40" s="25" t="s">
        <v>220</v>
      </c>
      <c r="AG40" s="25" t="s">
        <v>55</v>
      </c>
      <c r="AH40" s="25" t="s">
        <v>55</v>
      </c>
      <c r="AI40" s="25" t="s">
        <v>55</v>
      </c>
      <c r="AJ40" s="25" t="s">
        <v>55</v>
      </c>
      <c r="AK40" s="25" t="s">
        <v>55</v>
      </c>
      <c r="AL40" s="25" t="s">
        <v>55</v>
      </c>
      <c r="AM40" s="25" t="s">
        <v>55</v>
      </c>
      <c r="AN40" s="25" t="s">
        <v>55</v>
      </c>
      <c r="AO40" s="25" t="s">
        <v>55</v>
      </c>
      <c r="AP40" s="25" t="s">
        <v>55</v>
      </c>
      <c r="AQ40" s="25" t="s">
        <v>55</v>
      </c>
      <c r="AR40" s="25" t="s">
        <v>55</v>
      </c>
      <c r="AS40" s="25" t="s">
        <v>55</v>
      </c>
      <c r="AT40" s="25" t="s">
        <v>55</v>
      </c>
      <c r="AU40" s="25" t="s">
        <v>55</v>
      </c>
      <c r="AV40" s="25" t="s">
        <v>55</v>
      </c>
      <c r="AW40" s="26">
        <v>45660</v>
      </c>
      <c r="AX40" s="26">
        <v>45660</v>
      </c>
      <c r="AY40" s="25" t="s">
        <v>377</v>
      </c>
      <c r="AZ40" s="20">
        <f t="shared" si="0"/>
        <v>82</v>
      </c>
      <c r="BA40" s="17" t="str">
        <f t="shared" si="2"/>
        <v>&lt; 3 months</v>
      </c>
      <c r="BB40" s="21" t="s">
        <v>66</v>
      </c>
    </row>
    <row r="41" spans="1:54" ht="12.75" customHeight="1" x14ac:dyDescent="0.35">
      <c r="A41" s="25" t="s">
        <v>464</v>
      </c>
      <c r="B41" s="25" t="s">
        <v>347</v>
      </c>
      <c r="C41" s="25" t="s">
        <v>51</v>
      </c>
      <c r="D41" s="25" t="s">
        <v>465</v>
      </c>
      <c r="E41" s="25" t="s">
        <v>52</v>
      </c>
      <c r="F41" s="25" t="s">
        <v>466</v>
      </c>
      <c r="G41" s="25" t="s">
        <v>54</v>
      </c>
      <c r="H41" s="25" t="s">
        <v>1712</v>
      </c>
      <c r="I41" s="25" t="s">
        <v>121</v>
      </c>
      <c r="J41" s="25" t="s">
        <v>467</v>
      </c>
      <c r="K41" s="25" t="s">
        <v>564</v>
      </c>
      <c r="L41" s="25" t="s">
        <v>103</v>
      </c>
      <c r="M41" s="25" t="s">
        <v>154</v>
      </c>
      <c r="N41" s="25" t="s">
        <v>55</v>
      </c>
      <c r="O41" s="25" t="s">
        <v>468</v>
      </c>
      <c r="P41" s="25" t="s">
        <v>469</v>
      </c>
      <c r="Q41" s="25" t="s">
        <v>470</v>
      </c>
      <c r="R41" s="25" t="s">
        <v>132</v>
      </c>
      <c r="S41" s="25" t="s">
        <v>471</v>
      </c>
      <c r="T41" s="25" t="s">
        <v>472</v>
      </c>
      <c r="U41" s="25" t="s">
        <v>63</v>
      </c>
      <c r="V41" s="26">
        <v>45930</v>
      </c>
      <c r="W41" s="25" t="s">
        <v>55</v>
      </c>
      <c r="X41" s="25" t="s">
        <v>473</v>
      </c>
      <c r="Y41" s="25" t="s">
        <v>65</v>
      </c>
      <c r="Z41" s="26">
        <v>46022</v>
      </c>
      <c r="AA41" s="25" t="s">
        <v>66</v>
      </c>
      <c r="AB41" s="25" t="s">
        <v>864</v>
      </c>
      <c r="AC41" s="25" t="s">
        <v>55</v>
      </c>
      <c r="AD41" s="25" t="s">
        <v>67</v>
      </c>
      <c r="AE41" s="25" t="s">
        <v>257</v>
      </c>
      <c r="AF41" s="25" t="s">
        <v>156</v>
      </c>
      <c r="AG41" s="25" t="s">
        <v>55</v>
      </c>
      <c r="AH41" s="25" t="s">
        <v>55</v>
      </c>
      <c r="AI41" s="25" t="s">
        <v>55</v>
      </c>
      <c r="AJ41" s="25" t="s">
        <v>55</v>
      </c>
      <c r="AK41" s="25" t="s">
        <v>55</v>
      </c>
      <c r="AL41" s="25" t="s">
        <v>55</v>
      </c>
      <c r="AM41" s="25" t="s">
        <v>55</v>
      </c>
      <c r="AN41" s="25" t="s">
        <v>55</v>
      </c>
      <c r="AO41" s="25" t="s">
        <v>55</v>
      </c>
      <c r="AP41" s="25" t="s">
        <v>55</v>
      </c>
      <c r="AQ41" s="25" t="s">
        <v>55</v>
      </c>
      <c r="AR41" s="25" t="s">
        <v>55</v>
      </c>
      <c r="AS41" s="25" t="s">
        <v>55</v>
      </c>
      <c r="AT41" s="25" t="s">
        <v>55</v>
      </c>
      <c r="AU41" s="25" t="s">
        <v>55</v>
      </c>
      <c r="AV41" s="25" t="s">
        <v>55</v>
      </c>
      <c r="AW41" s="26">
        <v>45777</v>
      </c>
      <c r="AX41" s="26">
        <v>45867</v>
      </c>
      <c r="AY41" s="25" t="s">
        <v>377</v>
      </c>
      <c r="AZ41" s="20">
        <f t="shared" si="0"/>
        <v>52</v>
      </c>
      <c r="BA41" s="17" t="str">
        <f t="shared" si="2"/>
        <v>&lt; 3 months</v>
      </c>
      <c r="BB41" s="21" t="s">
        <v>66</v>
      </c>
    </row>
    <row r="42" spans="1:54" ht="12.75" customHeight="1" x14ac:dyDescent="0.35">
      <c r="A42" s="25" t="s">
        <v>478</v>
      </c>
      <c r="B42" s="25" t="s">
        <v>347</v>
      </c>
      <c r="C42" s="25" t="s">
        <v>51</v>
      </c>
      <c r="D42" s="25" t="s">
        <v>465</v>
      </c>
      <c r="E42" s="25" t="s">
        <v>52</v>
      </c>
      <c r="F42" s="25" t="s">
        <v>466</v>
      </c>
      <c r="G42" s="25" t="s">
        <v>54</v>
      </c>
      <c r="H42" s="25" t="s">
        <v>1712</v>
      </c>
      <c r="I42" s="25" t="s">
        <v>361</v>
      </c>
      <c r="J42" s="25" t="s">
        <v>475</v>
      </c>
      <c r="K42" s="25" t="s">
        <v>572</v>
      </c>
      <c r="L42" s="25" t="s">
        <v>103</v>
      </c>
      <c r="M42" s="25" t="s">
        <v>252</v>
      </c>
      <c r="N42" s="25" t="s">
        <v>55</v>
      </c>
      <c r="O42" s="25" t="s">
        <v>468</v>
      </c>
      <c r="P42" s="25" t="s">
        <v>479</v>
      </c>
      <c r="Q42" s="25" t="s">
        <v>480</v>
      </c>
      <c r="R42" s="25" t="s">
        <v>55</v>
      </c>
      <c r="S42" s="25" t="s">
        <v>481</v>
      </c>
      <c r="T42" s="25" t="s">
        <v>482</v>
      </c>
      <c r="U42" s="25" t="s">
        <v>63</v>
      </c>
      <c r="V42" s="26">
        <v>45930</v>
      </c>
      <c r="W42" s="25" t="s">
        <v>55</v>
      </c>
      <c r="X42" s="25" t="s">
        <v>55</v>
      </c>
      <c r="Y42" s="25" t="s">
        <v>65</v>
      </c>
      <c r="Z42" s="25" t="s">
        <v>55</v>
      </c>
      <c r="AA42" s="25" t="s">
        <v>66</v>
      </c>
      <c r="AB42" s="25" t="s">
        <v>865</v>
      </c>
      <c r="AC42" s="25" t="s">
        <v>55</v>
      </c>
      <c r="AD42" s="25" t="s">
        <v>67</v>
      </c>
      <c r="AE42" s="25" t="s">
        <v>257</v>
      </c>
      <c r="AF42" s="25" t="s">
        <v>98</v>
      </c>
      <c r="AG42" s="25" t="s">
        <v>55</v>
      </c>
      <c r="AH42" s="25" t="s">
        <v>55</v>
      </c>
      <c r="AI42" s="25" t="s">
        <v>55</v>
      </c>
      <c r="AJ42" s="25" t="s">
        <v>55</v>
      </c>
      <c r="AK42" s="25" t="s">
        <v>55</v>
      </c>
      <c r="AL42" s="25" t="s">
        <v>55</v>
      </c>
      <c r="AM42" s="25" t="s">
        <v>55</v>
      </c>
      <c r="AN42" s="25" t="s">
        <v>55</v>
      </c>
      <c r="AO42" s="25" t="s">
        <v>55</v>
      </c>
      <c r="AP42" s="25" t="s">
        <v>55</v>
      </c>
      <c r="AQ42" s="25" t="s">
        <v>55</v>
      </c>
      <c r="AR42" s="25" t="s">
        <v>55</v>
      </c>
      <c r="AS42" s="25" t="s">
        <v>55</v>
      </c>
      <c r="AT42" s="25" t="s">
        <v>55</v>
      </c>
      <c r="AU42" s="25" t="s">
        <v>55</v>
      </c>
      <c r="AV42" s="25" t="s">
        <v>55</v>
      </c>
      <c r="AW42" s="26">
        <v>45777</v>
      </c>
      <c r="AX42" s="26">
        <v>45867</v>
      </c>
      <c r="AY42" s="25" t="s">
        <v>377</v>
      </c>
      <c r="AZ42" s="20">
        <f t="shared" si="0"/>
        <v>52</v>
      </c>
      <c r="BA42" s="17" t="str">
        <f t="shared" si="2"/>
        <v>&lt; 3 months</v>
      </c>
      <c r="BB42" s="21" t="s">
        <v>66</v>
      </c>
    </row>
    <row r="43" spans="1:54" ht="12.75" customHeight="1" x14ac:dyDescent="0.35">
      <c r="A43" s="25" t="s">
        <v>483</v>
      </c>
      <c r="B43" s="25" t="s">
        <v>347</v>
      </c>
      <c r="C43" s="25" t="s">
        <v>51</v>
      </c>
      <c r="D43" s="25" t="s">
        <v>465</v>
      </c>
      <c r="E43" s="25" t="s">
        <v>108</v>
      </c>
      <c r="F43" s="25" t="s">
        <v>466</v>
      </c>
      <c r="G43" s="25" t="s">
        <v>54</v>
      </c>
      <c r="H43" s="25" t="s">
        <v>1712</v>
      </c>
      <c r="I43" s="25" t="s">
        <v>362</v>
      </c>
      <c r="J43" s="25" t="s">
        <v>484</v>
      </c>
      <c r="K43" s="25" t="s">
        <v>593</v>
      </c>
      <c r="L43" s="25" t="s">
        <v>103</v>
      </c>
      <c r="M43" s="25" t="s">
        <v>55</v>
      </c>
      <c r="N43" s="25" t="s">
        <v>55</v>
      </c>
      <c r="O43" s="25" t="s">
        <v>468</v>
      </c>
      <c r="P43" s="25" t="s">
        <v>485</v>
      </c>
      <c r="Q43" s="25" t="s">
        <v>486</v>
      </c>
      <c r="R43" s="25" t="s">
        <v>55</v>
      </c>
      <c r="S43" s="25" t="s">
        <v>487</v>
      </c>
      <c r="T43" s="25" t="s">
        <v>488</v>
      </c>
      <c r="U43" s="25" t="s">
        <v>63</v>
      </c>
      <c r="V43" s="26">
        <v>45930</v>
      </c>
      <c r="W43" s="25" t="s">
        <v>55</v>
      </c>
      <c r="X43" s="25" t="s">
        <v>489</v>
      </c>
      <c r="Y43" s="25" t="s">
        <v>65</v>
      </c>
      <c r="Z43" s="25" t="s">
        <v>55</v>
      </c>
      <c r="AA43" s="25" t="s">
        <v>66</v>
      </c>
      <c r="AB43" s="25" t="s">
        <v>866</v>
      </c>
      <c r="AC43" s="25" t="s">
        <v>55</v>
      </c>
      <c r="AD43" s="25" t="s">
        <v>67</v>
      </c>
      <c r="AE43" s="25" t="s">
        <v>257</v>
      </c>
      <c r="AF43" s="25" t="s">
        <v>55</v>
      </c>
      <c r="AG43" s="25" t="s">
        <v>55</v>
      </c>
      <c r="AH43" s="25" t="s">
        <v>55</v>
      </c>
      <c r="AI43" s="25" t="s">
        <v>55</v>
      </c>
      <c r="AJ43" s="25" t="s">
        <v>55</v>
      </c>
      <c r="AK43" s="25" t="s">
        <v>55</v>
      </c>
      <c r="AL43" s="25" t="s">
        <v>55</v>
      </c>
      <c r="AM43" s="25" t="s">
        <v>55</v>
      </c>
      <c r="AN43" s="25" t="s">
        <v>55</v>
      </c>
      <c r="AO43" s="25" t="s">
        <v>55</v>
      </c>
      <c r="AP43" s="25" t="s">
        <v>55</v>
      </c>
      <c r="AQ43" s="25" t="s">
        <v>55</v>
      </c>
      <c r="AR43" s="25" t="s">
        <v>55</v>
      </c>
      <c r="AS43" s="25" t="s">
        <v>55</v>
      </c>
      <c r="AT43" s="25" t="s">
        <v>55</v>
      </c>
      <c r="AU43" s="25" t="s">
        <v>55</v>
      </c>
      <c r="AV43" s="25" t="s">
        <v>55</v>
      </c>
      <c r="AW43" s="26">
        <v>45777</v>
      </c>
      <c r="AX43" s="26">
        <v>45867</v>
      </c>
      <c r="AY43" s="25" t="s">
        <v>377</v>
      </c>
      <c r="AZ43" s="20">
        <f t="shared" si="0"/>
        <v>52</v>
      </c>
      <c r="BA43" s="17" t="str">
        <f t="shared" si="2"/>
        <v>&lt; 3 months</v>
      </c>
      <c r="BB43" s="21" t="s">
        <v>66</v>
      </c>
    </row>
    <row r="44" spans="1:54" ht="12.75" customHeight="1" x14ac:dyDescent="0.35">
      <c r="A44" s="25" t="s">
        <v>490</v>
      </c>
      <c r="B44" s="25" t="s">
        <v>347</v>
      </c>
      <c r="C44" s="25" t="s">
        <v>51</v>
      </c>
      <c r="D44" s="25" t="s">
        <v>491</v>
      </c>
      <c r="E44" s="25" t="s">
        <v>108</v>
      </c>
      <c r="F44" s="25" t="s">
        <v>492</v>
      </c>
      <c r="G44" s="25" t="s">
        <v>493</v>
      </c>
      <c r="H44" s="25" t="s">
        <v>1718</v>
      </c>
      <c r="I44" s="25" t="s">
        <v>494</v>
      </c>
      <c r="J44" s="25" t="s">
        <v>55</v>
      </c>
      <c r="K44" s="25" t="s">
        <v>594</v>
      </c>
      <c r="L44" s="25" t="s">
        <v>103</v>
      </c>
      <c r="M44" s="25" t="s">
        <v>55</v>
      </c>
      <c r="N44" s="25" t="s">
        <v>55</v>
      </c>
      <c r="O44" s="25" t="s">
        <v>495</v>
      </c>
      <c r="P44" s="25" t="s">
        <v>496</v>
      </c>
      <c r="Q44" s="25" t="s">
        <v>497</v>
      </c>
      <c r="R44" s="25" t="s">
        <v>63</v>
      </c>
      <c r="S44" s="25" t="s">
        <v>498</v>
      </c>
      <c r="T44" s="25" t="s">
        <v>55</v>
      </c>
      <c r="U44" s="25" t="s">
        <v>63</v>
      </c>
      <c r="V44" s="26">
        <v>46053</v>
      </c>
      <c r="W44" s="25" t="s">
        <v>55</v>
      </c>
      <c r="X44" s="25" t="s">
        <v>499</v>
      </c>
      <c r="Y44" s="25" t="s">
        <v>65</v>
      </c>
      <c r="Z44" s="25" t="s">
        <v>55</v>
      </c>
      <c r="AA44" s="25" t="s">
        <v>155</v>
      </c>
      <c r="AB44" s="25" t="s">
        <v>55</v>
      </c>
      <c r="AC44" s="25" t="s">
        <v>55</v>
      </c>
      <c r="AD44" s="25" t="s">
        <v>67</v>
      </c>
      <c r="AE44" s="25" t="s">
        <v>257</v>
      </c>
      <c r="AF44" s="25" t="s">
        <v>55</v>
      </c>
      <c r="AG44" s="25" t="s">
        <v>55</v>
      </c>
      <c r="AH44" s="25" t="s">
        <v>55</v>
      </c>
      <c r="AI44" s="25" t="s">
        <v>55</v>
      </c>
      <c r="AJ44" s="25" t="s">
        <v>55</v>
      </c>
      <c r="AK44" s="25" t="s">
        <v>55</v>
      </c>
      <c r="AL44" s="25" t="s">
        <v>55</v>
      </c>
      <c r="AM44" s="25" t="s">
        <v>55</v>
      </c>
      <c r="AN44" s="25" t="s">
        <v>55</v>
      </c>
      <c r="AO44" s="25" t="s">
        <v>55</v>
      </c>
      <c r="AP44" s="25" t="s">
        <v>55</v>
      </c>
      <c r="AQ44" s="25" t="s">
        <v>55</v>
      </c>
      <c r="AR44" s="25" t="s">
        <v>55</v>
      </c>
      <c r="AS44" s="25" t="s">
        <v>55</v>
      </c>
      <c r="AT44" s="25" t="s">
        <v>55</v>
      </c>
      <c r="AU44" s="25" t="s">
        <v>55</v>
      </c>
      <c r="AV44" s="25" t="s">
        <v>55</v>
      </c>
      <c r="AW44" s="26">
        <v>45658</v>
      </c>
      <c r="AX44" s="26">
        <v>45866</v>
      </c>
      <c r="AY44" s="25" t="s">
        <v>377</v>
      </c>
      <c r="AZ44" s="20">
        <f t="shared" si="0"/>
        <v>-71</v>
      </c>
      <c r="BA44" s="17" t="e">
        <f t="shared" si="2"/>
        <v>#N/A</v>
      </c>
      <c r="BB44" s="21" t="s">
        <v>335</v>
      </c>
    </row>
    <row r="45" spans="1:54" ht="12.75" customHeight="1" x14ac:dyDescent="0.35">
      <c r="A45" s="25" t="s">
        <v>500</v>
      </c>
      <c r="B45" s="25" t="s">
        <v>347</v>
      </c>
      <c r="C45" s="25" t="s">
        <v>51</v>
      </c>
      <c r="D45" s="25" t="s">
        <v>491</v>
      </c>
      <c r="E45" s="25" t="s">
        <v>108</v>
      </c>
      <c r="F45" s="25" t="s">
        <v>501</v>
      </c>
      <c r="G45" s="25" t="s">
        <v>54</v>
      </c>
      <c r="H45" s="25" t="s">
        <v>1711</v>
      </c>
      <c r="I45" s="25" t="s">
        <v>142</v>
      </c>
      <c r="J45" s="25" t="s">
        <v>502</v>
      </c>
      <c r="K45" s="25" t="s">
        <v>596</v>
      </c>
      <c r="L45" s="25" t="s">
        <v>503</v>
      </c>
      <c r="M45" s="25" t="s">
        <v>55</v>
      </c>
      <c r="N45" s="25" t="s">
        <v>55</v>
      </c>
      <c r="O45" s="25" t="s">
        <v>504</v>
      </c>
      <c r="P45" s="25" t="s">
        <v>505</v>
      </c>
      <c r="Q45" s="25" t="s">
        <v>506</v>
      </c>
      <c r="R45" s="25" t="s">
        <v>63</v>
      </c>
      <c r="S45" s="25" t="s">
        <v>507</v>
      </c>
      <c r="T45" s="25" t="s">
        <v>55</v>
      </c>
      <c r="U45" s="25" t="s">
        <v>132</v>
      </c>
      <c r="V45" s="26">
        <v>45869</v>
      </c>
      <c r="W45" s="25" t="s">
        <v>55</v>
      </c>
      <c r="X45" s="25" t="s">
        <v>508</v>
      </c>
      <c r="Y45" s="25" t="s">
        <v>65</v>
      </c>
      <c r="Z45" s="25" t="s">
        <v>55</v>
      </c>
      <c r="AA45" s="25" t="s">
        <v>66</v>
      </c>
      <c r="AB45" s="25" t="s">
        <v>55</v>
      </c>
      <c r="AC45" s="25" t="s">
        <v>55</v>
      </c>
      <c r="AD45" s="25" t="s">
        <v>67</v>
      </c>
      <c r="AE45" s="25" t="s">
        <v>257</v>
      </c>
      <c r="AF45" s="25" t="s">
        <v>55</v>
      </c>
      <c r="AG45" s="25" t="s">
        <v>55</v>
      </c>
      <c r="AH45" s="25" t="s">
        <v>55</v>
      </c>
      <c r="AI45" s="25" t="s">
        <v>55</v>
      </c>
      <c r="AJ45" s="25" t="s">
        <v>55</v>
      </c>
      <c r="AK45" s="25" t="s">
        <v>55</v>
      </c>
      <c r="AL45" s="25" t="s">
        <v>55</v>
      </c>
      <c r="AM45" s="25" t="s">
        <v>55</v>
      </c>
      <c r="AN45" s="25" t="s">
        <v>55</v>
      </c>
      <c r="AO45" s="25" t="s">
        <v>55</v>
      </c>
      <c r="AP45" s="25" t="s">
        <v>55</v>
      </c>
      <c r="AQ45" s="25" t="s">
        <v>55</v>
      </c>
      <c r="AR45" s="25" t="s">
        <v>55</v>
      </c>
      <c r="AS45" s="25" t="s">
        <v>55</v>
      </c>
      <c r="AT45" s="25" t="s">
        <v>55</v>
      </c>
      <c r="AU45" s="25" t="s">
        <v>55</v>
      </c>
      <c r="AV45" s="25" t="s">
        <v>55</v>
      </c>
      <c r="AW45" s="26">
        <v>45658</v>
      </c>
      <c r="AX45" s="26">
        <v>45866</v>
      </c>
      <c r="AY45" s="25" t="s">
        <v>377</v>
      </c>
      <c r="AZ45" s="20">
        <f t="shared" si="0"/>
        <v>113</v>
      </c>
      <c r="BA45" s="17" t="str">
        <f t="shared" si="2"/>
        <v>3-6 months</v>
      </c>
      <c r="BB45" s="21" t="s">
        <v>66</v>
      </c>
    </row>
    <row r="46" spans="1:54" ht="12.75" customHeight="1" x14ac:dyDescent="0.35">
      <c r="A46" s="25" t="s">
        <v>509</v>
      </c>
      <c r="B46" s="25" t="s">
        <v>347</v>
      </c>
      <c r="C46" s="25" t="s">
        <v>51</v>
      </c>
      <c r="D46" s="25" t="s">
        <v>491</v>
      </c>
      <c r="E46" s="25" t="s">
        <v>108</v>
      </c>
      <c r="F46" s="25" t="s">
        <v>54</v>
      </c>
      <c r="G46" s="25" t="s">
        <v>54</v>
      </c>
      <c r="H46" s="25" t="s">
        <v>510</v>
      </c>
      <c r="I46" s="25" t="s">
        <v>142</v>
      </c>
      <c r="J46" s="25" t="s">
        <v>502</v>
      </c>
      <c r="K46" s="25" t="s">
        <v>596</v>
      </c>
      <c r="L46" s="25" t="s">
        <v>503</v>
      </c>
      <c r="M46" s="25" t="s">
        <v>55</v>
      </c>
      <c r="N46" s="25" t="s">
        <v>55</v>
      </c>
      <c r="O46" s="25" t="s">
        <v>511</v>
      </c>
      <c r="P46" s="25" t="s">
        <v>512</v>
      </c>
      <c r="Q46" s="25" t="s">
        <v>513</v>
      </c>
      <c r="R46" s="25" t="s">
        <v>63</v>
      </c>
      <c r="S46" s="25" t="s">
        <v>514</v>
      </c>
      <c r="T46" s="25" t="s">
        <v>55</v>
      </c>
      <c r="U46" s="25" t="s">
        <v>132</v>
      </c>
      <c r="V46" s="26">
        <v>45930</v>
      </c>
      <c r="W46" s="25" t="s">
        <v>55</v>
      </c>
      <c r="X46" s="25" t="s">
        <v>515</v>
      </c>
      <c r="Y46" s="25" t="s">
        <v>65</v>
      </c>
      <c r="Z46" s="25" t="s">
        <v>55</v>
      </c>
      <c r="AA46" s="25" t="s">
        <v>66</v>
      </c>
      <c r="AB46" s="25" t="s">
        <v>55</v>
      </c>
      <c r="AC46" s="25" t="s">
        <v>55</v>
      </c>
      <c r="AD46" s="25" t="s">
        <v>67</v>
      </c>
      <c r="AE46" s="25" t="s">
        <v>257</v>
      </c>
      <c r="AF46" s="25" t="s">
        <v>55</v>
      </c>
      <c r="AG46" s="25" t="s">
        <v>55</v>
      </c>
      <c r="AH46" s="25" t="s">
        <v>55</v>
      </c>
      <c r="AI46" s="25" t="s">
        <v>55</v>
      </c>
      <c r="AJ46" s="25" t="s">
        <v>55</v>
      </c>
      <c r="AK46" s="25" t="s">
        <v>55</v>
      </c>
      <c r="AL46" s="25" t="s">
        <v>55</v>
      </c>
      <c r="AM46" s="25" t="s">
        <v>55</v>
      </c>
      <c r="AN46" s="25" t="s">
        <v>55</v>
      </c>
      <c r="AO46" s="25" t="s">
        <v>55</v>
      </c>
      <c r="AP46" s="25" t="s">
        <v>55</v>
      </c>
      <c r="AQ46" s="25" t="s">
        <v>55</v>
      </c>
      <c r="AR46" s="25" t="s">
        <v>55</v>
      </c>
      <c r="AS46" s="25" t="s">
        <v>55</v>
      </c>
      <c r="AT46" s="25" t="s">
        <v>55</v>
      </c>
      <c r="AU46" s="25" t="s">
        <v>55</v>
      </c>
      <c r="AV46" s="25" t="s">
        <v>55</v>
      </c>
      <c r="AW46" s="26">
        <v>45861</v>
      </c>
      <c r="AX46" s="26">
        <v>45866</v>
      </c>
      <c r="AY46" s="25" t="s">
        <v>377</v>
      </c>
      <c r="AZ46" s="20">
        <f t="shared" si="0"/>
        <v>52</v>
      </c>
      <c r="BA46" s="17" t="str">
        <f t="shared" si="2"/>
        <v>&lt; 3 months</v>
      </c>
      <c r="BB46" s="21" t="s">
        <v>66</v>
      </c>
    </row>
    <row r="47" spans="1:54" ht="12.75" customHeight="1" x14ac:dyDescent="0.35">
      <c r="A47" s="25" t="s">
        <v>516</v>
      </c>
      <c r="B47" s="25" t="s">
        <v>347</v>
      </c>
      <c r="C47" s="25" t="s">
        <v>51</v>
      </c>
      <c r="D47" s="25" t="s">
        <v>491</v>
      </c>
      <c r="E47" s="25" t="s">
        <v>108</v>
      </c>
      <c r="F47" s="25" t="s">
        <v>54</v>
      </c>
      <c r="G47" s="25" t="s">
        <v>54</v>
      </c>
      <c r="H47" s="25" t="s">
        <v>510</v>
      </c>
      <c r="I47" s="25" t="s">
        <v>517</v>
      </c>
      <c r="J47" s="25" t="s">
        <v>518</v>
      </c>
      <c r="K47" s="25" t="s">
        <v>594</v>
      </c>
      <c r="L47" s="25" t="s">
        <v>103</v>
      </c>
      <c r="M47" s="25" t="s">
        <v>55</v>
      </c>
      <c r="N47" s="25" t="s">
        <v>55</v>
      </c>
      <c r="O47" s="25" t="s">
        <v>519</v>
      </c>
      <c r="P47" s="25" t="s">
        <v>520</v>
      </c>
      <c r="Q47" s="25" t="s">
        <v>521</v>
      </c>
      <c r="R47" s="25" t="s">
        <v>63</v>
      </c>
      <c r="S47" s="25" t="s">
        <v>522</v>
      </c>
      <c r="T47" s="25" t="s">
        <v>55</v>
      </c>
      <c r="U47" s="25" t="s">
        <v>132</v>
      </c>
      <c r="V47" s="26">
        <v>45961</v>
      </c>
      <c r="W47" s="25" t="s">
        <v>55</v>
      </c>
      <c r="X47" s="25" t="s">
        <v>523</v>
      </c>
      <c r="Y47" s="25" t="s">
        <v>65</v>
      </c>
      <c r="Z47" s="25" t="s">
        <v>55</v>
      </c>
      <c r="AA47" s="25" t="s">
        <v>66</v>
      </c>
      <c r="AB47" s="25" t="s">
        <v>55</v>
      </c>
      <c r="AC47" s="25" t="s">
        <v>55</v>
      </c>
      <c r="AD47" s="25" t="s">
        <v>67</v>
      </c>
      <c r="AE47" s="25" t="s">
        <v>257</v>
      </c>
      <c r="AF47" s="25" t="s">
        <v>55</v>
      </c>
      <c r="AG47" s="25" t="s">
        <v>55</v>
      </c>
      <c r="AH47" s="25" t="s">
        <v>55</v>
      </c>
      <c r="AI47" s="25" t="s">
        <v>55</v>
      </c>
      <c r="AJ47" s="25" t="s">
        <v>55</v>
      </c>
      <c r="AK47" s="25" t="s">
        <v>55</v>
      </c>
      <c r="AL47" s="25" t="s">
        <v>55</v>
      </c>
      <c r="AM47" s="25" t="s">
        <v>55</v>
      </c>
      <c r="AN47" s="25" t="s">
        <v>55</v>
      </c>
      <c r="AO47" s="25" t="s">
        <v>55</v>
      </c>
      <c r="AP47" s="25" t="s">
        <v>55</v>
      </c>
      <c r="AQ47" s="25" t="s">
        <v>55</v>
      </c>
      <c r="AR47" s="25" t="s">
        <v>55</v>
      </c>
      <c r="AS47" s="25" t="s">
        <v>55</v>
      </c>
      <c r="AT47" s="25" t="s">
        <v>55</v>
      </c>
      <c r="AU47" s="25" t="s">
        <v>55</v>
      </c>
      <c r="AV47" s="25" t="s">
        <v>55</v>
      </c>
      <c r="AW47" s="26">
        <v>45839</v>
      </c>
      <c r="AX47" s="26">
        <v>45866</v>
      </c>
      <c r="AY47" s="25" t="s">
        <v>377</v>
      </c>
      <c r="AZ47" s="20">
        <f t="shared" si="0"/>
        <v>21</v>
      </c>
      <c r="BA47" s="17" t="str">
        <f t="shared" si="2"/>
        <v>&lt; 3 months</v>
      </c>
      <c r="BB47" s="21" t="s">
        <v>66</v>
      </c>
    </row>
    <row r="48" spans="1:54" ht="12.75" customHeight="1" x14ac:dyDescent="0.35">
      <c r="A48" s="25" t="s">
        <v>524</v>
      </c>
      <c r="B48" s="25" t="s">
        <v>347</v>
      </c>
      <c r="C48" s="25" t="s">
        <v>51</v>
      </c>
      <c r="D48" s="25" t="s">
        <v>491</v>
      </c>
      <c r="E48" s="25" t="s">
        <v>108</v>
      </c>
      <c r="F48" s="25" t="s">
        <v>525</v>
      </c>
      <c r="G48" s="25" t="s">
        <v>84</v>
      </c>
      <c r="H48" s="25" t="s">
        <v>84</v>
      </c>
      <c r="I48" s="25" t="s">
        <v>526</v>
      </c>
      <c r="J48" s="25" t="s">
        <v>55</v>
      </c>
      <c r="K48" s="25" t="s">
        <v>602</v>
      </c>
      <c r="L48" s="25" t="s">
        <v>103</v>
      </c>
      <c r="M48" s="25" t="s">
        <v>55</v>
      </c>
      <c r="N48" s="25" t="s">
        <v>55</v>
      </c>
      <c r="O48" s="25" t="s">
        <v>527</v>
      </c>
      <c r="P48" s="25" t="s">
        <v>528</v>
      </c>
      <c r="Q48" s="25" t="s">
        <v>529</v>
      </c>
      <c r="R48" s="25" t="s">
        <v>63</v>
      </c>
      <c r="S48" s="25" t="s">
        <v>530</v>
      </c>
      <c r="T48" s="25" t="s">
        <v>55</v>
      </c>
      <c r="U48" s="25" t="s">
        <v>132</v>
      </c>
      <c r="V48" s="26">
        <v>45961</v>
      </c>
      <c r="W48" s="25" t="s">
        <v>55</v>
      </c>
      <c r="X48" s="25" t="s">
        <v>531</v>
      </c>
      <c r="Y48" s="25" t="s">
        <v>65</v>
      </c>
      <c r="Z48" s="25" t="s">
        <v>55</v>
      </c>
      <c r="AA48" s="25" t="s">
        <v>66</v>
      </c>
      <c r="AB48" s="25" t="s">
        <v>55</v>
      </c>
      <c r="AC48" s="25" t="s">
        <v>55</v>
      </c>
      <c r="AD48" s="25" t="s">
        <v>67</v>
      </c>
      <c r="AE48" s="25" t="s">
        <v>257</v>
      </c>
      <c r="AF48" s="25" t="s">
        <v>55</v>
      </c>
      <c r="AG48" s="25" t="s">
        <v>55</v>
      </c>
      <c r="AH48" s="25" t="s">
        <v>55</v>
      </c>
      <c r="AI48" s="25" t="s">
        <v>55</v>
      </c>
      <c r="AJ48" s="25" t="s">
        <v>55</v>
      </c>
      <c r="AK48" s="25" t="s">
        <v>55</v>
      </c>
      <c r="AL48" s="25" t="s">
        <v>55</v>
      </c>
      <c r="AM48" s="25" t="s">
        <v>55</v>
      </c>
      <c r="AN48" s="25" t="s">
        <v>55</v>
      </c>
      <c r="AO48" s="25" t="s">
        <v>55</v>
      </c>
      <c r="AP48" s="25" t="s">
        <v>55</v>
      </c>
      <c r="AQ48" s="25" t="s">
        <v>55</v>
      </c>
      <c r="AR48" s="25" t="s">
        <v>55</v>
      </c>
      <c r="AS48" s="25" t="s">
        <v>55</v>
      </c>
      <c r="AT48" s="25" t="s">
        <v>55</v>
      </c>
      <c r="AU48" s="25" t="s">
        <v>55</v>
      </c>
      <c r="AV48" s="25" t="s">
        <v>55</v>
      </c>
      <c r="AW48" s="26">
        <v>45839</v>
      </c>
      <c r="AX48" s="26">
        <v>45866</v>
      </c>
      <c r="AY48" s="25" t="s">
        <v>377</v>
      </c>
      <c r="AZ48" s="20">
        <f t="shared" si="0"/>
        <v>21</v>
      </c>
      <c r="BA48" s="17" t="str">
        <f t="shared" si="2"/>
        <v>&lt; 3 months</v>
      </c>
      <c r="BB48" s="21" t="s">
        <v>66</v>
      </c>
    </row>
    <row r="49" spans="1:54" ht="12.75" customHeight="1" x14ac:dyDescent="0.35">
      <c r="A49" s="25" t="s">
        <v>532</v>
      </c>
      <c r="B49" s="25" t="s">
        <v>347</v>
      </c>
      <c r="C49" s="25" t="s">
        <v>51</v>
      </c>
      <c r="D49" s="25" t="s">
        <v>533</v>
      </c>
      <c r="E49" s="25" t="s">
        <v>52</v>
      </c>
      <c r="F49" s="25" t="s">
        <v>501</v>
      </c>
      <c r="G49" s="25" t="s">
        <v>54</v>
      </c>
      <c r="H49" s="25" t="s">
        <v>1711</v>
      </c>
      <c r="I49" s="25" t="s">
        <v>119</v>
      </c>
      <c r="J49" s="25" t="s">
        <v>186</v>
      </c>
      <c r="K49" s="25" t="s">
        <v>534</v>
      </c>
      <c r="L49" s="25" t="s">
        <v>503</v>
      </c>
      <c r="M49" s="25" t="s">
        <v>474</v>
      </c>
      <c r="N49" s="25" t="s">
        <v>55</v>
      </c>
      <c r="O49" s="25" t="s">
        <v>535</v>
      </c>
      <c r="P49" s="25" t="s">
        <v>536</v>
      </c>
      <c r="Q49" s="25" t="s">
        <v>537</v>
      </c>
      <c r="R49" s="25" t="s">
        <v>132</v>
      </c>
      <c r="S49" s="25" t="s">
        <v>538</v>
      </c>
      <c r="T49" s="25" t="s">
        <v>539</v>
      </c>
      <c r="U49" s="25" t="s">
        <v>132</v>
      </c>
      <c r="V49" s="26">
        <v>45930</v>
      </c>
      <c r="W49" s="25" t="s">
        <v>55</v>
      </c>
      <c r="X49" s="25" t="s">
        <v>540</v>
      </c>
      <c r="Y49" s="25" t="s">
        <v>65</v>
      </c>
      <c r="Z49" s="25" t="s">
        <v>55</v>
      </c>
      <c r="AA49" s="25" t="s">
        <v>66</v>
      </c>
      <c r="AB49" s="25" t="s">
        <v>55</v>
      </c>
      <c r="AC49" s="25" t="s">
        <v>55</v>
      </c>
      <c r="AD49" s="25" t="s">
        <v>67</v>
      </c>
      <c r="AE49" s="25" t="s">
        <v>257</v>
      </c>
      <c r="AF49" s="25" t="s">
        <v>156</v>
      </c>
      <c r="AG49" s="25" t="s">
        <v>55</v>
      </c>
      <c r="AH49" s="25" t="s">
        <v>55</v>
      </c>
      <c r="AI49" s="25" t="s">
        <v>55</v>
      </c>
      <c r="AJ49" s="25" t="s">
        <v>55</v>
      </c>
      <c r="AK49" s="25" t="s">
        <v>55</v>
      </c>
      <c r="AL49" s="25" t="s">
        <v>55</v>
      </c>
      <c r="AM49" s="25" t="s">
        <v>55</v>
      </c>
      <c r="AN49" s="25" t="s">
        <v>55</v>
      </c>
      <c r="AO49" s="25" t="s">
        <v>55</v>
      </c>
      <c r="AP49" s="25" t="s">
        <v>55</v>
      </c>
      <c r="AQ49" s="25" t="s">
        <v>55</v>
      </c>
      <c r="AR49" s="25" t="s">
        <v>55</v>
      </c>
      <c r="AS49" s="25" t="s">
        <v>55</v>
      </c>
      <c r="AT49" s="25" t="s">
        <v>55</v>
      </c>
      <c r="AU49" s="25" t="s">
        <v>55</v>
      </c>
      <c r="AV49" s="25" t="s">
        <v>55</v>
      </c>
      <c r="AW49" s="26">
        <v>45777</v>
      </c>
      <c r="AX49" s="26">
        <v>45867</v>
      </c>
      <c r="AY49" s="25" t="s">
        <v>541</v>
      </c>
      <c r="AZ49" s="20">
        <f t="shared" si="0"/>
        <v>52</v>
      </c>
      <c r="BA49" s="17" t="str">
        <f t="shared" si="2"/>
        <v>&lt; 3 months</v>
      </c>
      <c r="BB49" s="21" t="s">
        <v>66</v>
      </c>
    </row>
    <row r="50" spans="1:54" ht="12.75" customHeight="1" x14ac:dyDescent="0.35">
      <c r="A50" s="25" t="s">
        <v>542</v>
      </c>
      <c r="B50" s="25" t="s">
        <v>347</v>
      </c>
      <c r="C50" s="25" t="s">
        <v>51</v>
      </c>
      <c r="D50" s="25" t="s">
        <v>533</v>
      </c>
      <c r="E50" s="25" t="s">
        <v>52</v>
      </c>
      <c r="F50" s="25" t="s">
        <v>501</v>
      </c>
      <c r="G50" s="25" t="s">
        <v>54</v>
      </c>
      <c r="H50" s="25" t="s">
        <v>1711</v>
      </c>
      <c r="I50" s="25" t="s">
        <v>119</v>
      </c>
      <c r="J50" s="25" t="s">
        <v>543</v>
      </c>
      <c r="K50" s="25" t="s">
        <v>603</v>
      </c>
      <c r="L50" s="25" t="s">
        <v>103</v>
      </c>
      <c r="M50" s="25" t="s">
        <v>545</v>
      </c>
      <c r="N50" s="25" t="s">
        <v>55</v>
      </c>
      <c r="O50" s="25" t="s">
        <v>535</v>
      </c>
      <c r="P50" s="25" t="s">
        <v>546</v>
      </c>
      <c r="Q50" s="25" t="s">
        <v>547</v>
      </c>
      <c r="R50" s="25" t="s">
        <v>55</v>
      </c>
      <c r="S50" s="25" t="s">
        <v>548</v>
      </c>
      <c r="T50" s="25" t="s">
        <v>549</v>
      </c>
      <c r="U50" s="25" t="s">
        <v>63</v>
      </c>
      <c r="V50" s="26">
        <v>45930</v>
      </c>
      <c r="W50" s="25" t="s">
        <v>55</v>
      </c>
      <c r="X50" s="25" t="s">
        <v>540</v>
      </c>
      <c r="Y50" s="25" t="s">
        <v>65</v>
      </c>
      <c r="Z50" s="25" t="s">
        <v>55</v>
      </c>
      <c r="AA50" s="25" t="s">
        <v>66</v>
      </c>
      <c r="AB50" s="25" t="s">
        <v>55</v>
      </c>
      <c r="AC50" s="25" t="s">
        <v>55</v>
      </c>
      <c r="AD50" s="25" t="s">
        <v>67</v>
      </c>
      <c r="AE50" s="25" t="s">
        <v>257</v>
      </c>
      <c r="AF50" s="25" t="s">
        <v>69</v>
      </c>
      <c r="AG50" s="25" t="s">
        <v>55</v>
      </c>
      <c r="AH50" s="25" t="s">
        <v>55</v>
      </c>
      <c r="AI50" s="25" t="s">
        <v>55</v>
      </c>
      <c r="AJ50" s="25" t="s">
        <v>55</v>
      </c>
      <c r="AK50" s="25" t="s">
        <v>55</v>
      </c>
      <c r="AL50" s="25" t="s">
        <v>55</v>
      </c>
      <c r="AM50" s="25" t="s">
        <v>55</v>
      </c>
      <c r="AN50" s="25" t="s">
        <v>55</v>
      </c>
      <c r="AO50" s="25" t="s">
        <v>55</v>
      </c>
      <c r="AP50" s="25" t="s">
        <v>55</v>
      </c>
      <c r="AQ50" s="25" t="s">
        <v>55</v>
      </c>
      <c r="AR50" s="25" t="s">
        <v>55</v>
      </c>
      <c r="AS50" s="25" t="s">
        <v>55</v>
      </c>
      <c r="AT50" s="25" t="s">
        <v>55</v>
      </c>
      <c r="AU50" s="25" t="s">
        <v>55</v>
      </c>
      <c r="AV50" s="25" t="s">
        <v>55</v>
      </c>
      <c r="AW50" s="26">
        <v>45777</v>
      </c>
      <c r="AX50" s="26">
        <v>45867</v>
      </c>
      <c r="AY50" s="25" t="s">
        <v>541</v>
      </c>
      <c r="AZ50" s="20">
        <f t="shared" si="0"/>
        <v>52</v>
      </c>
      <c r="BA50" s="17" t="str">
        <f t="shared" si="2"/>
        <v>&lt; 3 months</v>
      </c>
      <c r="BB50" s="21" t="s">
        <v>66</v>
      </c>
    </row>
    <row r="51" spans="1:54" ht="12.75" customHeight="1" x14ac:dyDescent="0.35">
      <c r="A51" s="25" t="s">
        <v>550</v>
      </c>
      <c r="B51" s="25" t="s">
        <v>347</v>
      </c>
      <c r="C51" s="25" t="s">
        <v>51</v>
      </c>
      <c r="D51" s="25" t="s">
        <v>533</v>
      </c>
      <c r="E51" s="25" t="s">
        <v>52</v>
      </c>
      <c r="F51" s="25" t="s">
        <v>501</v>
      </c>
      <c r="G51" s="25" t="s">
        <v>54</v>
      </c>
      <c r="H51" s="25" t="s">
        <v>1711</v>
      </c>
      <c r="I51" s="25" t="s">
        <v>119</v>
      </c>
      <c r="J51" s="25" t="s">
        <v>551</v>
      </c>
      <c r="K51" s="25" t="s">
        <v>552</v>
      </c>
      <c r="L51" s="25" t="s">
        <v>57</v>
      </c>
      <c r="M51" s="25" t="s">
        <v>243</v>
      </c>
      <c r="N51" s="25" t="s">
        <v>55</v>
      </c>
      <c r="O51" s="25" t="s">
        <v>535</v>
      </c>
      <c r="P51" s="25" t="s">
        <v>553</v>
      </c>
      <c r="Q51" s="25" t="s">
        <v>554</v>
      </c>
      <c r="R51" s="25" t="s">
        <v>132</v>
      </c>
      <c r="S51" s="25" t="s">
        <v>555</v>
      </c>
      <c r="T51" s="25" t="s">
        <v>556</v>
      </c>
      <c r="U51" s="25" t="s">
        <v>132</v>
      </c>
      <c r="V51" s="26">
        <v>45930</v>
      </c>
      <c r="W51" s="25" t="s">
        <v>55</v>
      </c>
      <c r="X51" s="25" t="s">
        <v>557</v>
      </c>
      <c r="Y51" s="25" t="s">
        <v>65</v>
      </c>
      <c r="Z51" s="25" t="s">
        <v>55</v>
      </c>
      <c r="AA51" s="25" t="s">
        <v>66</v>
      </c>
      <c r="AB51" s="25" t="s">
        <v>55</v>
      </c>
      <c r="AC51" s="25" t="s">
        <v>55</v>
      </c>
      <c r="AD51" s="25" t="s">
        <v>67</v>
      </c>
      <c r="AE51" s="25" t="s">
        <v>257</v>
      </c>
      <c r="AF51" s="25" t="s">
        <v>92</v>
      </c>
      <c r="AG51" s="25" t="s">
        <v>55</v>
      </c>
      <c r="AH51" s="25" t="s">
        <v>55</v>
      </c>
      <c r="AI51" s="25" t="s">
        <v>55</v>
      </c>
      <c r="AJ51" s="25" t="s">
        <v>55</v>
      </c>
      <c r="AK51" s="25" t="s">
        <v>55</v>
      </c>
      <c r="AL51" s="25" t="s">
        <v>55</v>
      </c>
      <c r="AM51" s="25" t="s">
        <v>55</v>
      </c>
      <c r="AN51" s="25" t="s">
        <v>55</v>
      </c>
      <c r="AO51" s="25" t="s">
        <v>55</v>
      </c>
      <c r="AP51" s="25" t="s">
        <v>55</v>
      </c>
      <c r="AQ51" s="25" t="s">
        <v>55</v>
      </c>
      <c r="AR51" s="25" t="s">
        <v>55</v>
      </c>
      <c r="AS51" s="25" t="s">
        <v>55</v>
      </c>
      <c r="AT51" s="25" t="s">
        <v>55</v>
      </c>
      <c r="AU51" s="25" t="s">
        <v>55</v>
      </c>
      <c r="AV51" s="25" t="s">
        <v>55</v>
      </c>
      <c r="AW51" s="26">
        <v>45777</v>
      </c>
      <c r="AX51" s="26">
        <v>45869</v>
      </c>
      <c r="AY51" s="25" t="s">
        <v>541</v>
      </c>
      <c r="AZ51" s="20">
        <f t="shared" si="0"/>
        <v>52</v>
      </c>
      <c r="BA51" s="17" t="str">
        <f t="shared" si="2"/>
        <v>&lt; 3 months</v>
      </c>
      <c r="BB51" s="21" t="s">
        <v>66</v>
      </c>
    </row>
    <row r="52" spans="1:54" ht="12.75" customHeight="1" x14ac:dyDescent="0.35">
      <c r="A52" s="25" t="s">
        <v>566</v>
      </c>
      <c r="B52" s="25" t="s">
        <v>347</v>
      </c>
      <c r="C52" s="25" t="s">
        <v>51</v>
      </c>
      <c r="D52" s="25" t="s">
        <v>533</v>
      </c>
      <c r="E52" s="25" t="s">
        <v>52</v>
      </c>
      <c r="F52" s="25" t="s">
        <v>501</v>
      </c>
      <c r="G52" s="25" t="s">
        <v>54</v>
      </c>
      <c r="H52" s="25" t="s">
        <v>1711</v>
      </c>
      <c r="I52" s="25" t="s">
        <v>361</v>
      </c>
      <c r="J52" s="25" t="s">
        <v>560</v>
      </c>
      <c r="K52" s="25" t="s">
        <v>604</v>
      </c>
      <c r="L52" s="25" t="s">
        <v>103</v>
      </c>
      <c r="M52" s="25" t="s">
        <v>139</v>
      </c>
      <c r="N52" s="25" t="s">
        <v>55</v>
      </c>
      <c r="O52" s="25" t="s">
        <v>535</v>
      </c>
      <c r="P52" s="25" t="s">
        <v>567</v>
      </c>
      <c r="Q52" s="25" t="s">
        <v>568</v>
      </c>
      <c r="R52" s="25" t="s">
        <v>55</v>
      </c>
      <c r="S52" s="25" t="s">
        <v>569</v>
      </c>
      <c r="T52" s="25" t="s">
        <v>570</v>
      </c>
      <c r="U52" s="25" t="s">
        <v>132</v>
      </c>
      <c r="V52" s="26">
        <v>46022</v>
      </c>
      <c r="W52" s="25" t="s">
        <v>55</v>
      </c>
      <c r="X52" s="25" t="s">
        <v>571</v>
      </c>
      <c r="Y52" s="25" t="s">
        <v>65</v>
      </c>
      <c r="Z52" s="25" t="s">
        <v>55</v>
      </c>
      <c r="AA52" s="25" t="s">
        <v>221</v>
      </c>
      <c r="AB52" s="25" t="s">
        <v>55</v>
      </c>
      <c r="AC52" s="25" t="s">
        <v>55</v>
      </c>
      <c r="AD52" s="25" t="s">
        <v>67</v>
      </c>
      <c r="AE52" s="25" t="s">
        <v>257</v>
      </c>
      <c r="AF52" s="25" t="s">
        <v>98</v>
      </c>
      <c r="AG52" s="25" t="s">
        <v>55</v>
      </c>
      <c r="AH52" s="25" t="s">
        <v>55</v>
      </c>
      <c r="AI52" s="25" t="s">
        <v>55</v>
      </c>
      <c r="AJ52" s="25" t="s">
        <v>55</v>
      </c>
      <c r="AK52" s="25" t="s">
        <v>55</v>
      </c>
      <c r="AL52" s="25" t="s">
        <v>55</v>
      </c>
      <c r="AM52" s="25" t="s">
        <v>55</v>
      </c>
      <c r="AN52" s="25" t="s">
        <v>55</v>
      </c>
      <c r="AO52" s="25" t="s">
        <v>55</v>
      </c>
      <c r="AP52" s="25" t="s">
        <v>55</v>
      </c>
      <c r="AQ52" s="25" t="s">
        <v>55</v>
      </c>
      <c r="AR52" s="25" t="s">
        <v>55</v>
      </c>
      <c r="AS52" s="25" t="s">
        <v>55</v>
      </c>
      <c r="AT52" s="25" t="s">
        <v>55</v>
      </c>
      <c r="AU52" s="25" t="s">
        <v>55</v>
      </c>
      <c r="AV52" s="25" t="s">
        <v>55</v>
      </c>
      <c r="AW52" s="26">
        <v>45777</v>
      </c>
      <c r="AX52" s="26">
        <v>45869</v>
      </c>
      <c r="AY52" s="25" t="s">
        <v>541</v>
      </c>
      <c r="AZ52" s="20">
        <f t="shared" si="0"/>
        <v>-40</v>
      </c>
      <c r="BA52" s="17" t="e">
        <f t="shared" si="2"/>
        <v>#N/A</v>
      </c>
      <c r="BB52" s="21" t="s">
        <v>335</v>
      </c>
    </row>
    <row r="53" spans="1:54" ht="12.75" customHeight="1" x14ac:dyDescent="0.35">
      <c r="A53" s="25" t="s">
        <v>574</v>
      </c>
      <c r="B53" s="25" t="s">
        <v>347</v>
      </c>
      <c r="C53" s="25" t="s">
        <v>51</v>
      </c>
      <c r="D53" s="25" t="s">
        <v>533</v>
      </c>
      <c r="E53" s="25" t="s">
        <v>52</v>
      </c>
      <c r="F53" s="25" t="s">
        <v>501</v>
      </c>
      <c r="G53" s="25" t="s">
        <v>54</v>
      </c>
      <c r="H53" s="25" t="s">
        <v>1711</v>
      </c>
      <c r="I53" s="25" t="s">
        <v>117</v>
      </c>
      <c r="J53" s="25" t="s">
        <v>575</v>
      </c>
      <c r="K53" s="25" t="s">
        <v>605</v>
      </c>
      <c r="L53" s="25" t="s">
        <v>103</v>
      </c>
      <c r="M53" s="25" t="s">
        <v>577</v>
      </c>
      <c r="N53" s="25" t="s">
        <v>55</v>
      </c>
      <c r="O53" s="25" t="s">
        <v>535</v>
      </c>
      <c r="P53" s="25" t="s">
        <v>578</v>
      </c>
      <c r="Q53" s="25" t="s">
        <v>579</v>
      </c>
      <c r="R53" s="25" t="s">
        <v>55</v>
      </c>
      <c r="S53" s="25" t="s">
        <v>580</v>
      </c>
      <c r="T53" s="25" t="s">
        <v>581</v>
      </c>
      <c r="U53" s="25" t="s">
        <v>63</v>
      </c>
      <c r="V53" s="26">
        <v>45991</v>
      </c>
      <c r="W53" s="25" t="s">
        <v>55</v>
      </c>
      <c r="X53" s="25" t="s">
        <v>582</v>
      </c>
      <c r="Y53" s="25" t="s">
        <v>65</v>
      </c>
      <c r="Z53" s="25" t="s">
        <v>55</v>
      </c>
      <c r="AA53" s="25" t="s">
        <v>152</v>
      </c>
      <c r="AB53" s="25" t="s">
        <v>55</v>
      </c>
      <c r="AC53" s="25" t="s">
        <v>55</v>
      </c>
      <c r="AD53" s="25" t="s">
        <v>67</v>
      </c>
      <c r="AE53" s="25" t="s">
        <v>257</v>
      </c>
      <c r="AF53" s="25" t="s">
        <v>583</v>
      </c>
      <c r="AG53" s="25" t="s">
        <v>55</v>
      </c>
      <c r="AH53" s="25" t="s">
        <v>55</v>
      </c>
      <c r="AI53" s="25" t="s">
        <v>55</v>
      </c>
      <c r="AJ53" s="25" t="s">
        <v>55</v>
      </c>
      <c r="AK53" s="25" t="s">
        <v>55</v>
      </c>
      <c r="AL53" s="25" t="s">
        <v>55</v>
      </c>
      <c r="AM53" s="25" t="s">
        <v>55</v>
      </c>
      <c r="AN53" s="25" t="s">
        <v>55</v>
      </c>
      <c r="AO53" s="25" t="s">
        <v>55</v>
      </c>
      <c r="AP53" s="25" t="s">
        <v>55</v>
      </c>
      <c r="AQ53" s="25" t="s">
        <v>55</v>
      </c>
      <c r="AR53" s="25" t="s">
        <v>55</v>
      </c>
      <c r="AS53" s="25" t="s">
        <v>55</v>
      </c>
      <c r="AT53" s="25" t="s">
        <v>55</v>
      </c>
      <c r="AU53" s="25" t="s">
        <v>55</v>
      </c>
      <c r="AV53" s="25" t="s">
        <v>55</v>
      </c>
      <c r="AW53" s="26">
        <v>45777</v>
      </c>
      <c r="AX53" s="26">
        <v>45869</v>
      </c>
      <c r="AY53" s="25" t="s">
        <v>541</v>
      </c>
      <c r="AZ53" s="20">
        <f t="shared" si="0"/>
        <v>-9</v>
      </c>
      <c r="BA53" s="17" t="e">
        <f t="shared" si="2"/>
        <v>#N/A</v>
      </c>
      <c r="BB53" s="21" t="s">
        <v>335</v>
      </c>
    </row>
    <row r="54" spans="1:54" ht="12.75" customHeight="1" x14ac:dyDescent="0.35">
      <c r="A54" s="25" t="s">
        <v>609</v>
      </c>
      <c r="B54" s="25" t="s">
        <v>347</v>
      </c>
      <c r="C54" s="25" t="s">
        <v>51</v>
      </c>
      <c r="D54" s="25" t="s">
        <v>610</v>
      </c>
      <c r="E54" s="25" t="s">
        <v>108</v>
      </c>
      <c r="F54" s="25" t="s">
        <v>611</v>
      </c>
      <c r="G54" s="25" t="s">
        <v>54</v>
      </c>
      <c r="H54" s="25" t="s">
        <v>1719</v>
      </c>
      <c r="I54" s="25" t="s">
        <v>121</v>
      </c>
      <c r="J54" s="25" t="s">
        <v>612</v>
      </c>
      <c r="K54" s="25" t="s">
        <v>613</v>
      </c>
      <c r="L54" s="25" t="s">
        <v>503</v>
      </c>
      <c r="M54" s="25" t="s">
        <v>614</v>
      </c>
      <c r="N54" s="25" t="s">
        <v>55</v>
      </c>
      <c r="O54" s="25" t="s">
        <v>615</v>
      </c>
      <c r="P54" s="25" t="s">
        <v>616</v>
      </c>
      <c r="Q54" s="25" t="s">
        <v>617</v>
      </c>
      <c r="R54" s="25" t="s">
        <v>63</v>
      </c>
      <c r="S54" s="25" t="s">
        <v>618</v>
      </c>
      <c r="T54" s="25" t="s">
        <v>619</v>
      </c>
      <c r="U54" s="25" t="s">
        <v>63</v>
      </c>
      <c r="V54" s="26">
        <v>45930</v>
      </c>
      <c r="W54" s="25" t="s">
        <v>55</v>
      </c>
      <c r="X54" s="25" t="s">
        <v>620</v>
      </c>
      <c r="Y54" s="25" t="s">
        <v>65</v>
      </c>
      <c r="Z54" s="25" t="s">
        <v>55</v>
      </c>
      <c r="AA54" s="25" t="s">
        <v>66</v>
      </c>
      <c r="AB54" s="25" t="s">
        <v>55</v>
      </c>
      <c r="AC54" s="25" t="s">
        <v>55</v>
      </c>
      <c r="AD54" s="25" t="s">
        <v>67</v>
      </c>
      <c r="AE54" s="25" t="s">
        <v>257</v>
      </c>
      <c r="AF54" s="25" t="s">
        <v>69</v>
      </c>
      <c r="AG54" s="25" t="s">
        <v>55</v>
      </c>
      <c r="AH54" s="25" t="s">
        <v>55</v>
      </c>
      <c r="AI54" s="25" t="s">
        <v>55</v>
      </c>
      <c r="AJ54" s="25" t="s">
        <v>55</v>
      </c>
      <c r="AK54" s="25" t="s">
        <v>55</v>
      </c>
      <c r="AL54" s="25" t="s">
        <v>55</v>
      </c>
      <c r="AM54" s="25" t="s">
        <v>55</v>
      </c>
      <c r="AN54" s="25" t="s">
        <v>55</v>
      </c>
      <c r="AO54" s="25" t="s">
        <v>55</v>
      </c>
      <c r="AP54" s="25" t="s">
        <v>55</v>
      </c>
      <c r="AQ54" s="25" t="s">
        <v>55</v>
      </c>
      <c r="AR54" s="25" t="s">
        <v>55</v>
      </c>
      <c r="AS54" s="25" t="s">
        <v>55</v>
      </c>
      <c r="AT54" s="25" t="s">
        <v>55</v>
      </c>
      <c r="AU54" s="25" t="s">
        <v>55</v>
      </c>
      <c r="AV54" s="25" t="s">
        <v>55</v>
      </c>
      <c r="AW54" s="26">
        <v>45766</v>
      </c>
      <c r="AX54" s="26">
        <v>45870</v>
      </c>
      <c r="AY54" s="25" t="s">
        <v>608</v>
      </c>
      <c r="AZ54" s="20">
        <f t="shared" si="0"/>
        <v>52</v>
      </c>
      <c r="BA54" s="17" t="str">
        <f t="shared" si="2"/>
        <v>&lt; 3 months</v>
      </c>
      <c r="BB54" s="21" t="s">
        <v>66</v>
      </c>
    </row>
    <row r="55" spans="1:54" ht="12.75" customHeight="1" x14ac:dyDescent="0.35">
      <c r="A55" s="25" t="s">
        <v>621</v>
      </c>
      <c r="B55" s="25" t="s">
        <v>347</v>
      </c>
      <c r="C55" s="25" t="s">
        <v>51</v>
      </c>
      <c r="D55" s="25" t="s">
        <v>610</v>
      </c>
      <c r="E55" s="25" t="s">
        <v>52</v>
      </c>
      <c r="F55" s="25" t="s">
        <v>611</v>
      </c>
      <c r="G55" s="25" t="s">
        <v>54</v>
      </c>
      <c r="H55" s="25" t="s">
        <v>1719</v>
      </c>
      <c r="I55" s="25" t="s">
        <v>121</v>
      </c>
      <c r="J55" s="25" t="s">
        <v>622</v>
      </c>
      <c r="K55" s="25" t="s">
        <v>564</v>
      </c>
      <c r="L55" s="25" t="s">
        <v>103</v>
      </c>
      <c r="M55" s="25" t="s">
        <v>154</v>
      </c>
      <c r="N55" s="25" t="s">
        <v>55</v>
      </c>
      <c r="O55" s="25" t="s">
        <v>615</v>
      </c>
      <c r="P55" s="25" t="s">
        <v>623</v>
      </c>
      <c r="Q55" s="25" t="s">
        <v>624</v>
      </c>
      <c r="R55" s="25" t="s">
        <v>63</v>
      </c>
      <c r="S55" s="25" t="s">
        <v>625</v>
      </c>
      <c r="T55" s="25" t="s">
        <v>626</v>
      </c>
      <c r="U55" s="25" t="s">
        <v>132</v>
      </c>
      <c r="V55" s="26">
        <v>46022</v>
      </c>
      <c r="W55" s="25" t="s">
        <v>55</v>
      </c>
      <c r="X55" s="25" t="s">
        <v>627</v>
      </c>
      <c r="Y55" s="25" t="s">
        <v>65</v>
      </c>
      <c r="Z55" s="25" t="s">
        <v>55</v>
      </c>
      <c r="AA55" s="25" t="s">
        <v>221</v>
      </c>
      <c r="AB55" s="25" t="s">
        <v>55</v>
      </c>
      <c r="AC55" s="25" t="s">
        <v>55</v>
      </c>
      <c r="AD55" s="25" t="s">
        <v>67</v>
      </c>
      <c r="AE55" s="25" t="s">
        <v>257</v>
      </c>
      <c r="AF55" s="25" t="s">
        <v>156</v>
      </c>
      <c r="AG55" s="25" t="s">
        <v>55</v>
      </c>
      <c r="AH55" s="25" t="s">
        <v>55</v>
      </c>
      <c r="AI55" s="25" t="s">
        <v>55</v>
      </c>
      <c r="AJ55" s="25" t="s">
        <v>55</v>
      </c>
      <c r="AK55" s="25" t="s">
        <v>55</v>
      </c>
      <c r="AL55" s="25" t="s">
        <v>55</v>
      </c>
      <c r="AM55" s="25" t="s">
        <v>55</v>
      </c>
      <c r="AN55" s="25" t="s">
        <v>55</v>
      </c>
      <c r="AO55" s="25" t="s">
        <v>55</v>
      </c>
      <c r="AP55" s="25" t="s">
        <v>55</v>
      </c>
      <c r="AQ55" s="25" t="s">
        <v>55</v>
      </c>
      <c r="AR55" s="25" t="s">
        <v>55</v>
      </c>
      <c r="AS55" s="25" t="s">
        <v>55</v>
      </c>
      <c r="AT55" s="25" t="s">
        <v>55</v>
      </c>
      <c r="AU55" s="25" t="s">
        <v>55</v>
      </c>
      <c r="AV55" s="25" t="s">
        <v>55</v>
      </c>
      <c r="AW55" s="26">
        <v>45766</v>
      </c>
      <c r="AX55" s="26">
        <v>45870</v>
      </c>
      <c r="AY55" s="25" t="s">
        <v>608</v>
      </c>
      <c r="AZ55" s="20">
        <f t="shared" si="0"/>
        <v>-40</v>
      </c>
      <c r="BA55" s="17" t="e">
        <f t="shared" si="2"/>
        <v>#N/A</v>
      </c>
      <c r="BB55" s="21" t="s">
        <v>335</v>
      </c>
    </row>
    <row r="56" spans="1:54" ht="12.75" customHeight="1" x14ac:dyDescent="0.35">
      <c r="A56" s="25" t="s">
        <v>628</v>
      </c>
      <c r="B56" s="25" t="s">
        <v>347</v>
      </c>
      <c r="C56" s="25" t="s">
        <v>51</v>
      </c>
      <c r="D56" s="25" t="s">
        <v>610</v>
      </c>
      <c r="E56" s="25" t="s">
        <v>52</v>
      </c>
      <c r="F56" s="25" t="s">
        <v>611</v>
      </c>
      <c r="G56" s="25" t="s">
        <v>54</v>
      </c>
      <c r="H56" s="25" t="s">
        <v>1719</v>
      </c>
      <c r="I56" s="25" t="s">
        <v>121</v>
      </c>
      <c r="J56" s="25" t="s">
        <v>629</v>
      </c>
      <c r="K56" s="25" t="s">
        <v>565</v>
      </c>
      <c r="L56" s="25" t="s">
        <v>103</v>
      </c>
      <c r="M56" s="25" t="s">
        <v>614</v>
      </c>
      <c r="N56" s="25" t="s">
        <v>55</v>
      </c>
      <c r="O56" s="25" t="s">
        <v>615</v>
      </c>
      <c r="P56" s="25" t="s">
        <v>630</v>
      </c>
      <c r="Q56" s="25" t="s">
        <v>631</v>
      </c>
      <c r="R56" s="25" t="s">
        <v>63</v>
      </c>
      <c r="S56" s="25" t="s">
        <v>632</v>
      </c>
      <c r="T56" s="25" t="s">
        <v>633</v>
      </c>
      <c r="U56" s="25" t="s">
        <v>63</v>
      </c>
      <c r="V56" s="26">
        <v>45930</v>
      </c>
      <c r="W56" s="25" t="s">
        <v>55</v>
      </c>
      <c r="X56" s="25" t="s">
        <v>634</v>
      </c>
      <c r="Y56" s="25" t="s">
        <v>65</v>
      </c>
      <c r="Z56" s="25" t="s">
        <v>55</v>
      </c>
      <c r="AA56" s="25" t="s">
        <v>66</v>
      </c>
      <c r="AB56" s="25" t="s">
        <v>55</v>
      </c>
      <c r="AC56" s="25" t="s">
        <v>55</v>
      </c>
      <c r="AD56" s="25" t="s">
        <v>67</v>
      </c>
      <c r="AE56" s="25" t="s">
        <v>257</v>
      </c>
      <c r="AF56" s="25" t="s">
        <v>69</v>
      </c>
      <c r="AG56" s="25" t="s">
        <v>55</v>
      </c>
      <c r="AH56" s="25" t="s">
        <v>55</v>
      </c>
      <c r="AI56" s="25" t="s">
        <v>55</v>
      </c>
      <c r="AJ56" s="25" t="s">
        <v>55</v>
      </c>
      <c r="AK56" s="25" t="s">
        <v>55</v>
      </c>
      <c r="AL56" s="25" t="s">
        <v>55</v>
      </c>
      <c r="AM56" s="25" t="s">
        <v>55</v>
      </c>
      <c r="AN56" s="25" t="s">
        <v>55</v>
      </c>
      <c r="AO56" s="25" t="s">
        <v>55</v>
      </c>
      <c r="AP56" s="25" t="s">
        <v>55</v>
      </c>
      <c r="AQ56" s="25" t="s">
        <v>55</v>
      </c>
      <c r="AR56" s="25" t="s">
        <v>55</v>
      </c>
      <c r="AS56" s="25" t="s">
        <v>55</v>
      </c>
      <c r="AT56" s="25" t="s">
        <v>55</v>
      </c>
      <c r="AU56" s="25" t="s">
        <v>55</v>
      </c>
      <c r="AV56" s="25" t="s">
        <v>55</v>
      </c>
      <c r="AW56" s="26">
        <v>45766</v>
      </c>
      <c r="AX56" s="26">
        <v>45870</v>
      </c>
      <c r="AY56" s="25" t="s">
        <v>608</v>
      </c>
      <c r="AZ56" s="20">
        <f t="shared" si="0"/>
        <v>52</v>
      </c>
      <c r="BA56" s="17" t="str">
        <f t="shared" si="2"/>
        <v>&lt; 3 months</v>
      </c>
      <c r="BB56" s="21" t="s">
        <v>66</v>
      </c>
    </row>
    <row r="57" spans="1:54" ht="12.75" customHeight="1" x14ac:dyDescent="0.35">
      <c r="A57" s="25" t="s">
        <v>635</v>
      </c>
      <c r="B57" s="25" t="s">
        <v>347</v>
      </c>
      <c r="C57" s="25" t="s">
        <v>51</v>
      </c>
      <c r="D57" s="25" t="s">
        <v>610</v>
      </c>
      <c r="E57" s="25" t="s">
        <v>52</v>
      </c>
      <c r="F57" s="25" t="s">
        <v>611</v>
      </c>
      <c r="G57" s="25" t="s">
        <v>54</v>
      </c>
      <c r="H57" s="25" t="s">
        <v>1719</v>
      </c>
      <c r="I57" s="25" t="s">
        <v>121</v>
      </c>
      <c r="J57" s="25" t="s">
        <v>636</v>
      </c>
      <c r="K57" s="25" t="s">
        <v>564</v>
      </c>
      <c r="L57" s="25" t="s">
        <v>103</v>
      </c>
      <c r="M57" s="25" t="s">
        <v>154</v>
      </c>
      <c r="N57" s="25" t="s">
        <v>55</v>
      </c>
      <c r="O57" s="25" t="s">
        <v>615</v>
      </c>
      <c r="P57" s="25" t="s">
        <v>637</v>
      </c>
      <c r="Q57" s="25" t="s">
        <v>638</v>
      </c>
      <c r="R57" s="25" t="s">
        <v>63</v>
      </c>
      <c r="S57" s="25" t="s">
        <v>639</v>
      </c>
      <c r="T57" s="25" t="s">
        <v>633</v>
      </c>
      <c r="U57" s="25" t="s">
        <v>63</v>
      </c>
      <c r="V57" s="26">
        <v>45930</v>
      </c>
      <c r="W57" s="25" t="s">
        <v>55</v>
      </c>
      <c r="X57" s="25" t="s">
        <v>640</v>
      </c>
      <c r="Y57" s="25" t="s">
        <v>65</v>
      </c>
      <c r="Z57" s="25" t="s">
        <v>55</v>
      </c>
      <c r="AA57" s="25" t="s">
        <v>66</v>
      </c>
      <c r="AB57" s="25" t="s">
        <v>55</v>
      </c>
      <c r="AC57" s="25" t="s">
        <v>55</v>
      </c>
      <c r="AD57" s="25" t="s">
        <v>67</v>
      </c>
      <c r="AE57" s="25" t="s">
        <v>257</v>
      </c>
      <c r="AF57" s="25" t="s">
        <v>156</v>
      </c>
      <c r="AG57" s="25" t="s">
        <v>55</v>
      </c>
      <c r="AH57" s="25" t="s">
        <v>55</v>
      </c>
      <c r="AI57" s="25" t="s">
        <v>55</v>
      </c>
      <c r="AJ57" s="25" t="s">
        <v>55</v>
      </c>
      <c r="AK57" s="25" t="s">
        <v>55</v>
      </c>
      <c r="AL57" s="25" t="s">
        <v>55</v>
      </c>
      <c r="AM57" s="25" t="s">
        <v>55</v>
      </c>
      <c r="AN57" s="25" t="s">
        <v>55</v>
      </c>
      <c r="AO57" s="25" t="s">
        <v>55</v>
      </c>
      <c r="AP57" s="25" t="s">
        <v>55</v>
      </c>
      <c r="AQ57" s="25" t="s">
        <v>55</v>
      </c>
      <c r="AR57" s="25" t="s">
        <v>55</v>
      </c>
      <c r="AS57" s="25" t="s">
        <v>55</v>
      </c>
      <c r="AT57" s="25" t="s">
        <v>55</v>
      </c>
      <c r="AU57" s="25" t="s">
        <v>55</v>
      </c>
      <c r="AV57" s="25" t="s">
        <v>55</v>
      </c>
      <c r="AW57" s="26">
        <v>45766</v>
      </c>
      <c r="AX57" s="26">
        <v>45870</v>
      </c>
      <c r="AY57" s="25" t="s">
        <v>608</v>
      </c>
      <c r="AZ57" s="20">
        <f t="shared" si="0"/>
        <v>52</v>
      </c>
      <c r="BA57" s="17" t="str">
        <f t="shared" si="2"/>
        <v>&lt; 3 months</v>
      </c>
      <c r="BB57" s="21" t="s">
        <v>66</v>
      </c>
    </row>
    <row r="58" spans="1:54" ht="12.75" customHeight="1" x14ac:dyDescent="0.35">
      <c r="A58" s="25" t="s">
        <v>641</v>
      </c>
      <c r="B58" s="25" t="s">
        <v>347</v>
      </c>
      <c r="C58" s="25" t="s">
        <v>51</v>
      </c>
      <c r="D58" s="25" t="s">
        <v>610</v>
      </c>
      <c r="E58" s="25" t="s">
        <v>52</v>
      </c>
      <c r="F58" s="25" t="s">
        <v>611</v>
      </c>
      <c r="G58" s="25" t="s">
        <v>54</v>
      </c>
      <c r="H58" s="25" t="s">
        <v>1719</v>
      </c>
      <c r="I58" s="25" t="s">
        <v>160</v>
      </c>
      <c r="J58" s="25" t="s">
        <v>642</v>
      </c>
      <c r="K58" s="25" t="s">
        <v>597</v>
      </c>
      <c r="L58" s="25" t="s">
        <v>103</v>
      </c>
      <c r="M58" s="25" t="s">
        <v>311</v>
      </c>
      <c r="N58" s="25" t="s">
        <v>55</v>
      </c>
      <c r="O58" s="25" t="s">
        <v>615</v>
      </c>
      <c r="P58" s="25" t="s">
        <v>643</v>
      </c>
      <c r="Q58" s="25" t="s">
        <v>644</v>
      </c>
      <c r="R58" s="25" t="s">
        <v>63</v>
      </c>
      <c r="S58" s="25" t="s">
        <v>645</v>
      </c>
      <c r="T58" s="25" t="s">
        <v>646</v>
      </c>
      <c r="U58" s="25" t="s">
        <v>132</v>
      </c>
      <c r="V58" s="26">
        <v>46022</v>
      </c>
      <c r="W58" s="25" t="s">
        <v>55</v>
      </c>
      <c r="X58" s="25" t="s">
        <v>647</v>
      </c>
      <c r="Y58" s="25" t="s">
        <v>65</v>
      </c>
      <c r="Z58" s="25" t="s">
        <v>55</v>
      </c>
      <c r="AA58" s="25" t="s">
        <v>221</v>
      </c>
      <c r="AB58" s="25" t="s">
        <v>55</v>
      </c>
      <c r="AC58" s="25" t="s">
        <v>55</v>
      </c>
      <c r="AD58" s="25" t="s">
        <v>67</v>
      </c>
      <c r="AE58" s="25" t="s">
        <v>257</v>
      </c>
      <c r="AF58" s="25" t="s">
        <v>220</v>
      </c>
      <c r="AG58" s="25" t="s">
        <v>55</v>
      </c>
      <c r="AH58" s="25" t="s">
        <v>55</v>
      </c>
      <c r="AI58" s="25" t="s">
        <v>55</v>
      </c>
      <c r="AJ58" s="25" t="s">
        <v>55</v>
      </c>
      <c r="AK58" s="25" t="s">
        <v>55</v>
      </c>
      <c r="AL58" s="25" t="s">
        <v>55</v>
      </c>
      <c r="AM58" s="25" t="s">
        <v>55</v>
      </c>
      <c r="AN58" s="25" t="s">
        <v>55</v>
      </c>
      <c r="AO58" s="25" t="s">
        <v>55</v>
      </c>
      <c r="AP58" s="25" t="s">
        <v>55</v>
      </c>
      <c r="AQ58" s="25" t="s">
        <v>55</v>
      </c>
      <c r="AR58" s="25" t="s">
        <v>55</v>
      </c>
      <c r="AS58" s="25" t="s">
        <v>55</v>
      </c>
      <c r="AT58" s="25" t="s">
        <v>55</v>
      </c>
      <c r="AU58" s="25" t="s">
        <v>55</v>
      </c>
      <c r="AV58" s="25" t="s">
        <v>55</v>
      </c>
      <c r="AW58" s="26">
        <v>45766</v>
      </c>
      <c r="AX58" s="26">
        <v>45870</v>
      </c>
      <c r="AY58" s="25" t="s">
        <v>608</v>
      </c>
      <c r="AZ58" s="20">
        <f t="shared" si="0"/>
        <v>-40</v>
      </c>
      <c r="BA58" s="17" t="e">
        <f t="shared" si="2"/>
        <v>#N/A</v>
      </c>
      <c r="BB58" s="21" t="s">
        <v>335</v>
      </c>
    </row>
    <row r="59" spans="1:54" ht="12.75" customHeight="1" x14ac:dyDescent="0.35">
      <c r="A59" s="25" t="s">
        <v>648</v>
      </c>
      <c r="B59" s="25" t="s">
        <v>347</v>
      </c>
      <c r="C59" s="25" t="s">
        <v>51</v>
      </c>
      <c r="D59" s="25" t="s">
        <v>610</v>
      </c>
      <c r="E59" s="25" t="s">
        <v>108</v>
      </c>
      <c r="F59" s="25" t="s">
        <v>611</v>
      </c>
      <c r="G59" s="25" t="s">
        <v>54</v>
      </c>
      <c r="H59" s="25" t="s">
        <v>1719</v>
      </c>
      <c r="I59" s="25" t="s">
        <v>160</v>
      </c>
      <c r="J59" s="25" t="s">
        <v>649</v>
      </c>
      <c r="K59" s="25" t="s">
        <v>559</v>
      </c>
      <c r="L59" s="25" t="s">
        <v>103</v>
      </c>
      <c r="M59" s="25" t="s">
        <v>55</v>
      </c>
      <c r="N59" s="25" t="s">
        <v>55</v>
      </c>
      <c r="O59" s="25" t="s">
        <v>615</v>
      </c>
      <c r="P59" s="25" t="s">
        <v>650</v>
      </c>
      <c r="Q59" s="25" t="s">
        <v>651</v>
      </c>
      <c r="R59" s="25" t="s">
        <v>132</v>
      </c>
      <c r="S59" s="25" t="s">
        <v>652</v>
      </c>
      <c r="T59" s="25" t="s">
        <v>653</v>
      </c>
      <c r="U59" s="25" t="s">
        <v>132</v>
      </c>
      <c r="V59" s="26">
        <v>46022</v>
      </c>
      <c r="W59" s="25" t="s">
        <v>55</v>
      </c>
      <c r="X59" s="25" t="s">
        <v>647</v>
      </c>
      <c r="Y59" s="25" t="s">
        <v>65</v>
      </c>
      <c r="Z59" s="25" t="s">
        <v>55</v>
      </c>
      <c r="AA59" s="25" t="s">
        <v>221</v>
      </c>
      <c r="AB59" s="25" t="s">
        <v>55</v>
      </c>
      <c r="AC59" s="25" t="s">
        <v>55</v>
      </c>
      <c r="AD59" s="25" t="s">
        <v>67</v>
      </c>
      <c r="AE59" s="25" t="s">
        <v>257</v>
      </c>
      <c r="AF59" s="25" t="s">
        <v>55</v>
      </c>
      <c r="AG59" s="25" t="s">
        <v>55</v>
      </c>
      <c r="AH59" s="25" t="s">
        <v>55</v>
      </c>
      <c r="AI59" s="25" t="s">
        <v>55</v>
      </c>
      <c r="AJ59" s="25" t="s">
        <v>55</v>
      </c>
      <c r="AK59" s="25" t="s">
        <v>55</v>
      </c>
      <c r="AL59" s="25" t="s">
        <v>55</v>
      </c>
      <c r="AM59" s="25" t="s">
        <v>55</v>
      </c>
      <c r="AN59" s="25" t="s">
        <v>55</v>
      </c>
      <c r="AO59" s="25" t="s">
        <v>55</v>
      </c>
      <c r="AP59" s="25" t="s">
        <v>55</v>
      </c>
      <c r="AQ59" s="25" t="s">
        <v>55</v>
      </c>
      <c r="AR59" s="25" t="s">
        <v>55</v>
      </c>
      <c r="AS59" s="25" t="s">
        <v>55</v>
      </c>
      <c r="AT59" s="25" t="s">
        <v>55</v>
      </c>
      <c r="AU59" s="25" t="s">
        <v>55</v>
      </c>
      <c r="AV59" s="25" t="s">
        <v>55</v>
      </c>
      <c r="AW59" s="26">
        <v>45766</v>
      </c>
      <c r="AX59" s="26">
        <v>45870</v>
      </c>
      <c r="AY59" s="25" t="s">
        <v>608</v>
      </c>
      <c r="AZ59" s="20">
        <f t="shared" si="0"/>
        <v>-40</v>
      </c>
      <c r="BA59" s="17" t="e">
        <f t="shared" si="2"/>
        <v>#N/A</v>
      </c>
      <c r="BB59" s="21" t="s">
        <v>335</v>
      </c>
    </row>
    <row r="60" spans="1:54" ht="12.75" customHeight="1" x14ac:dyDescent="0.35">
      <c r="A60" s="25" t="s">
        <v>654</v>
      </c>
      <c r="B60" s="25" t="s">
        <v>347</v>
      </c>
      <c r="C60" s="25" t="s">
        <v>51</v>
      </c>
      <c r="D60" s="25" t="s">
        <v>610</v>
      </c>
      <c r="E60" s="25" t="s">
        <v>108</v>
      </c>
      <c r="F60" s="25" t="s">
        <v>611</v>
      </c>
      <c r="G60" s="25" t="s">
        <v>54</v>
      </c>
      <c r="H60" s="25" t="s">
        <v>1719</v>
      </c>
      <c r="I60" s="25" t="s">
        <v>160</v>
      </c>
      <c r="J60" s="25" t="s">
        <v>281</v>
      </c>
      <c r="K60" s="25" t="s">
        <v>563</v>
      </c>
      <c r="L60" s="25" t="s">
        <v>103</v>
      </c>
      <c r="M60" s="25" t="s">
        <v>55</v>
      </c>
      <c r="N60" s="25" t="s">
        <v>55</v>
      </c>
      <c r="O60" s="25" t="s">
        <v>615</v>
      </c>
      <c r="P60" s="25" t="s">
        <v>655</v>
      </c>
      <c r="Q60" s="25" t="s">
        <v>656</v>
      </c>
      <c r="R60" s="25" t="s">
        <v>63</v>
      </c>
      <c r="S60" s="25" t="s">
        <v>657</v>
      </c>
      <c r="T60" s="25" t="s">
        <v>658</v>
      </c>
      <c r="U60" s="25" t="s">
        <v>132</v>
      </c>
      <c r="V60" s="26">
        <v>45930</v>
      </c>
      <c r="W60" s="25" t="s">
        <v>55</v>
      </c>
      <c r="X60" s="25" t="s">
        <v>659</v>
      </c>
      <c r="Y60" s="25" t="s">
        <v>65</v>
      </c>
      <c r="Z60" s="25" t="s">
        <v>55</v>
      </c>
      <c r="AA60" s="25" t="s">
        <v>66</v>
      </c>
      <c r="AB60" s="25" t="s">
        <v>55</v>
      </c>
      <c r="AC60" s="25" t="s">
        <v>55</v>
      </c>
      <c r="AD60" s="25" t="s">
        <v>67</v>
      </c>
      <c r="AE60" s="25" t="s">
        <v>257</v>
      </c>
      <c r="AF60" s="25" t="s">
        <v>55</v>
      </c>
      <c r="AG60" s="25" t="s">
        <v>55</v>
      </c>
      <c r="AH60" s="25" t="s">
        <v>55</v>
      </c>
      <c r="AI60" s="25" t="s">
        <v>55</v>
      </c>
      <c r="AJ60" s="25" t="s">
        <v>55</v>
      </c>
      <c r="AK60" s="25" t="s">
        <v>55</v>
      </c>
      <c r="AL60" s="25" t="s">
        <v>55</v>
      </c>
      <c r="AM60" s="25" t="s">
        <v>55</v>
      </c>
      <c r="AN60" s="25" t="s">
        <v>55</v>
      </c>
      <c r="AO60" s="25" t="s">
        <v>55</v>
      </c>
      <c r="AP60" s="25" t="s">
        <v>55</v>
      </c>
      <c r="AQ60" s="25" t="s">
        <v>55</v>
      </c>
      <c r="AR60" s="25" t="s">
        <v>55</v>
      </c>
      <c r="AS60" s="25" t="s">
        <v>55</v>
      </c>
      <c r="AT60" s="25" t="s">
        <v>55</v>
      </c>
      <c r="AU60" s="25" t="s">
        <v>55</v>
      </c>
      <c r="AV60" s="25" t="s">
        <v>55</v>
      </c>
      <c r="AW60" s="26">
        <v>45766</v>
      </c>
      <c r="AX60" s="26">
        <v>45870</v>
      </c>
      <c r="AY60" s="25" t="s">
        <v>608</v>
      </c>
      <c r="AZ60" s="20">
        <f t="shared" si="0"/>
        <v>52</v>
      </c>
      <c r="BA60" s="17" t="str">
        <f t="shared" si="2"/>
        <v>&lt; 3 months</v>
      </c>
      <c r="BB60" s="21" t="s">
        <v>66</v>
      </c>
    </row>
    <row r="61" spans="1:54" ht="12.75" customHeight="1" x14ac:dyDescent="0.35">
      <c r="A61" s="25" t="s">
        <v>660</v>
      </c>
      <c r="B61" s="25" t="s">
        <v>347</v>
      </c>
      <c r="C61" s="25" t="s">
        <v>51</v>
      </c>
      <c r="D61" s="25" t="s">
        <v>610</v>
      </c>
      <c r="E61" s="25" t="s">
        <v>108</v>
      </c>
      <c r="F61" s="25" t="s">
        <v>611</v>
      </c>
      <c r="G61" s="25" t="s">
        <v>54</v>
      </c>
      <c r="H61" s="25" t="s">
        <v>1719</v>
      </c>
      <c r="I61" s="25" t="s">
        <v>160</v>
      </c>
      <c r="J61" s="25" t="s">
        <v>661</v>
      </c>
      <c r="K61" s="25" t="s">
        <v>594</v>
      </c>
      <c r="L61" s="25" t="s">
        <v>103</v>
      </c>
      <c r="M61" s="25" t="s">
        <v>55</v>
      </c>
      <c r="N61" s="25" t="s">
        <v>55</v>
      </c>
      <c r="O61" s="25" t="s">
        <v>615</v>
      </c>
      <c r="P61" s="25" t="s">
        <v>662</v>
      </c>
      <c r="Q61" s="25" t="s">
        <v>663</v>
      </c>
      <c r="R61" s="25" t="s">
        <v>63</v>
      </c>
      <c r="S61" s="25" t="s">
        <v>664</v>
      </c>
      <c r="T61" s="25" t="s">
        <v>665</v>
      </c>
      <c r="U61" s="25" t="s">
        <v>132</v>
      </c>
      <c r="V61" s="26">
        <v>46022</v>
      </c>
      <c r="W61" s="25" t="s">
        <v>55</v>
      </c>
      <c r="X61" s="25" t="s">
        <v>647</v>
      </c>
      <c r="Y61" s="25" t="s">
        <v>65</v>
      </c>
      <c r="Z61" s="25" t="s">
        <v>55</v>
      </c>
      <c r="AA61" s="25" t="s">
        <v>221</v>
      </c>
      <c r="AB61" s="25" t="s">
        <v>55</v>
      </c>
      <c r="AC61" s="25" t="s">
        <v>55</v>
      </c>
      <c r="AD61" s="25" t="s">
        <v>67</v>
      </c>
      <c r="AE61" s="25" t="s">
        <v>257</v>
      </c>
      <c r="AF61" s="25" t="s">
        <v>55</v>
      </c>
      <c r="AG61" s="25" t="s">
        <v>55</v>
      </c>
      <c r="AH61" s="25" t="s">
        <v>55</v>
      </c>
      <c r="AI61" s="25" t="s">
        <v>55</v>
      </c>
      <c r="AJ61" s="25" t="s">
        <v>55</v>
      </c>
      <c r="AK61" s="25" t="s">
        <v>55</v>
      </c>
      <c r="AL61" s="25" t="s">
        <v>55</v>
      </c>
      <c r="AM61" s="25" t="s">
        <v>55</v>
      </c>
      <c r="AN61" s="25" t="s">
        <v>55</v>
      </c>
      <c r="AO61" s="25" t="s">
        <v>55</v>
      </c>
      <c r="AP61" s="25" t="s">
        <v>55</v>
      </c>
      <c r="AQ61" s="25" t="s">
        <v>55</v>
      </c>
      <c r="AR61" s="25" t="s">
        <v>55</v>
      </c>
      <c r="AS61" s="25" t="s">
        <v>55</v>
      </c>
      <c r="AT61" s="25" t="s">
        <v>55</v>
      </c>
      <c r="AU61" s="25" t="s">
        <v>55</v>
      </c>
      <c r="AV61" s="25" t="s">
        <v>55</v>
      </c>
      <c r="AW61" s="26">
        <v>45766</v>
      </c>
      <c r="AX61" s="26">
        <v>45870</v>
      </c>
      <c r="AY61" s="25" t="s">
        <v>608</v>
      </c>
      <c r="AZ61" s="20">
        <f t="shared" si="0"/>
        <v>-40</v>
      </c>
      <c r="BA61" s="17" t="e">
        <f t="shared" si="2"/>
        <v>#N/A</v>
      </c>
      <c r="BB61" s="21" t="s">
        <v>335</v>
      </c>
    </row>
    <row r="62" spans="1:54" ht="12.75" customHeight="1" x14ac:dyDescent="0.35">
      <c r="A62" s="25" t="s">
        <v>666</v>
      </c>
      <c r="B62" s="25" t="s">
        <v>347</v>
      </c>
      <c r="C62" s="25" t="s">
        <v>51</v>
      </c>
      <c r="D62" s="25" t="s">
        <v>610</v>
      </c>
      <c r="E62" s="25" t="s">
        <v>52</v>
      </c>
      <c r="F62" s="25" t="s">
        <v>611</v>
      </c>
      <c r="G62" s="25" t="s">
        <v>54</v>
      </c>
      <c r="H62" s="25" t="s">
        <v>1719</v>
      </c>
      <c r="I62" s="25" t="s">
        <v>119</v>
      </c>
      <c r="J62" s="25" t="s">
        <v>667</v>
      </c>
      <c r="K62" s="25" t="s">
        <v>544</v>
      </c>
      <c r="L62" s="25" t="s">
        <v>103</v>
      </c>
      <c r="M62" s="25" t="s">
        <v>545</v>
      </c>
      <c r="N62" s="25" t="s">
        <v>55</v>
      </c>
      <c r="O62" s="25" t="s">
        <v>615</v>
      </c>
      <c r="P62" s="25" t="s">
        <v>668</v>
      </c>
      <c r="Q62" s="25" t="s">
        <v>669</v>
      </c>
      <c r="R62" s="25" t="s">
        <v>132</v>
      </c>
      <c r="S62" s="25" t="s">
        <v>670</v>
      </c>
      <c r="T62" s="25" t="s">
        <v>671</v>
      </c>
      <c r="U62" s="25" t="s">
        <v>132</v>
      </c>
      <c r="V62" s="26">
        <v>46022</v>
      </c>
      <c r="W62" s="25" t="s">
        <v>55</v>
      </c>
      <c r="X62" s="25" t="s">
        <v>672</v>
      </c>
      <c r="Y62" s="25" t="s">
        <v>65</v>
      </c>
      <c r="Z62" s="25" t="s">
        <v>55</v>
      </c>
      <c r="AA62" s="25" t="s">
        <v>221</v>
      </c>
      <c r="AB62" s="25" t="s">
        <v>55</v>
      </c>
      <c r="AC62" s="25" t="s">
        <v>55</v>
      </c>
      <c r="AD62" s="25" t="s">
        <v>67</v>
      </c>
      <c r="AE62" s="25" t="s">
        <v>257</v>
      </c>
      <c r="AF62" s="25" t="s">
        <v>69</v>
      </c>
      <c r="AG62" s="25" t="s">
        <v>55</v>
      </c>
      <c r="AH62" s="25" t="s">
        <v>55</v>
      </c>
      <c r="AI62" s="25" t="s">
        <v>55</v>
      </c>
      <c r="AJ62" s="25" t="s">
        <v>55</v>
      </c>
      <c r="AK62" s="25" t="s">
        <v>55</v>
      </c>
      <c r="AL62" s="25" t="s">
        <v>55</v>
      </c>
      <c r="AM62" s="25" t="s">
        <v>55</v>
      </c>
      <c r="AN62" s="25" t="s">
        <v>55</v>
      </c>
      <c r="AO62" s="25" t="s">
        <v>55</v>
      </c>
      <c r="AP62" s="25" t="s">
        <v>55</v>
      </c>
      <c r="AQ62" s="25" t="s">
        <v>55</v>
      </c>
      <c r="AR62" s="25" t="s">
        <v>55</v>
      </c>
      <c r="AS62" s="25" t="s">
        <v>55</v>
      </c>
      <c r="AT62" s="25" t="s">
        <v>55</v>
      </c>
      <c r="AU62" s="25" t="s">
        <v>55</v>
      </c>
      <c r="AV62" s="25" t="s">
        <v>55</v>
      </c>
      <c r="AW62" s="26">
        <v>45766</v>
      </c>
      <c r="AX62" s="26">
        <v>45870</v>
      </c>
      <c r="AY62" s="25" t="s">
        <v>608</v>
      </c>
      <c r="AZ62" s="20">
        <f t="shared" si="0"/>
        <v>-40</v>
      </c>
      <c r="BA62" s="17" t="e">
        <f t="shared" si="2"/>
        <v>#N/A</v>
      </c>
      <c r="BB62" s="21" t="s">
        <v>335</v>
      </c>
    </row>
    <row r="63" spans="1:54" ht="12.75" customHeight="1" x14ac:dyDescent="0.35">
      <c r="A63" s="25" t="s">
        <v>673</v>
      </c>
      <c r="B63" s="25" t="s">
        <v>347</v>
      </c>
      <c r="C63" s="25" t="s">
        <v>51</v>
      </c>
      <c r="D63" s="25" t="s">
        <v>610</v>
      </c>
      <c r="E63" s="25" t="s">
        <v>52</v>
      </c>
      <c r="F63" s="25" t="s">
        <v>611</v>
      </c>
      <c r="G63" s="25" t="s">
        <v>54</v>
      </c>
      <c r="H63" s="25" t="s">
        <v>1719</v>
      </c>
      <c r="I63" s="25" t="s">
        <v>121</v>
      </c>
      <c r="J63" s="25" t="s">
        <v>674</v>
      </c>
      <c r="K63" s="25" t="s">
        <v>594</v>
      </c>
      <c r="L63" s="25" t="s">
        <v>103</v>
      </c>
      <c r="M63" s="25" t="s">
        <v>675</v>
      </c>
      <c r="N63" s="25" t="s">
        <v>55</v>
      </c>
      <c r="O63" s="25" t="s">
        <v>615</v>
      </c>
      <c r="P63" s="25" t="s">
        <v>676</v>
      </c>
      <c r="Q63" s="25" t="s">
        <v>677</v>
      </c>
      <c r="R63" s="25" t="s">
        <v>63</v>
      </c>
      <c r="S63" s="25" t="s">
        <v>678</v>
      </c>
      <c r="T63" s="25" t="s">
        <v>679</v>
      </c>
      <c r="U63" s="25" t="s">
        <v>132</v>
      </c>
      <c r="V63" s="26">
        <v>45930</v>
      </c>
      <c r="W63" s="25" t="s">
        <v>55</v>
      </c>
      <c r="X63" s="25" t="s">
        <v>680</v>
      </c>
      <c r="Y63" s="25" t="s">
        <v>65</v>
      </c>
      <c r="Z63" s="25" t="s">
        <v>55</v>
      </c>
      <c r="AA63" s="25" t="s">
        <v>66</v>
      </c>
      <c r="AB63" s="25" t="s">
        <v>55</v>
      </c>
      <c r="AC63" s="25" t="s">
        <v>55</v>
      </c>
      <c r="AD63" s="25" t="s">
        <v>67</v>
      </c>
      <c r="AE63" s="25" t="s">
        <v>257</v>
      </c>
      <c r="AF63" s="25" t="s">
        <v>98</v>
      </c>
      <c r="AG63" s="25" t="s">
        <v>55</v>
      </c>
      <c r="AH63" s="25" t="s">
        <v>55</v>
      </c>
      <c r="AI63" s="25" t="s">
        <v>55</v>
      </c>
      <c r="AJ63" s="25" t="s">
        <v>55</v>
      </c>
      <c r="AK63" s="25" t="s">
        <v>55</v>
      </c>
      <c r="AL63" s="25" t="s">
        <v>55</v>
      </c>
      <c r="AM63" s="25" t="s">
        <v>55</v>
      </c>
      <c r="AN63" s="25" t="s">
        <v>55</v>
      </c>
      <c r="AO63" s="25" t="s">
        <v>55</v>
      </c>
      <c r="AP63" s="25" t="s">
        <v>55</v>
      </c>
      <c r="AQ63" s="25" t="s">
        <v>55</v>
      </c>
      <c r="AR63" s="25" t="s">
        <v>55</v>
      </c>
      <c r="AS63" s="25" t="s">
        <v>55</v>
      </c>
      <c r="AT63" s="25" t="s">
        <v>55</v>
      </c>
      <c r="AU63" s="25" t="s">
        <v>55</v>
      </c>
      <c r="AV63" s="25" t="s">
        <v>55</v>
      </c>
      <c r="AW63" s="26">
        <v>45766</v>
      </c>
      <c r="AX63" s="26">
        <v>45870</v>
      </c>
      <c r="AY63" s="25" t="s">
        <v>608</v>
      </c>
      <c r="AZ63" s="20">
        <f t="shared" si="0"/>
        <v>52</v>
      </c>
      <c r="BA63" s="17" t="str">
        <f t="shared" si="2"/>
        <v>&lt; 3 months</v>
      </c>
      <c r="BB63" s="21" t="s">
        <v>66</v>
      </c>
    </row>
    <row r="64" spans="1:54" ht="12" customHeight="1" x14ac:dyDescent="0.35">
      <c r="A64" s="25" t="s">
        <v>681</v>
      </c>
      <c r="B64" s="25" t="s">
        <v>347</v>
      </c>
      <c r="C64" s="25" t="s">
        <v>51</v>
      </c>
      <c r="D64" s="25" t="s">
        <v>610</v>
      </c>
      <c r="E64" s="25" t="s">
        <v>52</v>
      </c>
      <c r="F64" s="25" t="s">
        <v>611</v>
      </c>
      <c r="G64" s="25" t="s">
        <v>54</v>
      </c>
      <c r="H64" s="25" t="s">
        <v>1719</v>
      </c>
      <c r="I64" s="25" t="s">
        <v>56</v>
      </c>
      <c r="J64" s="25" t="s">
        <v>682</v>
      </c>
      <c r="K64" s="25" t="s">
        <v>572</v>
      </c>
      <c r="L64" s="25" t="s">
        <v>103</v>
      </c>
      <c r="M64" s="25" t="s">
        <v>58</v>
      </c>
      <c r="N64" s="25" t="s">
        <v>55</v>
      </c>
      <c r="O64" s="25" t="s">
        <v>615</v>
      </c>
      <c r="P64" s="25" t="s">
        <v>683</v>
      </c>
      <c r="Q64" s="25" t="s">
        <v>684</v>
      </c>
      <c r="R64" s="25" t="s">
        <v>63</v>
      </c>
      <c r="S64" s="25" t="s">
        <v>685</v>
      </c>
      <c r="T64" s="25" t="s">
        <v>686</v>
      </c>
      <c r="U64" s="25" t="s">
        <v>63</v>
      </c>
      <c r="V64" s="26">
        <v>45991</v>
      </c>
      <c r="W64" s="25" t="s">
        <v>55</v>
      </c>
      <c r="X64" s="25" t="s">
        <v>687</v>
      </c>
      <c r="Y64" s="25" t="s">
        <v>65</v>
      </c>
      <c r="Z64" s="25" t="s">
        <v>55</v>
      </c>
      <c r="AA64" s="25" t="s">
        <v>152</v>
      </c>
      <c r="AB64" s="25" t="s">
        <v>55</v>
      </c>
      <c r="AC64" s="25" t="s">
        <v>55</v>
      </c>
      <c r="AD64" s="25" t="s">
        <v>67</v>
      </c>
      <c r="AE64" s="25" t="s">
        <v>257</v>
      </c>
      <c r="AF64" s="25" t="s">
        <v>69</v>
      </c>
      <c r="AG64" s="25" t="s">
        <v>55</v>
      </c>
      <c r="AH64" s="25" t="s">
        <v>55</v>
      </c>
      <c r="AI64" s="25" t="s">
        <v>55</v>
      </c>
      <c r="AJ64" s="25" t="s">
        <v>55</v>
      </c>
      <c r="AK64" s="25" t="s">
        <v>55</v>
      </c>
      <c r="AL64" s="25" t="s">
        <v>55</v>
      </c>
      <c r="AM64" s="25" t="s">
        <v>55</v>
      </c>
      <c r="AN64" s="25" t="s">
        <v>55</v>
      </c>
      <c r="AO64" s="25" t="s">
        <v>55</v>
      </c>
      <c r="AP64" s="25" t="s">
        <v>55</v>
      </c>
      <c r="AQ64" s="25" t="s">
        <v>55</v>
      </c>
      <c r="AR64" s="25" t="s">
        <v>55</v>
      </c>
      <c r="AS64" s="25" t="s">
        <v>55</v>
      </c>
      <c r="AT64" s="25" t="s">
        <v>55</v>
      </c>
      <c r="AU64" s="25" t="s">
        <v>55</v>
      </c>
      <c r="AV64" s="25" t="s">
        <v>55</v>
      </c>
      <c r="AW64" s="26">
        <v>45766</v>
      </c>
      <c r="AX64" s="26">
        <v>45870</v>
      </c>
      <c r="AY64" s="25" t="s">
        <v>608</v>
      </c>
      <c r="AZ64" s="20">
        <f t="shared" si="0"/>
        <v>-9</v>
      </c>
      <c r="BA64" s="17" t="e">
        <f t="shared" si="2"/>
        <v>#N/A</v>
      </c>
      <c r="BB64" s="21" t="s">
        <v>335</v>
      </c>
    </row>
    <row r="65" spans="1:54" ht="12" customHeight="1" x14ac:dyDescent="0.35">
      <c r="A65" s="25" t="s">
        <v>688</v>
      </c>
      <c r="B65" s="25" t="s">
        <v>347</v>
      </c>
      <c r="C65" s="25" t="s">
        <v>51</v>
      </c>
      <c r="D65" s="25" t="s">
        <v>610</v>
      </c>
      <c r="E65" s="25" t="s">
        <v>52</v>
      </c>
      <c r="F65" s="25" t="s">
        <v>611</v>
      </c>
      <c r="G65" s="25" t="s">
        <v>54</v>
      </c>
      <c r="H65" s="25" t="s">
        <v>1719</v>
      </c>
      <c r="I65" s="25" t="s">
        <v>121</v>
      </c>
      <c r="J65" s="25" t="s">
        <v>689</v>
      </c>
      <c r="K65" s="25" t="s">
        <v>564</v>
      </c>
      <c r="L65" s="25" t="s">
        <v>57</v>
      </c>
      <c r="M65" s="25" t="s">
        <v>154</v>
      </c>
      <c r="N65" s="25" t="s">
        <v>55</v>
      </c>
      <c r="O65" s="25" t="s">
        <v>615</v>
      </c>
      <c r="P65" s="25" t="s">
        <v>690</v>
      </c>
      <c r="Q65" s="25" t="s">
        <v>691</v>
      </c>
      <c r="R65" s="25" t="s">
        <v>63</v>
      </c>
      <c r="S65" s="25" t="s">
        <v>692</v>
      </c>
      <c r="T65" s="25" t="s">
        <v>693</v>
      </c>
      <c r="U65" s="25" t="s">
        <v>63</v>
      </c>
      <c r="V65" s="26">
        <v>45930</v>
      </c>
      <c r="W65" s="25" t="s">
        <v>55</v>
      </c>
      <c r="X65" s="25" t="s">
        <v>694</v>
      </c>
      <c r="Y65" s="25" t="s">
        <v>65</v>
      </c>
      <c r="Z65" s="25" t="s">
        <v>55</v>
      </c>
      <c r="AA65" s="25" t="s">
        <v>66</v>
      </c>
      <c r="AB65" s="25" t="s">
        <v>55</v>
      </c>
      <c r="AC65" s="25" t="s">
        <v>55</v>
      </c>
      <c r="AD65" s="25" t="s">
        <v>67</v>
      </c>
      <c r="AE65" s="25" t="s">
        <v>257</v>
      </c>
      <c r="AF65" s="25" t="s">
        <v>156</v>
      </c>
      <c r="AG65" s="25" t="s">
        <v>55</v>
      </c>
      <c r="AH65" s="25" t="s">
        <v>55</v>
      </c>
      <c r="AI65" s="25" t="s">
        <v>55</v>
      </c>
      <c r="AJ65" s="25" t="s">
        <v>55</v>
      </c>
      <c r="AK65" s="25" t="s">
        <v>55</v>
      </c>
      <c r="AL65" s="25" t="s">
        <v>55</v>
      </c>
      <c r="AM65" s="25" t="s">
        <v>55</v>
      </c>
      <c r="AN65" s="25" t="s">
        <v>55</v>
      </c>
      <c r="AO65" s="25" t="s">
        <v>55</v>
      </c>
      <c r="AP65" s="25" t="s">
        <v>55</v>
      </c>
      <c r="AQ65" s="25" t="s">
        <v>55</v>
      </c>
      <c r="AR65" s="25" t="s">
        <v>55</v>
      </c>
      <c r="AS65" s="25" t="s">
        <v>55</v>
      </c>
      <c r="AT65" s="25" t="s">
        <v>55</v>
      </c>
      <c r="AU65" s="25" t="s">
        <v>55</v>
      </c>
      <c r="AV65" s="25" t="s">
        <v>55</v>
      </c>
      <c r="AW65" s="26">
        <v>45766</v>
      </c>
      <c r="AX65" s="26">
        <v>45870</v>
      </c>
      <c r="AY65" s="25" t="s">
        <v>608</v>
      </c>
      <c r="AZ65" s="20">
        <f t="shared" si="0"/>
        <v>52</v>
      </c>
      <c r="BA65" s="17" t="str">
        <f t="shared" si="2"/>
        <v>&lt; 3 months</v>
      </c>
      <c r="BB65" s="21" t="s">
        <v>66</v>
      </c>
    </row>
    <row r="66" spans="1:54" ht="12" customHeight="1" x14ac:dyDescent="0.35">
      <c r="A66" s="25" t="s">
        <v>695</v>
      </c>
      <c r="B66" s="25" t="s">
        <v>347</v>
      </c>
      <c r="C66" s="25" t="s">
        <v>51</v>
      </c>
      <c r="D66" s="25" t="s">
        <v>610</v>
      </c>
      <c r="E66" s="25" t="s">
        <v>52</v>
      </c>
      <c r="F66" s="25" t="s">
        <v>611</v>
      </c>
      <c r="G66" s="25" t="s">
        <v>54</v>
      </c>
      <c r="H66" s="25" t="s">
        <v>1719</v>
      </c>
      <c r="I66" s="25" t="s">
        <v>121</v>
      </c>
      <c r="J66" s="25" t="s">
        <v>696</v>
      </c>
      <c r="K66" s="25" t="s">
        <v>589</v>
      </c>
      <c r="L66" s="25" t="s">
        <v>57</v>
      </c>
      <c r="M66" s="25" t="s">
        <v>258</v>
      </c>
      <c r="N66" s="25" t="s">
        <v>55</v>
      </c>
      <c r="O66" s="25" t="s">
        <v>615</v>
      </c>
      <c r="P66" s="25" t="s">
        <v>697</v>
      </c>
      <c r="Q66" s="25" t="s">
        <v>698</v>
      </c>
      <c r="R66" s="25" t="s">
        <v>132</v>
      </c>
      <c r="S66" s="25" t="s">
        <v>699</v>
      </c>
      <c r="T66" s="25" t="s">
        <v>700</v>
      </c>
      <c r="U66" s="25" t="s">
        <v>63</v>
      </c>
      <c r="V66" s="26">
        <v>45930</v>
      </c>
      <c r="W66" s="25" t="s">
        <v>55</v>
      </c>
      <c r="X66" s="25" t="s">
        <v>634</v>
      </c>
      <c r="Y66" s="25" t="s">
        <v>65</v>
      </c>
      <c r="Z66" s="25" t="s">
        <v>55</v>
      </c>
      <c r="AA66" s="25" t="s">
        <v>66</v>
      </c>
      <c r="AB66" s="25" t="s">
        <v>55</v>
      </c>
      <c r="AC66" s="25" t="s">
        <v>55</v>
      </c>
      <c r="AD66" s="25" t="s">
        <v>67</v>
      </c>
      <c r="AE66" s="25" t="s">
        <v>257</v>
      </c>
      <c r="AF66" s="25" t="s">
        <v>226</v>
      </c>
      <c r="AG66" s="25" t="s">
        <v>55</v>
      </c>
      <c r="AH66" s="25" t="s">
        <v>55</v>
      </c>
      <c r="AI66" s="25" t="s">
        <v>55</v>
      </c>
      <c r="AJ66" s="25" t="s">
        <v>55</v>
      </c>
      <c r="AK66" s="25" t="s">
        <v>55</v>
      </c>
      <c r="AL66" s="25" t="s">
        <v>55</v>
      </c>
      <c r="AM66" s="25" t="s">
        <v>55</v>
      </c>
      <c r="AN66" s="25" t="s">
        <v>55</v>
      </c>
      <c r="AO66" s="25" t="s">
        <v>55</v>
      </c>
      <c r="AP66" s="25" t="s">
        <v>55</v>
      </c>
      <c r="AQ66" s="25" t="s">
        <v>55</v>
      </c>
      <c r="AR66" s="25" t="s">
        <v>55</v>
      </c>
      <c r="AS66" s="25" t="s">
        <v>55</v>
      </c>
      <c r="AT66" s="25" t="s">
        <v>55</v>
      </c>
      <c r="AU66" s="25" t="s">
        <v>55</v>
      </c>
      <c r="AV66" s="25" t="s">
        <v>55</v>
      </c>
      <c r="AW66" s="26">
        <v>45766</v>
      </c>
      <c r="AX66" s="26">
        <v>45870</v>
      </c>
      <c r="AY66" s="25" t="s">
        <v>608</v>
      </c>
      <c r="AZ66" s="20">
        <f t="shared" ref="AZ66:AZ111" si="3">$AZ$2-V66</f>
        <v>52</v>
      </c>
      <c r="BA66" s="17" t="str">
        <f t="shared" ref="BA66:BA111" si="4">VLOOKUP(AZ66,$BE$2:$BF$7,2,TRUE)</f>
        <v>&lt; 3 months</v>
      </c>
      <c r="BB66" s="21" t="s">
        <v>66</v>
      </c>
    </row>
    <row r="67" spans="1:54" ht="12" customHeight="1" x14ac:dyDescent="0.35">
      <c r="A67" s="25" t="s">
        <v>701</v>
      </c>
      <c r="B67" s="25" t="s">
        <v>347</v>
      </c>
      <c r="C67" s="25" t="s">
        <v>51</v>
      </c>
      <c r="D67" s="25" t="s">
        <v>610</v>
      </c>
      <c r="E67" s="25" t="s">
        <v>52</v>
      </c>
      <c r="F67" s="25" t="s">
        <v>611</v>
      </c>
      <c r="G67" s="25" t="s">
        <v>54</v>
      </c>
      <c r="H67" s="25" t="s">
        <v>1719</v>
      </c>
      <c r="I67" s="25" t="s">
        <v>101</v>
      </c>
      <c r="J67" s="25" t="s">
        <v>702</v>
      </c>
      <c r="K67" s="25" t="s">
        <v>561</v>
      </c>
      <c r="L67" s="25" t="s">
        <v>57</v>
      </c>
      <c r="M67" s="25" t="s">
        <v>703</v>
      </c>
      <c r="N67" s="25" t="s">
        <v>55</v>
      </c>
      <c r="O67" s="25" t="s">
        <v>615</v>
      </c>
      <c r="P67" s="25" t="s">
        <v>704</v>
      </c>
      <c r="Q67" s="25" t="s">
        <v>705</v>
      </c>
      <c r="R67" s="25" t="s">
        <v>63</v>
      </c>
      <c r="S67" s="25" t="s">
        <v>706</v>
      </c>
      <c r="T67" s="25" t="s">
        <v>707</v>
      </c>
      <c r="U67" s="25" t="s">
        <v>63</v>
      </c>
      <c r="V67" s="26">
        <v>45930</v>
      </c>
      <c r="W67" s="25" t="s">
        <v>55</v>
      </c>
      <c r="X67" s="25" t="s">
        <v>708</v>
      </c>
      <c r="Y67" s="25" t="s">
        <v>65</v>
      </c>
      <c r="Z67" s="25" t="s">
        <v>55</v>
      </c>
      <c r="AA67" s="25" t="s">
        <v>66</v>
      </c>
      <c r="AB67" s="25" t="s">
        <v>55</v>
      </c>
      <c r="AC67" s="25" t="s">
        <v>55</v>
      </c>
      <c r="AD67" s="25" t="s">
        <v>67</v>
      </c>
      <c r="AE67" s="25" t="s">
        <v>257</v>
      </c>
      <c r="AF67" s="25" t="s">
        <v>98</v>
      </c>
      <c r="AG67" s="25" t="s">
        <v>55</v>
      </c>
      <c r="AH67" s="25" t="s">
        <v>55</v>
      </c>
      <c r="AI67" s="25" t="s">
        <v>55</v>
      </c>
      <c r="AJ67" s="25" t="s">
        <v>55</v>
      </c>
      <c r="AK67" s="25" t="s">
        <v>55</v>
      </c>
      <c r="AL67" s="25" t="s">
        <v>55</v>
      </c>
      <c r="AM67" s="25" t="s">
        <v>55</v>
      </c>
      <c r="AN67" s="25" t="s">
        <v>55</v>
      </c>
      <c r="AO67" s="25" t="s">
        <v>55</v>
      </c>
      <c r="AP67" s="25" t="s">
        <v>55</v>
      </c>
      <c r="AQ67" s="25" t="s">
        <v>55</v>
      </c>
      <c r="AR67" s="25" t="s">
        <v>55</v>
      </c>
      <c r="AS67" s="25" t="s">
        <v>55</v>
      </c>
      <c r="AT67" s="25" t="s">
        <v>55</v>
      </c>
      <c r="AU67" s="25" t="s">
        <v>55</v>
      </c>
      <c r="AV67" s="25" t="s">
        <v>55</v>
      </c>
      <c r="AW67" s="26">
        <v>45766</v>
      </c>
      <c r="AX67" s="26">
        <v>45870</v>
      </c>
      <c r="AY67" s="25" t="s">
        <v>608</v>
      </c>
      <c r="AZ67" s="20">
        <f t="shared" si="3"/>
        <v>52</v>
      </c>
      <c r="BA67" s="17" t="str">
        <f t="shared" si="4"/>
        <v>&lt; 3 months</v>
      </c>
      <c r="BB67" s="21" t="s">
        <v>66</v>
      </c>
    </row>
    <row r="68" spans="1:54" ht="12" customHeight="1" x14ac:dyDescent="0.35">
      <c r="A68" s="25" t="s">
        <v>709</v>
      </c>
      <c r="B68" s="25" t="s">
        <v>347</v>
      </c>
      <c r="C68" s="25" t="s">
        <v>51</v>
      </c>
      <c r="D68" s="25" t="s">
        <v>610</v>
      </c>
      <c r="E68" s="25" t="s">
        <v>108</v>
      </c>
      <c r="F68" s="25" t="s">
        <v>611</v>
      </c>
      <c r="G68" s="25" t="s">
        <v>54</v>
      </c>
      <c r="H68" s="25" t="s">
        <v>1719</v>
      </c>
      <c r="I68" s="25" t="s">
        <v>160</v>
      </c>
      <c r="J68" s="25" t="s">
        <v>710</v>
      </c>
      <c r="K68" s="25" t="s">
        <v>558</v>
      </c>
      <c r="L68" s="25" t="s">
        <v>57</v>
      </c>
      <c r="M68" s="25" t="s">
        <v>55</v>
      </c>
      <c r="N68" s="25" t="s">
        <v>55</v>
      </c>
      <c r="O68" s="25" t="s">
        <v>615</v>
      </c>
      <c r="P68" s="25" t="s">
        <v>711</v>
      </c>
      <c r="Q68" s="25" t="s">
        <v>712</v>
      </c>
      <c r="R68" s="25" t="s">
        <v>63</v>
      </c>
      <c r="S68" s="25" t="s">
        <v>713</v>
      </c>
      <c r="T68" s="25" t="s">
        <v>714</v>
      </c>
      <c r="U68" s="25" t="s">
        <v>132</v>
      </c>
      <c r="V68" s="26">
        <v>46022</v>
      </c>
      <c r="W68" s="25" t="s">
        <v>55</v>
      </c>
      <c r="X68" s="25" t="s">
        <v>715</v>
      </c>
      <c r="Y68" s="25" t="s">
        <v>65</v>
      </c>
      <c r="Z68" s="25" t="s">
        <v>55</v>
      </c>
      <c r="AA68" s="25" t="s">
        <v>221</v>
      </c>
      <c r="AB68" s="25" t="s">
        <v>55</v>
      </c>
      <c r="AC68" s="25" t="s">
        <v>55</v>
      </c>
      <c r="AD68" s="25" t="s">
        <v>67</v>
      </c>
      <c r="AE68" s="25" t="s">
        <v>257</v>
      </c>
      <c r="AF68" s="25" t="s">
        <v>55</v>
      </c>
      <c r="AG68" s="25" t="s">
        <v>55</v>
      </c>
      <c r="AH68" s="25" t="s">
        <v>55</v>
      </c>
      <c r="AI68" s="25" t="s">
        <v>55</v>
      </c>
      <c r="AJ68" s="25" t="s">
        <v>55</v>
      </c>
      <c r="AK68" s="25" t="s">
        <v>55</v>
      </c>
      <c r="AL68" s="25" t="s">
        <v>55</v>
      </c>
      <c r="AM68" s="25" t="s">
        <v>55</v>
      </c>
      <c r="AN68" s="25" t="s">
        <v>55</v>
      </c>
      <c r="AO68" s="25" t="s">
        <v>55</v>
      </c>
      <c r="AP68" s="25" t="s">
        <v>55</v>
      </c>
      <c r="AQ68" s="25" t="s">
        <v>55</v>
      </c>
      <c r="AR68" s="25" t="s">
        <v>55</v>
      </c>
      <c r="AS68" s="25" t="s">
        <v>55</v>
      </c>
      <c r="AT68" s="25" t="s">
        <v>55</v>
      </c>
      <c r="AU68" s="25" t="s">
        <v>55</v>
      </c>
      <c r="AV68" s="25" t="s">
        <v>55</v>
      </c>
      <c r="AW68" s="26">
        <v>45766</v>
      </c>
      <c r="AX68" s="26">
        <v>45870</v>
      </c>
      <c r="AY68" s="25" t="s">
        <v>608</v>
      </c>
      <c r="AZ68" s="20">
        <f t="shared" si="3"/>
        <v>-40</v>
      </c>
      <c r="BA68" s="17" t="e">
        <f t="shared" si="4"/>
        <v>#N/A</v>
      </c>
      <c r="BB68" s="21" t="s">
        <v>335</v>
      </c>
    </row>
    <row r="69" spans="1:54" ht="12" customHeight="1" x14ac:dyDescent="0.35">
      <c r="A69" s="25" t="s">
        <v>716</v>
      </c>
      <c r="B69" s="25" t="s">
        <v>347</v>
      </c>
      <c r="C69" s="25" t="s">
        <v>51</v>
      </c>
      <c r="D69" s="25" t="s">
        <v>610</v>
      </c>
      <c r="E69" s="25" t="s">
        <v>52</v>
      </c>
      <c r="F69" s="25" t="s">
        <v>611</v>
      </c>
      <c r="G69" s="25" t="s">
        <v>54</v>
      </c>
      <c r="H69" s="25" t="s">
        <v>1719</v>
      </c>
      <c r="I69" s="25" t="s">
        <v>101</v>
      </c>
      <c r="J69" s="25" t="s">
        <v>717</v>
      </c>
      <c r="K69" s="25" t="s">
        <v>561</v>
      </c>
      <c r="L69" s="25" t="s">
        <v>57</v>
      </c>
      <c r="M69" s="25" t="s">
        <v>323</v>
      </c>
      <c r="N69" s="25" t="s">
        <v>55</v>
      </c>
      <c r="O69" s="25" t="s">
        <v>615</v>
      </c>
      <c r="P69" s="25" t="s">
        <v>718</v>
      </c>
      <c r="Q69" s="25" t="s">
        <v>719</v>
      </c>
      <c r="R69" s="25" t="s">
        <v>63</v>
      </c>
      <c r="S69" s="25" t="s">
        <v>720</v>
      </c>
      <c r="T69" s="25" t="s">
        <v>721</v>
      </c>
      <c r="U69" s="25" t="s">
        <v>132</v>
      </c>
      <c r="V69" s="26">
        <v>46022</v>
      </c>
      <c r="W69" s="25" t="s">
        <v>55</v>
      </c>
      <c r="X69" s="25" t="s">
        <v>715</v>
      </c>
      <c r="Y69" s="25" t="s">
        <v>65</v>
      </c>
      <c r="Z69" s="25" t="s">
        <v>55</v>
      </c>
      <c r="AA69" s="25" t="s">
        <v>221</v>
      </c>
      <c r="AB69" s="25" t="s">
        <v>55</v>
      </c>
      <c r="AC69" s="25" t="s">
        <v>55</v>
      </c>
      <c r="AD69" s="25" t="s">
        <v>67</v>
      </c>
      <c r="AE69" s="25" t="s">
        <v>257</v>
      </c>
      <c r="AF69" s="25" t="s">
        <v>98</v>
      </c>
      <c r="AG69" s="25" t="s">
        <v>55</v>
      </c>
      <c r="AH69" s="25" t="s">
        <v>55</v>
      </c>
      <c r="AI69" s="25" t="s">
        <v>55</v>
      </c>
      <c r="AJ69" s="25" t="s">
        <v>55</v>
      </c>
      <c r="AK69" s="25" t="s">
        <v>55</v>
      </c>
      <c r="AL69" s="25" t="s">
        <v>55</v>
      </c>
      <c r="AM69" s="25" t="s">
        <v>55</v>
      </c>
      <c r="AN69" s="25" t="s">
        <v>55</v>
      </c>
      <c r="AO69" s="25" t="s">
        <v>55</v>
      </c>
      <c r="AP69" s="25" t="s">
        <v>55</v>
      </c>
      <c r="AQ69" s="25" t="s">
        <v>55</v>
      </c>
      <c r="AR69" s="25" t="s">
        <v>55</v>
      </c>
      <c r="AS69" s="25" t="s">
        <v>55</v>
      </c>
      <c r="AT69" s="25" t="s">
        <v>55</v>
      </c>
      <c r="AU69" s="25" t="s">
        <v>55</v>
      </c>
      <c r="AV69" s="25" t="s">
        <v>55</v>
      </c>
      <c r="AW69" s="26">
        <v>45766</v>
      </c>
      <c r="AX69" s="26">
        <v>45870</v>
      </c>
      <c r="AY69" s="25" t="s">
        <v>608</v>
      </c>
      <c r="AZ69" s="20">
        <f t="shared" si="3"/>
        <v>-40</v>
      </c>
      <c r="BA69" s="17" t="e">
        <f t="shared" si="4"/>
        <v>#N/A</v>
      </c>
      <c r="BB69" s="21" t="s">
        <v>335</v>
      </c>
    </row>
    <row r="70" spans="1:54" ht="12" customHeight="1" x14ac:dyDescent="0.35">
      <c r="A70" s="25" t="s">
        <v>722</v>
      </c>
      <c r="B70" s="25" t="s">
        <v>347</v>
      </c>
      <c r="C70" s="25" t="s">
        <v>51</v>
      </c>
      <c r="D70" s="25" t="s">
        <v>610</v>
      </c>
      <c r="E70" s="25" t="s">
        <v>108</v>
      </c>
      <c r="F70" s="25" t="s">
        <v>611</v>
      </c>
      <c r="G70" s="25" t="s">
        <v>54</v>
      </c>
      <c r="H70" s="25" t="s">
        <v>1719</v>
      </c>
      <c r="I70" s="25" t="s">
        <v>117</v>
      </c>
      <c r="J70" s="25" t="s">
        <v>723</v>
      </c>
      <c r="K70" s="25" t="s">
        <v>576</v>
      </c>
      <c r="L70" s="25" t="s">
        <v>57</v>
      </c>
      <c r="M70" s="25" t="s">
        <v>55</v>
      </c>
      <c r="N70" s="25" t="s">
        <v>55</v>
      </c>
      <c r="O70" s="25" t="s">
        <v>615</v>
      </c>
      <c r="P70" s="25" t="s">
        <v>724</v>
      </c>
      <c r="Q70" s="25" t="s">
        <v>725</v>
      </c>
      <c r="R70" s="25" t="s">
        <v>63</v>
      </c>
      <c r="S70" s="25" t="s">
        <v>726</v>
      </c>
      <c r="T70" s="25" t="s">
        <v>727</v>
      </c>
      <c r="U70" s="25" t="s">
        <v>63</v>
      </c>
      <c r="V70" s="26">
        <v>45930</v>
      </c>
      <c r="W70" s="25" t="s">
        <v>55</v>
      </c>
      <c r="X70" s="25" t="s">
        <v>728</v>
      </c>
      <c r="Y70" s="25" t="s">
        <v>65</v>
      </c>
      <c r="Z70" s="25" t="s">
        <v>55</v>
      </c>
      <c r="AA70" s="25" t="s">
        <v>66</v>
      </c>
      <c r="AB70" s="25" t="s">
        <v>55</v>
      </c>
      <c r="AC70" s="25" t="s">
        <v>55</v>
      </c>
      <c r="AD70" s="25" t="s">
        <v>67</v>
      </c>
      <c r="AE70" s="25" t="s">
        <v>257</v>
      </c>
      <c r="AF70" s="25" t="s">
        <v>55</v>
      </c>
      <c r="AG70" s="25" t="s">
        <v>55</v>
      </c>
      <c r="AH70" s="25" t="s">
        <v>55</v>
      </c>
      <c r="AI70" s="25" t="s">
        <v>55</v>
      </c>
      <c r="AJ70" s="25" t="s">
        <v>55</v>
      </c>
      <c r="AK70" s="25" t="s">
        <v>55</v>
      </c>
      <c r="AL70" s="25" t="s">
        <v>55</v>
      </c>
      <c r="AM70" s="25" t="s">
        <v>55</v>
      </c>
      <c r="AN70" s="25" t="s">
        <v>55</v>
      </c>
      <c r="AO70" s="25" t="s">
        <v>55</v>
      </c>
      <c r="AP70" s="25" t="s">
        <v>55</v>
      </c>
      <c r="AQ70" s="25" t="s">
        <v>55</v>
      </c>
      <c r="AR70" s="25" t="s">
        <v>55</v>
      </c>
      <c r="AS70" s="25" t="s">
        <v>55</v>
      </c>
      <c r="AT70" s="25" t="s">
        <v>55</v>
      </c>
      <c r="AU70" s="25" t="s">
        <v>55</v>
      </c>
      <c r="AV70" s="25" t="s">
        <v>55</v>
      </c>
      <c r="AW70" s="26">
        <v>45766</v>
      </c>
      <c r="AX70" s="26">
        <v>45870</v>
      </c>
      <c r="AY70" s="25" t="s">
        <v>608</v>
      </c>
      <c r="AZ70" s="20">
        <f t="shared" si="3"/>
        <v>52</v>
      </c>
      <c r="BA70" s="17" t="str">
        <f t="shared" si="4"/>
        <v>&lt; 3 months</v>
      </c>
      <c r="BB70" s="21" t="s">
        <v>66</v>
      </c>
    </row>
    <row r="71" spans="1:54" ht="12" customHeight="1" x14ac:dyDescent="0.35">
      <c r="A71" s="25" t="s">
        <v>729</v>
      </c>
      <c r="B71" s="25" t="s">
        <v>347</v>
      </c>
      <c r="C71" s="25" t="s">
        <v>51</v>
      </c>
      <c r="D71" s="25" t="s">
        <v>610</v>
      </c>
      <c r="E71" s="25" t="s">
        <v>52</v>
      </c>
      <c r="F71" s="25" t="s">
        <v>611</v>
      </c>
      <c r="G71" s="25" t="s">
        <v>54</v>
      </c>
      <c r="H71" s="25" t="s">
        <v>1719</v>
      </c>
      <c r="I71" s="25" t="s">
        <v>119</v>
      </c>
      <c r="J71" s="25" t="s">
        <v>730</v>
      </c>
      <c r="K71" s="25" t="s">
        <v>552</v>
      </c>
      <c r="L71" s="25" t="s">
        <v>57</v>
      </c>
      <c r="M71" s="25" t="s">
        <v>243</v>
      </c>
      <c r="N71" s="25" t="s">
        <v>55</v>
      </c>
      <c r="O71" s="25" t="s">
        <v>615</v>
      </c>
      <c r="P71" s="25" t="s">
        <v>731</v>
      </c>
      <c r="Q71" s="25" t="s">
        <v>732</v>
      </c>
      <c r="R71" s="25" t="s">
        <v>63</v>
      </c>
      <c r="S71" s="25" t="s">
        <v>733</v>
      </c>
      <c r="T71" s="25" t="s">
        <v>734</v>
      </c>
      <c r="U71" s="25" t="s">
        <v>63</v>
      </c>
      <c r="V71" s="26">
        <v>46112</v>
      </c>
      <c r="W71" s="25" t="s">
        <v>55</v>
      </c>
      <c r="X71" s="25" t="s">
        <v>735</v>
      </c>
      <c r="Y71" s="25" t="s">
        <v>65</v>
      </c>
      <c r="Z71" s="25" t="s">
        <v>55</v>
      </c>
      <c r="AA71" s="25" t="s">
        <v>155</v>
      </c>
      <c r="AB71" s="25" t="s">
        <v>55</v>
      </c>
      <c r="AC71" s="25" t="s">
        <v>55</v>
      </c>
      <c r="AD71" s="25" t="s">
        <v>67</v>
      </c>
      <c r="AE71" s="25" t="s">
        <v>257</v>
      </c>
      <c r="AF71" s="25" t="s">
        <v>92</v>
      </c>
      <c r="AG71" s="25" t="s">
        <v>55</v>
      </c>
      <c r="AH71" s="25" t="s">
        <v>55</v>
      </c>
      <c r="AI71" s="25" t="s">
        <v>55</v>
      </c>
      <c r="AJ71" s="25" t="s">
        <v>55</v>
      </c>
      <c r="AK71" s="25" t="s">
        <v>55</v>
      </c>
      <c r="AL71" s="25" t="s">
        <v>55</v>
      </c>
      <c r="AM71" s="25" t="s">
        <v>55</v>
      </c>
      <c r="AN71" s="25" t="s">
        <v>55</v>
      </c>
      <c r="AO71" s="25" t="s">
        <v>55</v>
      </c>
      <c r="AP71" s="25" t="s">
        <v>55</v>
      </c>
      <c r="AQ71" s="25" t="s">
        <v>55</v>
      </c>
      <c r="AR71" s="25" t="s">
        <v>55</v>
      </c>
      <c r="AS71" s="25" t="s">
        <v>55</v>
      </c>
      <c r="AT71" s="25" t="s">
        <v>55</v>
      </c>
      <c r="AU71" s="25" t="s">
        <v>55</v>
      </c>
      <c r="AV71" s="25" t="s">
        <v>55</v>
      </c>
      <c r="AW71" s="26">
        <v>45766</v>
      </c>
      <c r="AX71" s="26">
        <v>45870</v>
      </c>
      <c r="AY71" s="25" t="s">
        <v>608</v>
      </c>
      <c r="AZ71" s="20">
        <f t="shared" si="3"/>
        <v>-130</v>
      </c>
      <c r="BA71" s="17" t="e">
        <f t="shared" si="4"/>
        <v>#N/A</v>
      </c>
      <c r="BB71" s="21" t="s">
        <v>335</v>
      </c>
    </row>
    <row r="72" spans="1:54" ht="12" customHeight="1" x14ac:dyDescent="0.35">
      <c r="A72" s="25" t="s">
        <v>736</v>
      </c>
      <c r="B72" s="25" t="s">
        <v>347</v>
      </c>
      <c r="C72" s="25" t="s">
        <v>51</v>
      </c>
      <c r="D72" s="25" t="s">
        <v>610</v>
      </c>
      <c r="E72" s="25" t="s">
        <v>108</v>
      </c>
      <c r="F72" s="25" t="s">
        <v>611</v>
      </c>
      <c r="G72" s="25" t="s">
        <v>54</v>
      </c>
      <c r="H72" s="25" t="s">
        <v>1719</v>
      </c>
      <c r="I72" s="25" t="s">
        <v>109</v>
      </c>
      <c r="J72" s="25" t="s">
        <v>737</v>
      </c>
      <c r="K72" s="25" t="s">
        <v>586</v>
      </c>
      <c r="L72" s="25" t="s">
        <v>57</v>
      </c>
      <c r="M72" s="25" t="s">
        <v>55</v>
      </c>
      <c r="N72" s="25" t="s">
        <v>55</v>
      </c>
      <c r="O72" s="25" t="s">
        <v>615</v>
      </c>
      <c r="P72" s="25" t="s">
        <v>738</v>
      </c>
      <c r="Q72" s="25" t="s">
        <v>739</v>
      </c>
      <c r="R72" s="25" t="s">
        <v>132</v>
      </c>
      <c r="S72" s="25" t="s">
        <v>740</v>
      </c>
      <c r="T72" s="25" t="s">
        <v>741</v>
      </c>
      <c r="U72" s="25" t="s">
        <v>63</v>
      </c>
      <c r="V72" s="26">
        <v>45930</v>
      </c>
      <c r="W72" s="25" t="s">
        <v>55</v>
      </c>
      <c r="X72" s="25" t="s">
        <v>742</v>
      </c>
      <c r="Y72" s="25" t="s">
        <v>65</v>
      </c>
      <c r="Z72" s="25" t="s">
        <v>55</v>
      </c>
      <c r="AA72" s="25" t="s">
        <v>66</v>
      </c>
      <c r="AB72" s="25" t="s">
        <v>55</v>
      </c>
      <c r="AC72" s="25" t="s">
        <v>55</v>
      </c>
      <c r="AD72" s="25" t="s">
        <v>67</v>
      </c>
      <c r="AE72" s="25" t="s">
        <v>257</v>
      </c>
      <c r="AF72" s="25" t="s">
        <v>55</v>
      </c>
      <c r="AG72" s="25" t="s">
        <v>55</v>
      </c>
      <c r="AH72" s="25" t="s">
        <v>55</v>
      </c>
      <c r="AI72" s="25" t="s">
        <v>55</v>
      </c>
      <c r="AJ72" s="25" t="s">
        <v>55</v>
      </c>
      <c r="AK72" s="25" t="s">
        <v>55</v>
      </c>
      <c r="AL72" s="25" t="s">
        <v>55</v>
      </c>
      <c r="AM72" s="25" t="s">
        <v>55</v>
      </c>
      <c r="AN72" s="25" t="s">
        <v>55</v>
      </c>
      <c r="AO72" s="25" t="s">
        <v>55</v>
      </c>
      <c r="AP72" s="25" t="s">
        <v>55</v>
      </c>
      <c r="AQ72" s="25" t="s">
        <v>55</v>
      </c>
      <c r="AR72" s="25" t="s">
        <v>55</v>
      </c>
      <c r="AS72" s="25" t="s">
        <v>55</v>
      </c>
      <c r="AT72" s="25" t="s">
        <v>55</v>
      </c>
      <c r="AU72" s="25" t="s">
        <v>55</v>
      </c>
      <c r="AV72" s="25" t="s">
        <v>55</v>
      </c>
      <c r="AW72" s="26">
        <v>45766</v>
      </c>
      <c r="AX72" s="26">
        <v>45870</v>
      </c>
      <c r="AY72" s="25" t="s">
        <v>608</v>
      </c>
      <c r="AZ72" s="20">
        <f t="shared" si="3"/>
        <v>52</v>
      </c>
      <c r="BA72" s="17" t="str">
        <f t="shared" si="4"/>
        <v>&lt; 3 months</v>
      </c>
      <c r="BB72" s="21" t="s">
        <v>66</v>
      </c>
    </row>
    <row r="73" spans="1:54" ht="12" customHeight="1" x14ac:dyDescent="0.35">
      <c r="A73" s="25" t="s">
        <v>743</v>
      </c>
      <c r="B73" s="25" t="s">
        <v>347</v>
      </c>
      <c r="C73" s="25" t="s">
        <v>51</v>
      </c>
      <c r="D73" s="25" t="s">
        <v>610</v>
      </c>
      <c r="E73" s="25" t="s">
        <v>108</v>
      </c>
      <c r="F73" s="25" t="s">
        <v>611</v>
      </c>
      <c r="G73" s="25" t="s">
        <v>54</v>
      </c>
      <c r="H73" s="25" t="s">
        <v>1719</v>
      </c>
      <c r="I73" s="25" t="s">
        <v>86</v>
      </c>
      <c r="J73" s="25" t="s">
        <v>744</v>
      </c>
      <c r="K73" s="25" t="s">
        <v>745</v>
      </c>
      <c r="L73" s="25" t="s">
        <v>57</v>
      </c>
      <c r="M73" s="25" t="s">
        <v>55</v>
      </c>
      <c r="N73" s="25" t="s">
        <v>55</v>
      </c>
      <c r="O73" s="25" t="s">
        <v>615</v>
      </c>
      <c r="P73" s="25" t="s">
        <v>746</v>
      </c>
      <c r="Q73" s="25" t="s">
        <v>747</v>
      </c>
      <c r="R73" s="25" t="s">
        <v>63</v>
      </c>
      <c r="S73" s="25" t="s">
        <v>748</v>
      </c>
      <c r="T73" s="25" t="s">
        <v>749</v>
      </c>
      <c r="U73" s="25" t="s">
        <v>63</v>
      </c>
      <c r="V73" s="26">
        <v>45930</v>
      </c>
      <c r="W73" s="25" t="s">
        <v>55</v>
      </c>
      <c r="X73" s="25" t="s">
        <v>750</v>
      </c>
      <c r="Y73" s="25" t="s">
        <v>65</v>
      </c>
      <c r="Z73" s="25" t="s">
        <v>55</v>
      </c>
      <c r="AA73" s="25" t="s">
        <v>66</v>
      </c>
      <c r="AB73" s="25" t="s">
        <v>55</v>
      </c>
      <c r="AC73" s="25" t="s">
        <v>55</v>
      </c>
      <c r="AD73" s="25" t="s">
        <v>67</v>
      </c>
      <c r="AE73" s="25" t="s">
        <v>257</v>
      </c>
      <c r="AF73" s="25" t="s">
        <v>55</v>
      </c>
      <c r="AG73" s="25" t="s">
        <v>55</v>
      </c>
      <c r="AH73" s="25" t="s">
        <v>55</v>
      </c>
      <c r="AI73" s="25" t="s">
        <v>55</v>
      </c>
      <c r="AJ73" s="25" t="s">
        <v>55</v>
      </c>
      <c r="AK73" s="25" t="s">
        <v>55</v>
      </c>
      <c r="AL73" s="25" t="s">
        <v>55</v>
      </c>
      <c r="AM73" s="25" t="s">
        <v>55</v>
      </c>
      <c r="AN73" s="25" t="s">
        <v>55</v>
      </c>
      <c r="AO73" s="25" t="s">
        <v>55</v>
      </c>
      <c r="AP73" s="25" t="s">
        <v>55</v>
      </c>
      <c r="AQ73" s="25" t="s">
        <v>55</v>
      </c>
      <c r="AR73" s="25" t="s">
        <v>55</v>
      </c>
      <c r="AS73" s="25" t="s">
        <v>55</v>
      </c>
      <c r="AT73" s="25" t="s">
        <v>55</v>
      </c>
      <c r="AU73" s="25" t="s">
        <v>55</v>
      </c>
      <c r="AV73" s="25" t="s">
        <v>55</v>
      </c>
      <c r="AW73" s="26">
        <v>45766</v>
      </c>
      <c r="AX73" s="26">
        <v>45870</v>
      </c>
      <c r="AY73" s="25" t="s">
        <v>608</v>
      </c>
      <c r="AZ73" s="20">
        <f t="shared" si="3"/>
        <v>52</v>
      </c>
      <c r="BA73" s="17" t="str">
        <f>VLOOKUP(AZ73,$BE$2:$BF$7,2,TRUE)</f>
        <v>&lt; 3 months</v>
      </c>
      <c r="BB73" s="21" t="s">
        <v>66</v>
      </c>
    </row>
    <row r="74" spans="1:54" ht="12" customHeight="1" x14ac:dyDescent="0.35">
      <c r="A74" s="25" t="s">
        <v>756</v>
      </c>
      <c r="B74" s="25" t="s">
        <v>347</v>
      </c>
      <c r="C74" s="25" t="s">
        <v>51</v>
      </c>
      <c r="D74" s="25" t="s">
        <v>465</v>
      </c>
      <c r="E74" s="25" t="s">
        <v>108</v>
      </c>
      <c r="F74" s="25" t="s">
        <v>751</v>
      </c>
      <c r="G74" s="25" t="s">
        <v>126</v>
      </c>
      <c r="H74" s="25" t="s">
        <v>157</v>
      </c>
      <c r="I74" s="25" t="s">
        <v>117</v>
      </c>
      <c r="J74" s="25" t="s">
        <v>757</v>
      </c>
      <c r="K74" s="25" t="s">
        <v>573</v>
      </c>
      <c r="L74" s="25" t="s">
        <v>57</v>
      </c>
      <c r="M74" s="25" t="s">
        <v>55</v>
      </c>
      <c r="N74" s="25" t="s">
        <v>55</v>
      </c>
      <c r="O74" s="25" t="s">
        <v>753</v>
      </c>
      <c r="P74" s="25" t="s">
        <v>758</v>
      </c>
      <c r="Q74" s="25" t="s">
        <v>759</v>
      </c>
      <c r="R74" s="25" t="s">
        <v>63</v>
      </c>
      <c r="S74" s="25" t="s">
        <v>760</v>
      </c>
      <c r="T74" s="25" t="s">
        <v>761</v>
      </c>
      <c r="U74" s="25" t="s">
        <v>63</v>
      </c>
      <c r="V74" s="26">
        <v>46022</v>
      </c>
      <c r="W74" s="25" t="s">
        <v>55</v>
      </c>
      <c r="X74" s="25" t="s">
        <v>762</v>
      </c>
      <c r="Y74" s="25" t="s">
        <v>65</v>
      </c>
      <c r="Z74" s="25" t="s">
        <v>55</v>
      </c>
      <c r="AA74" s="25" t="s">
        <v>221</v>
      </c>
      <c r="AB74" s="25" t="s">
        <v>55</v>
      </c>
      <c r="AC74" s="25" t="s">
        <v>55</v>
      </c>
      <c r="AD74" s="25" t="s">
        <v>67</v>
      </c>
      <c r="AE74" s="25" t="s">
        <v>257</v>
      </c>
      <c r="AF74" s="25" t="s">
        <v>55</v>
      </c>
      <c r="AG74" s="25" t="s">
        <v>55</v>
      </c>
      <c r="AH74" s="25" t="s">
        <v>55</v>
      </c>
      <c r="AI74" s="25" t="s">
        <v>55</v>
      </c>
      <c r="AJ74" s="25" t="s">
        <v>55</v>
      </c>
      <c r="AK74" s="25" t="s">
        <v>55</v>
      </c>
      <c r="AL74" s="25" t="s">
        <v>55</v>
      </c>
      <c r="AM74" s="25" t="s">
        <v>55</v>
      </c>
      <c r="AN74" s="25" t="s">
        <v>55</v>
      </c>
      <c r="AO74" s="25" t="s">
        <v>55</v>
      </c>
      <c r="AP74" s="25" t="s">
        <v>55</v>
      </c>
      <c r="AQ74" s="25" t="s">
        <v>55</v>
      </c>
      <c r="AR74" s="25" t="s">
        <v>55</v>
      </c>
      <c r="AS74" s="25" t="s">
        <v>55</v>
      </c>
      <c r="AT74" s="25" t="s">
        <v>55</v>
      </c>
      <c r="AU74" s="25" t="s">
        <v>55</v>
      </c>
      <c r="AV74" s="25" t="s">
        <v>55</v>
      </c>
      <c r="AW74" s="26">
        <v>45789</v>
      </c>
      <c r="AX74" s="26">
        <v>45882</v>
      </c>
      <c r="AY74" s="25" t="s">
        <v>754</v>
      </c>
      <c r="AZ74" s="20">
        <f t="shared" si="3"/>
        <v>-40</v>
      </c>
      <c r="BA74" s="17" t="e">
        <f t="shared" si="4"/>
        <v>#N/A</v>
      </c>
      <c r="BB74" s="21" t="s">
        <v>335</v>
      </c>
    </row>
    <row r="75" spans="1:54" ht="12" customHeight="1" x14ac:dyDescent="0.35">
      <c r="A75" s="25" t="s">
        <v>763</v>
      </c>
      <c r="B75" s="25" t="s">
        <v>347</v>
      </c>
      <c r="C75" s="25" t="s">
        <v>51</v>
      </c>
      <c r="D75" s="25" t="s">
        <v>465</v>
      </c>
      <c r="E75" s="25" t="s">
        <v>108</v>
      </c>
      <c r="F75" s="25" t="s">
        <v>764</v>
      </c>
      <c r="G75" s="25" t="s">
        <v>126</v>
      </c>
      <c r="H75" s="25" t="s">
        <v>138</v>
      </c>
      <c r="I75" s="25" t="s">
        <v>160</v>
      </c>
      <c r="J75" s="25" t="s">
        <v>765</v>
      </c>
      <c r="K75" s="25" t="s">
        <v>558</v>
      </c>
      <c r="L75" s="25" t="s">
        <v>103</v>
      </c>
      <c r="M75" s="25" t="s">
        <v>55</v>
      </c>
      <c r="N75" s="25" t="s">
        <v>55</v>
      </c>
      <c r="O75" s="25" t="s">
        <v>766</v>
      </c>
      <c r="P75" s="25" t="s">
        <v>767</v>
      </c>
      <c r="Q75" s="25" t="s">
        <v>768</v>
      </c>
      <c r="R75" s="25" t="s">
        <v>63</v>
      </c>
      <c r="S75" s="25" t="s">
        <v>769</v>
      </c>
      <c r="T75" s="25" t="s">
        <v>770</v>
      </c>
      <c r="U75" s="25" t="s">
        <v>63</v>
      </c>
      <c r="V75" s="26">
        <v>45991</v>
      </c>
      <c r="W75" s="25" t="s">
        <v>55</v>
      </c>
      <c r="X75" s="25" t="s">
        <v>771</v>
      </c>
      <c r="Y75" s="25" t="s">
        <v>65</v>
      </c>
      <c r="Z75" s="25" t="s">
        <v>55</v>
      </c>
      <c r="AA75" s="25" t="s">
        <v>152</v>
      </c>
      <c r="AB75" s="25" t="s">
        <v>55</v>
      </c>
      <c r="AC75" s="25" t="s">
        <v>55</v>
      </c>
      <c r="AD75" s="25" t="s">
        <v>67</v>
      </c>
      <c r="AE75" s="25" t="s">
        <v>257</v>
      </c>
      <c r="AF75" s="25" t="s">
        <v>55</v>
      </c>
      <c r="AG75" s="25" t="s">
        <v>55</v>
      </c>
      <c r="AH75" s="25" t="s">
        <v>55</v>
      </c>
      <c r="AI75" s="25" t="s">
        <v>55</v>
      </c>
      <c r="AJ75" s="25" t="s">
        <v>55</v>
      </c>
      <c r="AK75" s="25" t="s">
        <v>55</v>
      </c>
      <c r="AL75" s="25" t="s">
        <v>55</v>
      </c>
      <c r="AM75" s="25" t="s">
        <v>55</v>
      </c>
      <c r="AN75" s="25" t="s">
        <v>55</v>
      </c>
      <c r="AO75" s="25" t="s">
        <v>55</v>
      </c>
      <c r="AP75" s="25" t="s">
        <v>55</v>
      </c>
      <c r="AQ75" s="25" t="s">
        <v>55</v>
      </c>
      <c r="AR75" s="25" t="s">
        <v>55</v>
      </c>
      <c r="AS75" s="25" t="s">
        <v>55</v>
      </c>
      <c r="AT75" s="25" t="s">
        <v>55</v>
      </c>
      <c r="AU75" s="25" t="s">
        <v>55</v>
      </c>
      <c r="AV75" s="25" t="s">
        <v>55</v>
      </c>
      <c r="AW75" s="26">
        <v>45761</v>
      </c>
      <c r="AX75" s="26">
        <v>45891</v>
      </c>
      <c r="AY75" s="25" t="s">
        <v>754</v>
      </c>
      <c r="AZ75" s="20">
        <f t="shared" si="3"/>
        <v>-9</v>
      </c>
      <c r="BA75" s="17" t="e">
        <f t="shared" si="4"/>
        <v>#N/A</v>
      </c>
      <c r="BB75" s="21" t="s">
        <v>335</v>
      </c>
    </row>
    <row r="76" spans="1:54" ht="12" customHeight="1" x14ac:dyDescent="0.35">
      <c r="A76" s="25" t="s">
        <v>772</v>
      </c>
      <c r="B76" s="25" t="s">
        <v>347</v>
      </c>
      <c r="C76" s="25" t="s">
        <v>51</v>
      </c>
      <c r="D76" s="25" t="s">
        <v>465</v>
      </c>
      <c r="E76" s="25" t="s">
        <v>108</v>
      </c>
      <c r="F76" s="25" t="s">
        <v>764</v>
      </c>
      <c r="G76" s="25" t="s">
        <v>126</v>
      </c>
      <c r="H76" s="25" t="s">
        <v>138</v>
      </c>
      <c r="I76" s="25" t="s">
        <v>121</v>
      </c>
      <c r="J76" s="25" t="s">
        <v>752</v>
      </c>
      <c r="K76" s="25" t="s">
        <v>867</v>
      </c>
      <c r="L76" s="25" t="s">
        <v>103</v>
      </c>
      <c r="M76" s="25" t="s">
        <v>55</v>
      </c>
      <c r="N76" s="25" t="s">
        <v>55</v>
      </c>
      <c r="O76" s="25" t="s">
        <v>766</v>
      </c>
      <c r="P76" s="25" t="s">
        <v>773</v>
      </c>
      <c r="Q76" s="25" t="s">
        <v>774</v>
      </c>
      <c r="R76" s="25" t="s">
        <v>63</v>
      </c>
      <c r="S76" s="25" t="s">
        <v>775</v>
      </c>
      <c r="T76" s="25" t="s">
        <v>776</v>
      </c>
      <c r="U76" s="25" t="s">
        <v>63</v>
      </c>
      <c r="V76" s="26">
        <v>45991</v>
      </c>
      <c r="W76" s="25" t="s">
        <v>55</v>
      </c>
      <c r="X76" s="25" t="s">
        <v>771</v>
      </c>
      <c r="Y76" s="25" t="s">
        <v>65</v>
      </c>
      <c r="Z76" s="25" t="s">
        <v>55</v>
      </c>
      <c r="AA76" s="25" t="s">
        <v>152</v>
      </c>
      <c r="AB76" s="25" t="s">
        <v>55</v>
      </c>
      <c r="AC76" s="25" t="s">
        <v>55</v>
      </c>
      <c r="AD76" s="25" t="s">
        <v>67</v>
      </c>
      <c r="AE76" s="25" t="s">
        <v>257</v>
      </c>
      <c r="AF76" s="25" t="s">
        <v>55</v>
      </c>
      <c r="AG76" s="25" t="s">
        <v>55</v>
      </c>
      <c r="AH76" s="25" t="s">
        <v>55</v>
      </c>
      <c r="AI76" s="25" t="s">
        <v>55</v>
      </c>
      <c r="AJ76" s="25" t="s">
        <v>55</v>
      </c>
      <c r="AK76" s="25" t="s">
        <v>55</v>
      </c>
      <c r="AL76" s="25" t="s">
        <v>55</v>
      </c>
      <c r="AM76" s="25" t="s">
        <v>55</v>
      </c>
      <c r="AN76" s="25" t="s">
        <v>55</v>
      </c>
      <c r="AO76" s="25" t="s">
        <v>55</v>
      </c>
      <c r="AP76" s="25" t="s">
        <v>55</v>
      </c>
      <c r="AQ76" s="25" t="s">
        <v>55</v>
      </c>
      <c r="AR76" s="25" t="s">
        <v>55</v>
      </c>
      <c r="AS76" s="25" t="s">
        <v>55</v>
      </c>
      <c r="AT76" s="25" t="s">
        <v>55</v>
      </c>
      <c r="AU76" s="25" t="s">
        <v>55</v>
      </c>
      <c r="AV76" s="25" t="s">
        <v>55</v>
      </c>
      <c r="AW76" s="26">
        <v>45761</v>
      </c>
      <c r="AX76" s="26">
        <v>45891</v>
      </c>
      <c r="AY76" s="25" t="s">
        <v>754</v>
      </c>
      <c r="AZ76" s="20">
        <f t="shared" si="3"/>
        <v>-9</v>
      </c>
      <c r="BA76" s="17" t="e">
        <f t="shared" si="4"/>
        <v>#N/A</v>
      </c>
      <c r="BB76" s="21" t="s">
        <v>335</v>
      </c>
    </row>
    <row r="77" spans="1:54" ht="12" customHeight="1" x14ac:dyDescent="0.35">
      <c r="A77" s="25" t="s">
        <v>780</v>
      </c>
      <c r="B77" s="25" t="s">
        <v>347</v>
      </c>
      <c r="C77" s="25" t="s">
        <v>51</v>
      </c>
      <c r="D77" s="25" t="s">
        <v>465</v>
      </c>
      <c r="E77" s="25" t="s">
        <v>108</v>
      </c>
      <c r="F77" s="25" t="s">
        <v>764</v>
      </c>
      <c r="G77" s="25" t="s">
        <v>126</v>
      </c>
      <c r="H77" s="25" t="s">
        <v>138</v>
      </c>
      <c r="I77" s="25" t="s">
        <v>86</v>
      </c>
      <c r="J77" s="25" t="s">
        <v>781</v>
      </c>
      <c r="K77" s="25" t="s">
        <v>745</v>
      </c>
      <c r="L77" s="25" t="s">
        <v>57</v>
      </c>
      <c r="M77" s="25" t="s">
        <v>55</v>
      </c>
      <c r="N77" s="25" t="s">
        <v>55</v>
      </c>
      <c r="O77" s="25" t="s">
        <v>766</v>
      </c>
      <c r="P77" s="25" t="s">
        <v>782</v>
      </c>
      <c r="Q77" s="25" t="s">
        <v>783</v>
      </c>
      <c r="R77" s="25" t="s">
        <v>63</v>
      </c>
      <c r="S77" s="25" t="s">
        <v>784</v>
      </c>
      <c r="T77" s="25" t="s">
        <v>785</v>
      </c>
      <c r="U77" s="25" t="s">
        <v>63</v>
      </c>
      <c r="V77" s="26">
        <v>46022</v>
      </c>
      <c r="W77" s="25" t="s">
        <v>55</v>
      </c>
      <c r="X77" s="25" t="s">
        <v>778</v>
      </c>
      <c r="Y77" s="25" t="s">
        <v>65</v>
      </c>
      <c r="Z77" s="25" t="s">
        <v>55</v>
      </c>
      <c r="AA77" s="25" t="s">
        <v>221</v>
      </c>
      <c r="AB77" s="25" t="s">
        <v>55</v>
      </c>
      <c r="AC77" s="25" t="s">
        <v>55</v>
      </c>
      <c r="AD77" s="25" t="s">
        <v>67</v>
      </c>
      <c r="AE77" s="25" t="s">
        <v>257</v>
      </c>
      <c r="AF77" s="25" t="s">
        <v>55</v>
      </c>
      <c r="AG77" s="25" t="s">
        <v>55</v>
      </c>
      <c r="AH77" s="25" t="s">
        <v>55</v>
      </c>
      <c r="AI77" s="25" t="s">
        <v>55</v>
      </c>
      <c r="AJ77" s="25" t="s">
        <v>55</v>
      </c>
      <c r="AK77" s="25" t="s">
        <v>55</v>
      </c>
      <c r="AL77" s="25" t="s">
        <v>55</v>
      </c>
      <c r="AM77" s="25" t="s">
        <v>55</v>
      </c>
      <c r="AN77" s="25" t="s">
        <v>55</v>
      </c>
      <c r="AO77" s="25" t="s">
        <v>55</v>
      </c>
      <c r="AP77" s="25" t="s">
        <v>55</v>
      </c>
      <c r="AQ77" s="25" t="s">
        <v>55</v>
      </c>
      <c r="AR77" s="25" t="s">
        <v>55</v>
      </c>
      <c r="AS77" s="25" t="s">
        <v>55</v>
      </c>
      <c r="AT77" s="25" t="s">
        <v>55</v>
      </c>
      <c r="AU77" s="25" t="s">
        <v>55</v>
      </c>
      <c r="AV77" s="25" t="s">
        <v>55</v>
      </c>
      <c r="AW77" s="26">
        <v>45761</v>
      </c>
      <c r="AX77" s="26">
        <v>45891</v>
      </c>
      <c r="AY77" s="25" t="s">
        <v>754</v>
      </c>
      <c r="AZ77" s="20">
        <f t="shared" si="3"/>
        <v>-40</v>
      </c>
      <c r="BA77" s="17" t="e">
        <f t="shared" si="4"/>
        <v>#N/A</v>
      </c>
      <c r="BB77" s="21" t="s">
        <v>335</v>
      </c>
    </row>
    <row r="78" spans="1:54" ht="12" customHeight="1" x14ac:dyDescent="0.35">
      <c r="A78" s="25" t="s">
        <v>786</v>
      </c>
      <c r="B78" s="25" t="s">
        <v>347</v>
      </c>
      <c r="C78" s="25" t="s">
        <v>588</v>
      </c>
      <c r="D78" s="25" t="s">
        <v>465</v>
      </c>
      <c r="E78" s="25" t="s">
        <v>52</v>
      </c>
      <c r="F78" s="25" t="s">
        <v>141</v>
      </c>
      <c r="G78" s="25" t="s">
        <v>84</v>
      </c>
      <c r="H78" s="25" t="s">
        <v>84</v>
      </c>
      <c r="I78" s="25" t="s">
        <v>149</v>
      </c>
      <c r="J78" s="25" t="s">
        <v>55</v>
      </c>
      <c r="K78" s="25" t="s">
        <v>1720</v>
      </c>
      <c r="L78" s="25" t="s">
        <v>103</v>
      </c>
      <c r="M78" s="25" t="s">
        <v>55</v>
      </c>
      <c r="N78" s="25" t="s">
        <v>55</v>
      </c>
      <c r="O78" s="25" t="s">
        <v>1721</v>
      </c>
      <c r="P78" s="25" t="s">
        <v>151</v>
      </c>
      <c r="Q78" s="25" t="s">
        <v>787</v>
      </c>
      <c r="R78" s="25" t="s">
        <v>63</v>
      </c>
      <c r="S78" s="25" t="s">
        <v>150</v>
      </c>
      <c r="T78" s="25" t="s">
        <v>788</v>
      </c>
      <c r="U78" s="25" t="s">
        <v>63</v>
      </c>
      <c r="V78" s="26">
        <v>46022</v>
      </c>
      <c r="W78" s="25" t="s">
        <v>55</v>
      </c>
      <c r="X78" s="25" t="s">
        <v>789</v>
      </c>
      <c r="Y78" s="25" t="s">
        <v>65</v>
      </c>
      <c r="Z78" s="25" t="s">
        <v>55</v>
      </c>
      <c r="AA78" s="25" t="s">
        <v>221</v>
      </c>
      <c r="AB78" s="25" t="s">
        <v>55</v>
      </c>
      <c r="AC78" s="25" t="s">
        <v>55</v>
      </c>
      <c r="AD78" s="25" t="s">
        <v>67</v>
      </c>
      <c r="AE78" s="25" t="s">
        <v>97</v>
      </c>
      <c r="AF78" s="25" t="s">
        <v>55</v>
      </c>
      <c r="AG78" s="25" t="s">
        <v>55</v>
      </c>
      <c r="AH78" s="25" t="s">
        <v>55</v>
      </c>
      <c r="AI78" s="25" t="s">
        <v>55</v>
      </c>
      <c r="AJ78" s="25" t="s">
        <v>55</v>
      </c>
      <c r="AK78" s="25" t="s">
        <v>55</v>
      </c>
      <c r="AL78" s="25" t="s">
        <v>55</v>
      </c>
      <c r="AM78" s="25" t="s">
        <v>55</v>
      </c>
      <c r="AN78" s="25" t="s">
        <v>55</v>
      </c>
      <c r="AO78" s="25" t="s">
        <v>55</v>
      </c>
      <c r="AP78" s="25" t="s">
        <v>55</v>
      </c>
      <c r="AQ78" s="25" t="s">
        <v>55</v>
      </c>
      <c r="AR78" s="25" t="s">
        <v>55</v>
      </c>
      <c r="AS78" s="25" t="s">
        <v>55</v>
      </c>
      <c r="AT78" s="25" t="s">
        <v>55</v>
      </c>
      <c r="AU78" s="25" t="s">
        <v>55</v>
      </c>
      <c r="AV78" s="25" t="s">
        <v>55</v>
      </c>
      <c r="AW78" s="26">
        <v>45869</v>
      </c>
      <c r="AX78" s="26">
        <v>45900</v>
      </c>
      <c r="AY78" s="25" t="s">
        <v>790</v>
      </c>
      <c r="AZ78" s="20">
        <f t="shared" si="3"/>
        <v>-40</v>
      </c>
      <c r="BA78" s="17" t="e">
        <f t="shared" si="4"/>
        <v>#N/A</v>
      </c>
      <c r="BB78" s="21" t="s">
        <v>335</v>
      </c>
    </row>
    <row r="79" spans="1:54" ht="12" customHeight="1" x14ac:dyDescent="0.35">
      <c r="A79" s="25" t="s">
        <v>791</v>
      </c>
      <c r="B79" s="25" t="s">
        <v>347</v>
      </c>
      <c r="C79" s="25" t="s">
        <v>588</v>
      </c>
      <c r="D79" s="25" t="s">
        <v>465</v>
      </c>
      <c r="E79" s="25" t="s">
        <v>52</v>
      </c>
      <c r="F79" s="25" t="s">
        <v>792</v>
      </c>
      <c r="G79" s="25" t="s">
        <v>94</v>
      </c>
      <c r="H79" s="25" t="s">
        <v>95</v>
      </c>
      <c r="I79" s="25" t="s">
        <v>149</v>
      </c>
      <c r="J79" s="25" t="s">
        <v>55</v>
      </c>
      <c r="K79" s="25" t="s">
        <v>1720</v>
      </c>
      <c r="L79" s="25" t="s">
        <v>103</v>
      </c>
      <c r="M79" s="25" t="s">
        <v>55</v>
      </c>
      <c r="N79" s="25" t="s">
        <v>55</v>
      </c>
      <c r="O79" s="25" t="s">
        <v>1722</v>
      </c>
      <c r="P79" s="25" t="s">
        <v>151</v>
      </c>
      <c r="Q79" s="25" t="s">
        <v>793</v>
      </c>
      <c r="R79" s="25" t="s">
        <v>63</v>
      </c>
      <c r="S79" s="25" t="s">
        <v>150</v>
      </c>
      <c r="T79" s="25" t="s">
        <v>794</v>
      </c>
      <c r="U79" s="25" t="s">
        <v>63</v>
      </c>
      <c r="V79" s="26">
        <v>46022</v>
      </c>
      <c r="W79" s="25" t="s">
        <v>55</v>
      </c>
      <c r="X79" s="25" t="s">
        <v>795</v>
      </c>
      <c r="Y79" s="25" t="s">
        <v>65</v>
      </c>
      <c r="Z79" s="25" t="s">
        <v>55</v>
      </c>
      <c r="AA79" s="25" t="s">
        <v>221</v>
      </c>
      <c r="AB79" s="25" t="s">
        <v>55</v>
      </c>
      <c r="AC79" s="25" t="s">
        <v>55</v>
      </c>
      <c r="AD79" s="25" t="s">
        <v>67</v>
      </c>
      <c r="AE79" s="25" t="s">
        <v>97</v>
      </c>
      <c r="AF79" s="25" t="s">
        <v>55</v>
      </c>
      <c r="AG79" s="25" t="s">
        <v>55</v>
      </c>
      <c r="AH79" s="25" t="s">
        <v>55</v>
      </c>
      <c r="AI79" s="25" t="s">
        <v>55</v>
      </c>
      <c r="AJ79" s="25" t="s">
        <v>55</v>
      </c>
      <c r="AK79" s="25" t="s">
        <v>55</v>
      </c>
      <c r="AL79" s="25" t="s">
        <v>55</v>
      </c>
      <c r="AM79" s="25" t="s">
        <v>55</v>
      </c>
      <c r="AN79" s="25" t="s">
        <v>55</v>
      </c>
      <c r="AO79" s="25" t="s">
        <v>55</v>
      </c>
      <c r="AP79" s="25" t="s">
        <v>55</v>
      </c>
      <c r="AQ79" s="25" t="s">
        <v>55</v>
      </c>
      <c r="AR79" s="25" t="s">
        <v>55</v>
      </c>
      <c r="AS79" s="25" t="s">
        <v>55</v>
      </c>
      <c r="AT79" s="25" t="s">
        <v>55</v>
      </c>
      <c r="AU79" s="25" t="s">
        <v>55</v>
      </c>
      <c r="AV79" s="25" t="s">
        <v>55</v>
      </c>
      <c r="AW79" s="26">
        <v>45869</v>
      </c>
      <c r="AX79" s="26">
        <v>45900</v>
      </c>
      <c r="AY79" s="25" t="s">
        <v>790</v>
      </c>
      <c r="AZ79" s="20">
        <f t="shared" si="3"/>
        <v>-40</v>
      </c>
      <c r="BA79" s="17" t="e">
        <f t="shared" si="4"/>
        <v>#N/A</v>
      </c>
      <c r="BB79" s="21" t="s">
        <v>335</v>
      </c>
    </row>
    <row r="80" spans="1:54" ht="12" customHeight="1" x14ac:dyDescent="0.35">
      <c r="A80" s="25" t="s">
        <v>796</v>
      </c>
      <c r="B80" s="25" t="s">
        <v>347</v>
      </c>
      <c r="C80" s="25" t="s">
        <v>588</v>
      </c>
      <c r="D80" s="25" t="s">
        <v>465</v>
      </c>
      <c r="E80" s="25" t="s">
        <v>52</v>
      </c>
      <c r="F80" s="25" t="s">
        <v>797</v>
      </c>
      <c r="G80" s="25" t="s">
        <v>94</v>
      </c>
      <c r="H80" s="25" t="s">
        <v>95</v>
      </c>
      <c r="I80" s="25" t="s">
        <v>149</v>
      </c>
      <c r="J80" s="25" t="s">
        <v>55</v>
      </c>
      <c r="K80" s="25" t="s">
        <v>1720</v>
      </c>
      <c r="L80" s="25" t="s">
        <v>103</v>
      </c>
      <c r="M80" s="25" t="s">
        <v>55</v>
      </c>
      <c r="N80" s="25" t="s">
        <v>55</v>
      </c>
      <c r="O80" s="25" t="s">
        <v>1723</v>
      </c>
      <c r="P80" s="25" t="s">
        <v>151</v>
      </c>
      <c r="Q80" s="25" t="s">
        <v>793</v>
      </c>
      <c r="R80" s="25" t="s">
        <v>63</v>
      </c>
      <c r="S80" s="25" t="s">
        <v>150</v>
      </c>
      <c r="T80" s="25" t="s">
        <v>794</v>
      </c>
      <c r="U80" s="25" t="s">
        <v>63</v>
      </c>
      <c r="V80" s="26">
        <v>46022</v>
      </c>
      <c r="W80" s="25" t="s">
        <v>55</v>
      </c>
      <c r="X80" s="25" t="s">
        <v>795</v>
      </c>
      <c r="Y80" s="25" t="s">
        <v>65</v>
      </c>
      <c r="Z80" s="25" t="s">
        <v>55</v>
      </c>
      <c r="AA80" s="25" t="s">
        <v>221</v>
      </c>
      <c r="AB80" s="25" t="s">
        <v>55</v>
      </c>
      <c r="AC80" s="25" t="s">
        <v>55</v>
      </c>
      <c r="AD80" s="25" t="s">
        <v>67</v>
      </c>
      <c r="AE80" s="25" t="s">
        <v>97</v>
      </c>
      <c r="AF80" s="25" t="s">
        <v>55</v>
      </c>
      <c r="AG80" s="25" t="s">
        <v>55</v>
      </c>
      <c r="AH80" s="25" t="s">
        <v>55</v>
      </c>
      <c r="AI80" s="25" t="s">
        <v>55</v>
      </c>
      <c r="AJ80" s="25" t="s">
        <v>55</v>
      </c>
      <c r="AK80" s="25" t="s">
        <v>55</v>
      </c>
      <c r="AL80" s="25" t="s">
        <v>55</v>
      </c>
      <c r="AM80" s="25" t="s">
        <v>55</v>
      </c>
      <c r="AN80" s="25" t="s">
        <v>55</v>
      </c>
      <c r="AO80" s="25" t="s">
        <v>55</v>
      </c>
      <c r="AP80" s="25" t="s">
        <v>55</v>
      </c>
      <c r="AQ80" s="25" t="s">
        <v>55</v>
      </c>
      <c r="AR80" s="25" t="s">
        <v>55</v>
      </c>
      <c r="AS80" s="25" t="s">
        <v>55</v>
      </c>
      <c r="AT80" s="25" t="s">
        <v>55</v>
      </c>
      <c r="AU80" s="25" t="s">
        <v>55</v>
      </c>
      <c r="AV80" s="25" t="s">
        <v>55</v>
      </c>
      <c r="AW80" s="26">
        <v>45869</v>
      </c>
      <c r="AX80" s="26">
        <v>45900</v>
      </c>
      <c r="AY80" s="25" t="s">
        <v>790</v>
      </c>
      <c r="AZ80" s="20">
        <f t="shared" si="3"/>
        <v>-40</v>
      </c>
      <c r="BA80" s="17" t="e">
        <f t="shared" si="4"/>
        <v>#N/A</v>
      </c>
      <c r="BB80" s="21" t="s">
        <v>335</v>
      </c>
    </row>
    <row r="81" spans="1:54" ht="12" customHeight="1" x14ac:dyDescent="0.35">
      <c r="A81" s="25" t="s">
        <v>798</v>
      </c>
      <c r="B81" s="25" t="s">
        <v>347</v>
      </c>
      <c r="C81" s="25" t="s">
        <v>588</v>
      </c>
      <c r="D81" s="25" t="s">
        <v>465</v>
      </c>
      <c r="E81" s="25" t="s">
        <v>52</v>
      </c>
      <c r="F81" s="25" t="s">
        <v>799</v>
      </c>
      <c r="G81" s="25" t="s">
        <v>54</v>
      </c>
      <c r="H81" s="25" t="s">
        <v>1716</v>
      </c>
      <c r="I81" s="25" t="s">
        <v>149</v>
      </c>
      <c r="J81" s="25" t="s">
        <v>55</v>
      </c>
      <c r="K81" s="25" t="s">
        <v>1720</v>
      </c>
      <c r="L81" s="25" t="s">
        <v>103</v>
      </c>
      <c r="M81" s="25" t="s">
        <v>55</v>
      </c>
      <c r="N81" s="25" t="s">
        <v>55</v>
      </c>
      <c r="O81" s="25" t="s">
        <v>1724</v>
      </c>
      <c r="P81" s="25" t="s">
        <v>151</v>
      </c>
      <c r="Q81" s="25" t="s">
        <v>793</v>
      </c>
      <c r="R81" s="25" t="s">
        <v>63</v>
      </c>
      <c r="S81" s="25" t="s">
        <v>150</v>
      </c>
      <c r="T81" s="25" t="s">
        <v>794</v>
      </c>
      <c r="U81" s="25" t="s">
        <v>63</v>
      </c>
      <c r="V81" s="26">
        <v>46022</v>
      </c>
      <c r="W81" s="25" t="s">
        <v>55</v>
      </c>
      <c r="X81" s="25" t="s">
        <v>800</v>
      </c>
      <c r="Y81" s="25" t="s">
        <v>65</v>
      </c>
      <c r="Z81" s="25" t="s">
        <v>55</v>
      </c>
      <c r="AA81" s="25" t="s">
        <v>221</v>
      </c>
      <c r="AB81" s="25" t="s">
        <v>55</v>
      </c>
      <c r="AC81" s="25" t="s">
        <v>55</v>
      </c>
      <c r="AD81" s="25" t="s">
        <v>67</v>
      </c>
      <c r="AE81" s="25" t="s">
        <v>97</v>
      </c>
      <c r="AF81" s="25" t="s">
        <v>55</v>
      </c>
      <c r="AG81" s="25" t="s">
        <v>55</v>
      </c>
      <c r="AH81" s="25" t="s">
        <v>55</v>
      </c>
      <c r="AI81" s="25" t="s">
        <v>55</v>
      </c>
      <c r="AJ81" s="25" t="s">
        <v>55</v>
      </c>
      <c r="AK81" s="25" t="s">
        <v>55</v>
      </c>
      <c r="AL81" s="25" t="s">
        <v>55</v>
      </c>
      <c r="AM81" s="25" t="s">
        <v>55</v>
      </c>
      <c r="AN81" s="25" t="s">
        <v>55</v>
      </c>
      <c r="AO81" s="25" t="s">
        <v>55</v>
      </c>
      <c r="AP81" s="25" t="s">
        <v>55</v>
      </c>
      <c r="AQ81" s="25" t="s">
        <v>55</v>
      </c>
      <c r="AR81" s="25" t="s">
        <v>55</v>
      </c>
      <c r="AS81" s="25" t="s">
        <v>55</v>
      </c>
      <c r="AT81" s="25" t="s">
        <v>55</v>
      </c>
      <c r="AU81" s="25" t="s">
        <v>55</v>
      </c>
      <c r="AV81" s="25" t="s">
        <v>55</v>
      </c>
      <c r="AW81" s="26">
        <v>45869</v>
      </c>
      <c r="AX81" s="26">
        <v>45900</v>
      </c>
      <c r="AY81" s="25" t="s">
        <v>790</v>
      </c>
      <c r="AZ81" s="20">
        <f t="shared" si="3"/>
        <v>-40</v>
      </c>
      <c r="BA81" s="17" t="e">
        <f t="shared" si="4"/>
        <v>#N/A</v>
      </c>
      <c r="BB81" s="21" t="s">
        <v>335</v>
      </c>
    </row>
    <row r="82" spans="1:54" ht="12" customHeight="1" x14ac:dyDescent="0.35">
      <c r="A82" s="25" t="s">
        <v>801</v>
      </c>
      <c r="B82" s="25" t="s">
        <v>347</v>
      </c>
      <c r="C82" s="25" t="s">
        <v>116</v>
      </c>
      <c r="D82" s="25" t="s">
        <v>465</v>
      </c>
      <c r="E82" s="25" t="s">
        <v>52</v>
      </c>
      <c r="F82" s="25" t="s">
        <v>802</v>
      </c>
      <c r="G82" s="25" t="s">
        <v>84</v>
      </c>
      <c r="H82" s="25" t="s">
        <v>84</v>
      </c>
      <c r="I82" s="25" t="s">
        <v>803</v>
      </c>
      <c r="J82" s="25" t="s">
        <v>804</v>
      </c>
      <c r="K82" s="25" t="s">
        <v>868</v>
      </c>
      <c r="L82" s="25" t="s">
        <v>55</v>
      </c>
      <c r="M82" s="25" t="s">
        <v>805</v>
      </c>
      <c r="N82" s="25" t="s">
        <v>55</v>
      </c>
      <c r="O82" s="25" t="s">
        <v>806</v>
      </c>
      <c r="P82" s="25" t="s">
        <v>807</v>
      </c>
      <c r="Q82" s="25" t="s">
        <v>808</v>
      </c>
      <c r="R82" s="25" t="s">
        <v>55</v>
      </c>
      <c r="S82" s="25" t="s">
        <v>55</v>
      </c>
      <c r="T82" s="25" t="s">
        <v>809</v>
      </c>
      <c r="U82" s="25" t="s">
        <v>63</v>
      </c>
      <c r="V82" s="26">
        <v>45961</v>
      </c>
      <c r="W82" s="25" t="s">
        <v>55</v>
      </c>
      <c r="X82" s="25" t="s">
        <v>810</v>
      </c>
      <c r="Y82" s="25" t="s">
        <v>65</v>
      </c>
      <c r="Z82" s="25" t="s">
        <v>55</v>
      </c>
      <c r="AA82" s="25" t="s">
        <v>66</v>
      </c>
      <c r="AB82" s="25" t="s">
        <v>55</v>
      </c>
      <c r="AC82" s="25" t="s">
        <v>55</v>
      </c>
      <c r="AD82" s="25" t="s">
        <v>118</v>
      </c>
      <c r="AE82" s="25" t="s">
        <v>97</v>
      </c>
      <c r="AF82" s="25" t="s">
        <v>123</v>
      </c>
      <c r="AG82" s="25" t="s">
        <v>55</v>
      </c>
      <c r="AH82" s="25" t="s">
        <v>55</v>
      </c>
      <c r="AI82" s="25" t="s">
        <v>55</v>
      </c>
      <c r="AJ82" s="25" t="s">
        <v>55</v>
      </c>
      <c r="AK82" s="25" t="s">
        <v>55</v>
      </c>
      <c r="AL82" s="25" t="s">
        <v>55</v>
      </c>
      <c r="AM82" s="25" t="s">
        <v>55</v>
      </c>
      <c r="AN82" s="25" t="s">
        <v>55</v>
      </c>
      <c r="AO82" s="25" t="s">
        <v>55</v>
      </c>
      <c r="AP82" s="25" t="s">
        <v>55</v>
      </c>
      <c r="AQ82" s="25" t="s">
        <v>55</v>
      </c>
      <c r="AR82" s="25" t="s">
        <v>55</v>
      </c>
      <c r="AS82" s="25" t="s">
        <v>55</v>
      </c>
      <c r="AT82" s="25" t="s">
        <v>55</v>
      </c>
      <c r="AU82" s="25" t="s">
        <v>55</v>
      </c>
      <c r="AV82" s="25" t="s">
        <v>55</v>
      </c>
      <c r="AW82" s="25" t="s">
        <v>55</v>
      </c>
      <c r="AX82" s="25" t="s">
        <v>55</v>
      </c>
      <c r="AY82" s="25" t="s">
        <v>811</v>
      </c>
      <c r="AZ82" s="20">
        <f t="shared" si="3"/>
        <v>21</v>
      </c>
      <c r="BA82" s="17" t="str">
        <f t="shared" si="4"/>
        <v>&lt; 3 months</v>
      </c>
      <c r="BB82" s="21" t="s">
        <v>66</v>
      </c>
    </row>
    <row r="83" spans="1:54" ht="12" customHeight="1" x14ac:dyDescent="0.35">
      <c r="A83" s="25" t="s">
        <v>823</v>
      </c>
      <c r="B83" s="25" t="s">
        <v>347</v>
      </c>
      <c r="C83" s="25" t="s">
        <v>116</v>
      </c>
      <c r="D83" s="25" t="s">
        <v>465</v>
      </c>
      <c r="E83" s="25" t="s">
        <v>52</v>
      </c>
      <c r="F83" s="25" t="s">
        <v>817</v>
      </c>
      <c r="G83" s="25" t="s">
        <v>606</v>
      </c>
      <c r="H83" s="25" t="s">
        <v>818</v>
      </c>
      <c r="I83" s="25" t="s">
        <v>526</v>
      </c>
      <c r="J83" s="25" t="s">
        <v>824</v>
      </c>
      <c r="K83" s="25" t="s">
        <v>868</v>
      </c>
      <c r="L83" s="25" t="s">
        <v>55</v>
      </c>
      <c r="M83" s="25" t="s">
        <v>825</v>
      </c>
      <c r="N83" s="25" t="s">
        <v>55</v>
      </c>
      <c r="O83" s="25" t="s">
        <v>820</v>
      </c>
      <c r="P83" s="25" t="s">
        <v>826</v>
      </c>
      <c r="Q83" s="25" t="s">
        <v>827</v>
      </c>
      <c r="R83" s="25" t="s">
        <v>55</v>
      </c>
      <c r="S83" s="25" t="s">
        <v>55</v>
      </c>
      <c r="T83" s="25" t="s">
        <v>828</v>
      </c>
      <c r="U83" s="25" t="s">
        <v>63</v>
      </c>
      <c r="V83" s="26">
        <v>45961</v>
      </c>
      <c r="W83" s="25" t="s">
        <v>55</v>
      </c>
      <c r="X83" s="25" t="s">
        <v>821</v>
      </c>
      <c r="Y83" s="25" t="s">
        <v>65</v>
      </c>
      <c r="Z83" s="25" t="s">
        <v>55</v>
      </c>
      <c r="AA83" s="25" t="s">
        <v>66</v>
      </c>
      <c r="AB83" s="25" t="s">
        <v>55</v>
      </c>
      <c r="AC83" s="25" t="s">
        <v>55</v>
      </c>
      <c r="AD83" s="25" t="s">
        <v>118</v>
      </c>
      <c r="AE83" s="25" t="s">
        <v>97</v>
      </c>
      <c r="AF83" s="25" t="s">
        <v>829</v>
      </c>
      <c r="AG83" s="25" t="s">
        <v>55</v>
      </c>
      <c r="AH83" s="25" t="s">
        <v>55</v>
      </c>
      <c r="AI83" s="25" t="s">
        <v>55</v>
      </c>
      <c r="AJ83" s="25" t="s">
        <v>55</v>
      </c>
      <c r="AK83" s="25" t="s">
        <v>55</v>
      </c>
      <c r="AL83" s="25" t="s">
        <v>55</v>
      </c>
      <c r="AM83" s="25" t="s">
        <v>55</v>
      </c>
      <c r="AN83" s="25" t="s">
        <v>55</v>
      </c>
      <c r="AO83" s="25" t="s">
        <v>55</v>
      </c>
      <c r="AP83" s="25" t="s">
        <v>55</v>
      </c>
      <c r="AQ83" s="25" t="s">
        <v>55</v>
      </c>
      <c r="AR83" s="25" t="s">
        <v>55</v>
      </c>
      <c r="AS83" s="25" t="s">
        <v>55</v>
      </c>
      <c r="AT83" s="25" t="s">
        <v>55</v>
      </c>
      <c r="AU83" s="25" t="s">
        <v>55</v>
      </c>
      <c r="AV83" s="25" t="s">
        <v>55</v>
      </c>
      <c r="AW83" s="25" t="s">
        <v>55</v>
      </c>
      <c r="AX83" s="25" t="s">
        <v>55</v>
      </c>
      <c r="AY83" s="25" t="s">
        <v>811</v>
      </c>
      <c r="AZ83" s="20">
        <f t="shared" si="3"/>
        <v>21</v>
      </c>
      <c r="BA83" s="17" t="str">
        <f t="shared" si="4"/>
        <v>&lt; 3 months</v>
      </c>
      <c r="BB83" s="21" t="s">
        <v>66</v>
      </c>
    </row>
    <row r="84" spans="1:54" ht="12" customHeight="1" x14ac:dyDescent="0.35">
      <c r="A84" s="25" t="s">
        <v>830</v>
      </c>
      <c r="B84" s="25" t="s">
        <v>347</v>
      </c>
      <c r="C84" s="25" t="s">
        <v>116</v>
      </c>
      <c r="D84" s="25" t="s">
        <v>465</v>
      </c>
      <c r="E84" s="25" t="s">
        <v>52</v>
      </c>
      <c r="F84" s="25" t="s">
        <v>751</v>
      </c>
      <c r="G84" s="25" t="s">
        <v>126</v>
      </c>
      <c r="H84" s="25" t="s">
        <v>157</v>
      </c>
      <c r="I84" s="25" t="s">
        <v>119</v>
      </c>
      <c r="J84" s="25" t="s">
        <v>242</v>
      </c>
      <c r="K84" s="25" t="s">
        <v>552</v>
      </c>
      <c r="L84" s="25" t="s">
        <v>55</v>
      </c>
      <c r="M84" s="25" t="s">
        <v>243</v>
      </c>
      <c r="N84" s="25" t="s">
        <v>55</v>
      </c>
      <c r="O84" s="25" t="s">
        <v>831</v>
      </c>
      <c r="P84" s="25" t="s">
        <v>832</v>
      </c>
      <c r="Q84" s="25" t="s">
        <v>833</v>
      </c>
      <c r="R84" s="25" t="s">
        <v>55</v>
      </c>
      <c r="S84" s="25" t="s">
        <v>55</v>
      </c>
      <c r="T84" s="25" t="s">
        <v>834</v>
      </c>
      <c r="U84" s="25" t="s">
        <v>63</v>
      </c>
      <c r="V84" s="26">
        <v>46022</v>
      </c>
      <c r="W84" s="25" t="s">
        <v>55</v>
      </c>
      <c r="X84" s="25" t="s">
        <v>835</v>
      </c>
      <c r="Y84" s="25" t="s">
        <v>65</v>
      </c>
      <c r="Z84" s="25" t="s">
        <v>55</v>
      </c>
      <c r="AA84" s="25" t="s">
        <v>221</v>
      </c>
      <c r="AB84" s="25" t="s">
        <v>55</v>
      </c>
      <c r="AC84" s="25" t="s">
        <v>55</v>
      </c>
      <c r="AD84" s="25" t="s">
        <v>118</v>
      </c>
      <c r="AE84" s="25" t="s">
        <v>97</v>
      </c>
      <c r="AF84" s="25" t="s">
        <v>92</v>
      </c>
      <c r="AG84" s="25" t="s">
        <v>55</v>
      </c>
      <c r="AH84" s="25" t="s">
        <v>55</v>
      </c>
      <c r="AI84" s="25" t="s">
        <v>55</v>
      </c>
      <c r="AJ84" s="25" t="s">
        <v>55</v>
      </c>
      <c r="AK84" s="25" t="s">
        <v>55</v>
      </c>
      <c r="AL84" s="25" t="s">
        <v>55</v>
      </c>
      <c r="AM84" s="25" t="s">
        <v>55</v>
      </c>
      <c r="AN84" s="25" t="s">
        <v>55</v>
      </c>
      <c r="AO84" s="25" t="s">
        <v>55</v>
      </c>
      <c r="AP84" s="25" t="s">
        <v>55</v>
      </c>
      <c r="AQ84" s="25" t="s">
        <v>55</v>
      </c>
      <c r="AR84" s="25" t="s">
        <v>55</v>
      </c>
      <c r="AS84" s="25" t="s">
        <v>55</v>
      </c>
      <c r="AT84" s="25" t="s">
        <v>55</v>
      </c>
      <c r="AU84" s="25" t="s">
        <v>55</v>
      </c>
      <c r="AV84" s="25" t="s">
        <v>55</v>
      </c>
      <c r="AW84" s="25" t="s">
        <v>55</v>
      </c>
      <c r="AX84" s="25" t="s">
        <v>55</v>
      </c>
      <c r="AY84" s="25" t="s">
        <v>811</v>
      </c>
      <c r="AZ84" s="20">
        <f t="shared" si="3"/>
        <v>-40</v>
      </c>
      <c r="BA84" s="17" t="e">
        <f t="shared" si="4"/>
        <v>#N/A</v>
      </c>
      <c r="BB84" s="21" t="s">
        <v>335</v>
      </c>
    </row>
    <row r="85" spans="1:54" ht="12" customHeight="1" x14ac:dyDescent="0.35">
      <c r="A85" s="25" t="s">
        <v>836</v>
      </c>
      <c r="B85" s="25" t="s">
        <v>347</v>
      </c>
      <c r="C85" s="25" t="s">
        <v>116</v>
      </c>
      <c r="D85" s="25" t="s">
        <v>465</v>
      </c>
      <c r="E85" s="25" t="s">
        <v>52</v>
      </c>
      <c r="F85" s="25" t="s">
        <v>837</v>
      </c>
      <c r="G85" s="25" t="s">
        <v>126</v>
      </c>
      <c r="H85" s="25" t="s">
        <v>138</v>
      </c>
      <c r="I85" s="25" t="s">
        <v>119</v>
      </c>
      <c r="J85" s="25" t="s">
        <v>242</v>
      </c>
      <c r="K85" s="25" t="s">
        <v>552</v>
      </c>
      <c r="L85" s="25" t="s">
        <v>55</v>
      </c>
      <c r="M85" s="25" t="s">
        <v>243</v>
      </c>
      <c r="N85" s="25" t="s">
        <v>55</v>
      </c>
      <c r="O85" s="25" t="s">
        <v>838</v>
      </c>
      <c r="P85" s="25" t="s">
        <v>832</v>
      </c>
      <c r="Q85" s="25" t="s">
        <v>839</v>
      </c>
      <c r="R85" s="25" t="s">
        <v>55</v>
      </c>
      <c r="S85" s="25" t="s">
        <v>55</v>
      </c>
      <c r="T85" s="25" t="s">
        <v>840</v>
      </c>
      <c r="U85" s="25" t="s">
        <v>63</v>
      </c>
      <c r="V85" s="26">
        <v>45961</v>
      </c>
      <c r="W85" s="25" t="s">
        <v>55</v>
      </c>
      <c r="X85" s="25" t="s">
        <v>841</v>
      </c>
      <c r="Y85" s="25" t="s">
        <v>65</v>
      </c>
      <c r="Z85" s="26">
        <v>46022</v>
      </c>
      <c r="AA85" s="25" t="s">
        <v>66</v>
      </c>
      <c r="AB85" s="25" t="s">
        <v>1725</v>
      </c>
      <c r="AC85" s="25" t="s">
        <v>55</v>
      </c>
      <c r="AD85" s="25" t="s">
        <v>118</v>
      </c>
      <c r="AE85" s="25" t="s">
        <v>97</v>
      </c>
      <c r="AF85" s="25" t="s">
        <v>92</v>
      </c>
      <c r="AG85" s="25" t="s">
        <v>55</v>
      </c>
      <c r="AH85" s="25" t="s">
        <v>55</v>
      </c>
      <c r="AI85" s="25" t="s">
        <v>55</v>
      </c>
      <c r="AJ85" s="25" t="s">
        <v>55</v>
      </c>
      <c r="AK85" s="25" t="s">
        <v>55</v>
      </c>
      <c r="AL85" s="25" t="s">
        <v>55</v>
      </c>
      <c r="AM85" s="25" t="s">
        <v>55</v>
      </c>
      <c r="AN85" s="25" t="s">
        <v>55</v>
      </c>
      <c r="AO85" s="25" t="s">
        <v>55</v>
      </c>
      <c r="AP85" s="25" t="s">
        <v>55</v>
      </c>
      <c r="AQ85" s="25" t="s">
        <v>55</v>
      </c>
      <c r="AR85" s="25" t="s">
        <v>55</v>
      </c>
      <c r="AS85" s="25" t="s">
        <v>55</v>
      </c>
      <c r="AT85" s="25" t="s">
        <v>55</v>
      </c>
      <c r="AU85" s="25" t="s">
        <v>55</v>
      </c>
      <c r="AV85" s="25" t="s">
        <v>55</v>
      </c>
      <c r="AW85" s="25" t="s">
        <v>55</v>
      </c>
      <c r="AX85" s="25" t="s">
        <v>55</v>
      </c>
      <c r="AY85" s="25" t="s">
        <v>811</v>
      </c>
      <c r="AZ85" s="20">
        <f t="shared" si="3"/>
        <v>21</v>
      </c>
      <c r="BA85" s="17" t="str">
        <f t="shared" si="4"/>
        <v>&lt; 3 months</v>
      </c>
      <c r="BB85" s="21" t="s">
        <v>66</v>
      </c>
    </row>
    <row r="86" spans="1:54" ht="12" customHeight="1" x14ac:dyDescent="0.35">
      <c r="A86" s="25" t="s">
        <v>846</v>
      </c>
      <c r="B86" s="25" t="s">
        <v>347</v>
      </c>
      <c r="C86" s="25" t="s">
        <v>116</v>
      </c>
      <c r="D86" s="25" t="s">
        <v>465</v>
      </c>
      <c r="E86" s="25" t="s">
        <v>52</v>
      </c>
      <c r="F86" s="25" t="s">
        <v>159</v>
      </c>
      <c r="G86" s="25" t="s">
        <v>94</v>
      </c>
      <c r="H86" s="25" t="s">
        <v>95</v>
      </c>
      <c r="I86" s="25" t="s">
        <v>803</v>
      </c>
      <c r="J86" s="25" t="s">
        <v>812</v>
      </c>
      <c r="K86" s="25" t="s">
        <v>868</v>
      </c>
      <c r="L86" s="25" t="s">
        <v>55</v>
      </c>
      <c r="M86" s="25" t="s">
        <v>476</v>
      </c>
      <c r="N86" s="25" t="s">
        <v>55</v>
      </c>
      <c r="O86" s="25" t="s">
        <v>847</v>
      </c>
      <c r="P86" s="25" t="s">
        <v>845</v>
      </c>
      <c r="Q86" s="25" t="s">
        <v>848</v>
      </c>
      <c r="R86" s="25" t="s">
        <v>55</v>
      </c>
      <c r="S86" s="25" t="s">
        <v>55</v>
      </c>
      <c r="T86" s="25" t="s">
        <v>849</v>
      </c>
      <c r="U86" s="25" t="s">
        <v>63</v>
      </c>
      <c r="V86" s="26">
        <v>45961</v>
      </c>
      <c r="W86" s="25" t="s">
        <v>55</v>
      </c>
      <c r="X86" s="25" t="s">
        <v>850</v>
      </c>
      <c r="Y86" s="25" t="s">
        <v>65</v>
      </c>
      <c r="Z86" s="25" t="s">
        <v>55</v>
      </c>
      <c r="AA86" s="25" t="s">
        <v>66</v>
      </c>
      <c r="AB86" s="25" t="s">
        <v>55</v>
      </c>
      <c r="AC86" s="25" t="s">
        <v>55</v>
      </c>
      <c r="AD86" s="25" t="s">
        <v>118</v>
      </c>
      <c r="AE86" s="25" t="s">
        <v>97</v>
      </c>
      <c r="AF86" s="25" t="s">
        <v>477</v>
      </c>
      <c r="AG86" s="25" t="s">
        <v>55</v>
      </c>
      <c r="AH86" s="25" t="s">
        <v>55</v>
      </c>
      <c r="AI86" s="25" t="s">
        <v>55</v>
      </c>
      <c r="AJ86" s="25" t="s">
        <v>55</v>
      </c>
      <c r="AK86" s="25" t="s">
        <v>55</v>
      </c>
      <c r="AL86" s="25" t="s">
        <v>55</v>
      </c>
      <c r="AM86" s="25" t="s">
        <v>55</v>
      </c>
      <c r="AN86" s="25" t="s">
        <v>55</v>
      </c>
      <c r="AO86" s="25" t="s">
        <v>55</v>
      </c>
      <c r="AP86" s="25" t="s">
        <v>55</v>
      </c>
      <c r="AQ86" s="25" t="s">
        <v>55</v>
      </c>
      <c r="AR86" s="25" t="s">
        <v>55</v>
      </c>
      <c r="AS86" s="25" t="s">
        <v>55</v>
      </c>
      <c r="AT86" s="25" t="s">
        <v>55</v>
      </c>
      <c r="AU86" s="25" t="s">
        <v>55</v>
      </c>
      <c r="AV86" s="25" t="s">
        <v>55</v>
      </c>
      <c r="AW86" s="25" t="s">
        <v>55</v>
      </c>
      <c r="AX86" s="25" t="s">
        <v>55</v>
      </c>
      <c r="AY86" s="25" t="s">
        <v>811</v>
      </c>
      <c r="AZ86" s="20">
        <f t="shared" si="3"/>
        <v>21</v>
      </c>
      <c r="BA86" s="17" t="str">
        <f t="shared" si="4"/>
        <v>&lt; 3 months</v>
      </c>
      <c r="BB86" s="21" t="s">
        <v>66</v>
      </c>
    </row>
    <row r="87" spans="1:54" ht="12" customHeight="1" x14ac:dyDescent="0.35">
      <c r="A87" s="25" t="s">
        <v>851</v>
      </c>
      <c r="B87" s="25" t="s">
        <v>347</v>
      </c>
      <c r="C87" s="25" t="s">
        <v>116</v>
      </c>
      <c r="D87" s="25" t="s">
        <v>465</v>
      </c>
      <c r="E87" s="25" t="s">
        <v>52</v>
      </c>
      <c r="F87" s="25" t="s">
        <v>159</v>
      </c>
      <c r="G87" s="25" t="s">
        <v>94</v>
      </c>
      <c r="H87" s="25" t="s">
        <v>95</v>
      </c>
      <c r="I87" s="25" t="s">
        <v>121</v>
      </c>
      <c r="J87" s="25" t="s">
        <v>223</v>
      </c>
      <c r="K87" s="25" t="s">
        <v>868</v>
      </c>
      <c r="L87" s="25" t="s">
        <v>55</v>
      </c>
      <c r="M87" s="25" t="s">
        <v>852</v>
      </c>
      <c r="N87" s="25" t="s">
        <v>55</v>
      </c>
      <c r="O87" s="25" t="s">
        <v>847</v>
      </c>
      <c r="P87" s="25" t="s">
        <v>853</v>
      </c>
      <c r="Q87" s="25" t="s">
        <v>854</v>
      </c>
      <c r="R87" s="25" t="s">
        <v>55</v>
      </c>
      <c r="S87" s="25" t="s">
        <v>55</v>
      </c>
      <c r="T87" s="25" t="s">
        <v>855</v>
      </c>
      <c r="U87" s="25" t="s">
        <v>63</v>
      </c>
      <c r="V87" s="26">
        <v>45961</v>
      </c>
      <c r="W87" s="25" t="s">
        <v>55</v>
      </c>
      <c r="X87" s="25" t="s">
        <v>856</v>
      </c>
      <c r="Y87" s="25" t="s">
        <v>65</v>
      </c>
      <c r="Z87" s="25" t="s">
        <v>55</v>
      </c>
      <c r="AA87" s="25" t="s">
        <v>66</v>
      </c>
      <c r="AB87" s="25" t="s">
        <v>55</v>
      </c>
      <c r="AC87" s="25" t="s">
        <v>55</v>
      </c>
      <c r="AD87" s="25" t="s">
        <v>118</v>
      </c>
      <c r="AE87" s="25" t="s">
        <v>97</v>
      </c>
      <c r="AF87" s="25" t="s">
        <v>123</v>
      </c>
      <c r="AG87" s="25" t="s">
        <v>55</v>
      </c>
      <c r="AH87" s="25" t="s">
        <v>55</v>
      </c>
      <c r="AI87" s="25" t="s">
        <v>55</v>
      </c>
      <c r="AJ87" s="25" t="s">
        <v>55</v>
      </c>
      <c r="AK87" s="25" t="s">
        <v>55</v>
      </c>
      <c r="AL87" s="25" t="s">
        <v>55</v>
      </c>
      <c r="AM87" s="25" t="s">
        <v>55</v>
      </c>
      <c r="AN87" s="25" t="s">
        <v>55</v>
      </c>
      <c r="AO87" s="25" t="s">
        <v>55</v>
      </c>
      <c r="AP87" s="25" t="s">
        <v>55</v>
      </c>
      <c r="AQ87" s="25" t="s">
        <v>55</v>
      </c>
      <c r="AR87" s="25" t="s">
        <v>55</v>
      </c>
      <c r="AS87" s="25" t="s">
        <v>55</v>
      </c>
      <c r="AT87" s="25" t="s">
        <v>55</v>
      </c>
      <c r="AU87" s="25" t="s">
        <v>55</v>
      </c>
      <c r="AV87" s="25" t="s">
        <v>55</v>
      </c>
      <c r="AW87" s="25" t="s">
        <v>55</v>
      </c>
      <c r="AX87" s="25" t="s">
        <v>55</v>
      </c>
      <c r="AY87" s="25" t="s">
        <v>811</v>
      </c>
      <c r="AZ87" s="20">
        <f t="shared" si="3"/>
        <v>21</v>
      </c>
      <c r="BA87" s="17" t="str">
        <f t="shared" si="4"/>
        <v>&lt; 3 months</v>
      </c>
      <c r="BB87" s="21" t="s">
        <v>66</v>
      </c>
    </row>
    <row r="88" spans="1:54" ht="12" customHeight="1" x14ac:dyDescent="0.35">
      <c r="A88" s="25" t="s">
        <v>869</v>
      </c>
      <c r="B88" s="25" t="s">
        <v>347</v>
      </c>
      <c r="C88" s="25" t="s">
        <v>51</v>
      </c>
      <c r="D88" s="25" t="s">
        <v>465</v>
      </c>
      <c r="E88" s="25" t="s">
        <v>108</v>
      </c>
      <c r="F88" s="25" t="s">
        <v>1726</v>
      </c>
      <c r="G88" s="25" t="s">
        <v>126</v>
      </c>
      <c r="H88" s="25" t="s">
        <v>138</v>
      </c>
      <c r="I88" s="25" t="s">
        <v>160</v>
      </c>
      <c r="J88" s="25" t="s">
        <v>870</v>
      </c>
      <c r="K88" s="25" t="s">
        <v>558</v>
      </c>
      <c r="L88" s="25" t="s">
        <v>103</v>
      </c>
      <c r="M88" s="25" t="s">
        <v>55</v>
      </c>
      <c r="N88" s="25" t="s">
        <v>55</v>
      </c>
      <c r="O88" s="25" t="s">
        <v>871</v>
      </c>
      <c r="P88" s="25" t="s">
        <v>872</v>
      </c>
      <c r="Q88" s="25" t="s">
        <v>873</v>
      </c>
      <c r="R88" s="25" t="s">
        <v>63</v>
      </c>
      <c r="S88" s="25" t="s">
        <v>874</v>
      </c>
      <c r="T88" s="25" t="s">
        <v>875</v>
      </c>
      <c r="U88" s="25" t="s">
        <v>132</v>
      </c>
      <c r="V88" s="26">
        <v>45991</v>
      </c>
      <c r="W88" s="25" t="s">
        <v>55</v>
      </c>
      <c r="X88" s="25" t="s">
        <v>876</v>
      </c>
      <c r="Y88" s="25" t="s">
        <v>65</v>
      </c>
      <c r="Z88" s="25" t="s">
        <v>55</v>
      </c>
      <c r="AA88" s="25" t="s">
        <v>152</v>
      </c>
      <c r="AB88" s="25" t="s">
        <v>55</v>
      </c>
      <c r="AC88" s="25" t="s">
        <v>55</v>
      </c>
      <c r="AD88" s="25" t="s">
        <v>67</v>
      </c>
      <c r="AE88" s="25" t="s">
        <v>257</v>
      </c>
      <c r="AF88" s="25" t="s">
        <v>55</v>
      </c>
      <c r="AG88" s="25" t="s">
        <v>55</v>
      </c>
      <c r="AH88" s="25" t="s">
        <v>55</v>
      </c>
      <c r="AI88" s="25" t="s">
        <v>55</v>
      </c>
      <c r="AJ88" s="25" t="s">
        <v>55</v>
      </c>
      <c r="AK88" s="25" t="s">
        <v>55</v>
      </c>
      <c r="AL88" s="25" t="s">
        <v>55</v>
      </c>
      <c r="AM88" s="25" t="s">
        <v>55</v>
      </c>
      <c r="AN88" s="25" t="s">
        <v>55</v>
      </c>
      <c r="AO88" s="25" t="s">
        <v>55</v>
      </c>
      <c r="AP88" s="25" t="s">
        <v>55</v>
      </c>
      <c r="AQ88" s="25" t="s">
        <v>55</v>
      </c>
      <c r="AR88" s="25" t="s">
        <v>55</v>
      </c>
      <c r="AS88" s="25" t="s">
        <v>55</v>
      </c>
      <c r="AT88" s="25" t="s">
        <v>55</v>
      </c>
      <c r="AU88" s="25" t="s">
        <v>55</v>
      </c>
      <c r="AV88" s="25" t="s">
        <v>55</v>
      </c>
      <c r="AW88" s="26">
        <v>45789</v>
      </c>
      <c r="AX88" s="26">
        <v>45903</v>
      </c>
      <c r="AY88" s="25" t="s">
        <v>877</v>
      </c>
      <c r="AZ88" s="20">
        <f t="shared" si="3"/>
        <v>-9</v>
      </c>
      <c r="BA88" s="17" t="e">
        <f t="shared" si="4"/>
        <v>#N/A</v>
      </c>
      <c r="BB88" s="21" t="s">
        <v>335</v>
      </c>
    </row>
    <row r="89" spans="1:54" ht="12" customHeight="1" x14ac:dyDescent="0.35">
      <c r="A89" s="25" t="s">
        <v>878</v>
      </c>
      <c r="B89" s="25" t="s">
        <v>347</v>
      </c>
      <c r="C89" s="25" t="s">
        <v>51</v>
      </c>
      <c r="D89" s="25" t="s">
        <v>465</v>
      </c>
      <c r="E89" s="25" t="s">
        <v>108</v>
      </c>
      <c r="F89" s="25" t="s">
        <v>1726</v>
      </c>
      <c r="G89" s="25" t="s">
        <v>126</v>
      </c>
      <c r="H89" s="25" t="s">
        <v>138</v>
      </c>
      <c r="I89" s="25" t="s">
        <v>160</v>
      </c>
      <c r="J89" s="25" t="s">
        <v>870</v>
      </c>
      <c r="K89" s="25" t="s">
        <v>558</v>
      </c>
      <c r="L89" s="25" t="s">
        <v>103</v>
      </c>
      <c r="M89" s="25" t="s">
        <v>55</v>
      </c>
      <c r="N89" s="25" t="s">
        <v>118</v>
      </c>
      <c r="O89" s="25" t="s">
        <v>871</v>
      </c>
      <c r="P89" s="25" t="s">
        <v>767</v>
      </c>
      <c r="Q89" s="25" t="s">
        <v>879</v>
      </c>
      <c r="R89" s="25" t="s">
        <v>63</v>
      </c>
      <c r="S89" s="25" t="s">
        <v>880</v>
      </c>
      <c r="T89" s="25" t="s">
        <v>881</v>
      </c>
      <c r="U89" s="25" t="s">
        <v>132</v>
      </c>
      <c r="V89" s="26">
        <v>45991</v>
      </c>
      <c r="W89" s="25" t="s">
        <v>55</v>
      </c>
      <c r="X89" s="25" t="s">
        <v>882</v>
      </c>
      <c r="Y89" s="25" t="s">
        <v>65</v>
      </c>
      <c r="Z89" s="25" t="s">
        <v>55</v>
      </c>
      <c r="AA89" s="25" t="s">
        <v>152</v>
      </c>
      <c r="AB89" s="25" t="s">
        <v>55</v>
      </c>
      <c r="AC89" s="25" t="s">
        <v>55</v>
      </c>
      <c r="AD89" s="25" t="s">
        <v>67</v>
      </c>
      <c r="AE89" s="25" t="s">
        <v>257</v>
      </c>
      <c r="AF89" s="25" t="s">
        <v>55</v>
      </c>
      <c r="AG89" s="25" t="s">
        <v>55</v>
      </c>
      <c r="AH89" s="25" t="s">
        <v>55</v>
      </c>
      <c r="AI89" s="25" t="s">
        <v>55</v>
      </c>
      <c r="AJ89" s="25" t="s">
        <v>55</v>
      </c>
      <c r="AK89" s="25" t="s">
        <v>55</v>
      </c>
      <c r="AL89" s="25" t="s">
        <v>55</v>
      </c>
      <c r="AM89" s="25" t="s">
        <v>55</v>
      </c>
      <c r="AN89" s="25" t="s">
        <v>55</v>
      </c>
      <c r="AO89" s="25" t="s">
        <v>55</v>
      </c>
      <c r="AP89" s="25" t="s">
        <v>55</v>
      </c>
      <c r="AQ89" s="25" t="s">
        <v>55</v>
      </c>
      <c r="AR89" s="25" t="s">
        <v>55</v>
      </c>
      <c r="AS89" s="25" t="s">
        <v>55</v>
      </c>
      <c r="AT89" s="25" t="s">
        <v>55</v>
      </c>
      <c r="AU89" s="25" t="s">
        <v>55</v>
      </c>
      <c r="AV89" s="25" t="s">
        <v>55</v>
      </c>
      <c r="AW89" s="26">
        <v>45789</v>
      </c>
      <c r="AX89" s="26">
        <v>45903</v>
      </c>
      <c r="AY89" s="25" t="s">
        <v>877</v>
      </c>
      <c r="AZ89" s="20">
        <f t="shared" si="3"/>
        <v>-9</v>
      </c>
      <c r="BA89" s="17" t="e">
        <f t="shared" si="4"/>
        <v>#N/A</v>
      </c>
      <c r="BB89" s="21" t="s">
        <v>335</v>
      </c>
    </row>
    <row r="90" spans="1:54" ht="12" customHeight="1" x14ac:dyDescent="0.35">
      <c r="A90" s="25" t="s">
        <v>883</v>
      </c>
      <c r="B90" s="25" t="s">
        <v>347</v>
      </c>
      <c r="C90" s="25" t="s">
        <v>51</v>
      </c>
      <c r="D90" s="25" t="s">
        <v>465</v>
      </c>
      <c r="E90" s="25" t="s">
        <v>108</v>
      </c>
      <c r="F90" s="25" t="s">
        <v>1726</v>
      </c>
      <c r="G90" s="25" t="s">
        <v>126</v>
      </c>
      <c r="H90" s="25" t="s">
        <v>138</v>
      </c>
      <c r="I90" s="25" t="s">
        <v>121</v>
      </c>
      <c r="J90" s="25" t="s">
        <v>752</v>
      </c>
      <c r="K90" s="25" t="s">
        <v>867</v>
      </c>
      <c r="L90" s="25" t="s">
        <v>57</v>
      </c>
      <c r="M90" s="25" t="s">
        <v>55</v>
      </c>
      <c r="N90" s="25" t="s">
        <v>55</v>
      </c>
      <c r="O90" s="25" t="s">
        <v>871</v>
      </c>
      <c r="P90" s="25" t="s">
        <v>884</v>
      </c>
      <c r="Q90" s="25" t="s">
        <v>885</v>
      </c>
      <c r="R90" s="25" t="s">
        <v>63</v>
      </c>
      <c r="S90" s="25" t="s">
        <v>886</v>
      </c>
      <c r="T90" s="25" t="s">
        <v>887</v>
      </c>
      <c r="U90" s="25" t="s">
        <v>63</v>
      </c>
      <c r="V90" s="26">
        <v>45991</v>
      </c>
      <c r="W90" s="25" t="s">
        <v>55</v>
      </c>
      <c r="X90" s="25" t="s">
        <v>882</v>
      </c>
      <c r="Y90" s="25" t="s">
        <v>65</v>
      </c>
      <c r="Z90" s="25" t="s">
        <v>55</v>
      </c>
      <c r="AA90" s="25" t="s">
        <v>152</v>
      </c>
      <c r="AB90" s="25" t="s">
        <v>55</v>
      </c>
      <c r="AC90" s="25" t="s">
        <v>55</v>
      </c>
      <c r="AD90" s="25" t="s">
        <v>67</v>
      </c>
      <c r="AE90" s="25" t="s">
        <v>257</v>
      </c>
      <c r="AF90" s="25" t="s">
        <v>55</v>
      </c>
      <c r="AG90" s="25" t="s">
        <v>55</v>
      </c>
      <c r="AH90" s="25" t="s">
        <v>55</v>
      </c>
      <c r="AI90" s="25" t="s">
        <v>55</v>
      </c>
      <c r="AJ90" s="25" t="s">
        <v>55</v>
      </c>
      <c r="AK90" s="25" t="s">
        <v>55</v>
      </c>
      <c r="AL90" s="25" t="s">
        <v>55</v>
      </c>
      <c r="AM90" s="25" t="s">
        <v>55</v>
      </c>
      <c r="AN90" s="25" t="s">
        <v>55</v>
      </c>
      <c r="AO90" s="25" t="s">
        <v>55</v>
      </c>
      <c r="AP90" s="25" t="s">
        <v>55</v>
      </c>
      <c r="AQ90" s="25" t="s">
        <v>55</v>
      </c>
      <c r="AR90" s="25" t="s">
        <v>55</v>
      </c>
      <c r="AS90" s="25" t="s">
        <v>55</v>
      </c>
      <c r="AT90" s="25" t="s">
        <v>55</v>
      </c>
      <c r="AU90" s="25" t="s">
        <v>55</v>
      </c>
      <c r="AV90" s="25" t="s">
        <v>55</v>
      </c>
      <c r="AW90" s="26">
        <v>45789</v>
      </c>
      <c r="AX90" s="26">
        <v>45903</v>
      </c>
      <c r="AY90" s="25" t="s">
        <v>877</v>
      </c>
      <c r="AZ90" s="20">
        <f t="shared" si="3"/>
        <v>-9</v>
      </c>
      <c r="BA90" s="17" t="e">
        <f t="shared" si="4"/>
        <v>#N/A</v>
      </c>
      <c r="BB90" s="21" t="s">
        <v>335</v>
      </c>
    </row>
    <row r="91" spans="1:54" ht="12" customHeight="1" x14ac:dyDescent="0.35">
      <c r="A91" s="25" t="s">
        <v>888</v>
      </c>
      <c r="B91" s="25" t="s">
        <v>347</v>
      </c>
      <c r="C91" s="25" t="s">
        <v>51</v>
      </c>
      <c r="D91" s="25" t="s">
        <v>465</v>
      </c>
      <c r="E91" s="25" t="s">
        <v>108</v>
      </c>
      <c r="F91" s="25" t="s">
        <v>1726</v>
      </c>
      <c r="G91" s="25" t="s">
        <v>126</v>
      </c>
      <c r="H91" s="25" t="s">
        <v>138</v>
      </c>
      <c r="I91" s="25" t="s">
        <v>101</v>
      </c>
      <c r="J91" s="25" t="s">
        <v>889</v>
      </c>
      <c r="K91" s="25" t="s">
        <v>561</v>
      </c>
      <c r="L91" s="25" t="s">
        <v>57</v>
      </c>
      <c r="M91" s="25" t="s">
        <v>55</v>
      </c>
      <c r="N91" s="25" t="s">
        <v>55</v>
      </c>
      <c r="O91" s="25" t="s">
        <v>871</v>
      </c>
      <c r="P91" s="25" t="s">
        <v>890</v>
      </c>
      <c r="Q91" s="25" t="s">
        <v>891</v>
      </c>
      <c r="R91" s="25" t="s">
        <v>63</v>
      </c>
      <c r="S91" s="25" t="s">
        <v>892</v>
      </c>
      <c r="T91" s="25" t="s">
        <v>893</v>
      </c>
      <c r="U91" s="25" t="s">
        <v>132</v>
      </c>
      <c r="V91" s="26">
        <v>45991</v>
      </c>
      <c r="W91" s="25" t="s">
        <v>55</v>
      </c>
      <c r="X91" s="25" t="s">
        <v>894</v>
      </c>
      <c r="Y91" s="25" t="s">
        <v>65</v>
      </c>
      <c r="Z91" s="25" t="s">
        <v>55</v>
      </c>
      <c r="AA91" s="25" t="s">
        <v>152</v>
      </c>
      <c r="AB91" s="25" t="s">
        <v>55</v>
      </c>
      <c r="AC91" s="25" t="s">
        <v>55</v>
      </c>
      <c r="AD91" s="25" t="s">
        <v>67</v>
      </c>
      <c r="AE91" s="25" t="s">
        <v>257</v>
      </c>
      <c r="AF91" s="25" t="s">
        <v>55</v>
      </c>
      <c r="AG91" s="25" t="s">
        <v>55</v>
      </c>
      <c r="AH91" s="25" t="s">
        <v>55</v>
      </c>
      <c r="AI91" s="25" t="s">
        <v>55</v>
      </c>
      <c r="AJ91" s="25" t="s">
        <v>55</v>
      </c>
      <c r="AK91" s="25" t="s">
        <v>55</v>
      </c>
      <c r="AL91" s="25" t="s">
        <v>55</v>
      </c>
      <c r="AM91" s="25" t="s">
        <v>55</v>
      </c>
      <c r="AN91" s="25" t="s">
        <v>55</v>
      </c>
      <c r="AO91" s="25" t="s">
        <v>55</v>
      </c>
      <c r="AP91" s="25" t="s">
        <v>55</v>
      </c>
      <c r="AQ91" s="25" t="s">
        <v>55</v>
      </c>
      <c r="AR91" s="25" t="s">
        <v>55</v>
      </c>
      <c r="AS91" s="25" t="s">
        <v>55</v>
      </c>
      <c r="AT91" s="25" t="s">
        <v>55</v>
      </c>
      <c r="AU91" s="25" t="s">
        <v>55</v>
      </c>
      <c r="AV91" s="25" t="s">
        <v>55</v>
      </c>
      <c r="AW91" s="26">
        <v>45789</v>
      </c>
      <c r="AX91" s="26">
        <v>45903</v>
      </c>
      <c r="AY91" s="25" t="s">
        <v>877</v>
      </c>
      <c r="AZ91" s="20">
        <f t="shared" si="3"/>
        <v>-9</v>
      </c>
      <c r="BA91" s="17" t="e">
        <f t="shared" si="4"/>
        <v>#N/A</v>
      </c>
      <c r="BB91" s="21" t="s">
        <v>335</v>
      </c>
    </row>
    <row r="92" spans="1:54" ht="12" customHeight="1" x14ac:dyDescent="0.35">
      <c r="A92" s="25" t="s">
        <v>895</v>
      </c>
      <c r="B92" s="25" t="s">
        <v>347</v>
      </c>
      <c r="C92" s="25" t="s">
        <v>51</v>
      </c>
      <c r="D92" s="25" t="s">
        <v>465</v>
      </c>
      <c r="E92" s="25" t="s">
        <v>108</v>
      </c>
      <c r="F92" s="25" t="s">
        <v>896</v>
      </c>
      <c r="G92" s="25" t="s">
        <v>54</v>
      </c>
      <c r="H92" s="25" t="s">
        <v>1727</v>
      </c>
      <c r="I92" s="25" t="s">
        <v>86</v>
      </c>
      <c r="J92" s="25" t="s">
        <v>897</v>
      </c>
      <c r="K92" s="25" t="s">
        <v>594</v>
      </c>
      <c r="L92" s="25" t="s">
        <v>57</v>
      </c>
      <c r="M92" s="25" t="s">
        <v>55</v>
      </c>
      <c r="N92" s="25" t="s">
        <v>55</v>
      </c>
      <c r="O92" s="25" t="s">
        <v>898</v>
      </c>
      <c r="P92" s="25" t="s">
        <v>897</v>
      </c>
      <c r="Q92" s="25" t="s">
        <v>899</v>
      </c>
      <c r="R92" s="25" t="s">
        <v>63</v>
      </c>
      <c r="S92" s="25" t="s">
        <v>900</v>
      </c>
      <c r="T92" s="25" t="s">
        <v>901</v>
      </c>
      <c r="U92" s="25" t="s">
        <v>63</v>
      </c>
      <c r="V92" s="26">
        <v>45991</v>
      </c>
      <c r="W92" s="25" t="s">
        <v>55</v>
      </c>
      <c r="X92" s="25" t="s">
        <v>902</v>
      </c>
      <c r="Y92" s="25" t="s">
        <v>65</v>
      </c>
      <c r="Z92" s="25" t="s">
        <v>55</v>
      </c>
      <c r="AA92" s="25" t="s">
        <v>152</v>
      </c>
      <c r="AB92" s="25" t="s">
        <v>55</v>
      </c>
      <c r="AC92" s="25" t="s">
        <v>55</v>
      </c>
      <c r="AD92" s="25" t="s">
        <v>67</v>
      </c>
      <c r="AE92" s="25" t="s">
        <v>257</v>
      </c>
      <c r="AF92" s="25" t="s">
        <v>55</v>
      </c>
      <c r="AG92" s="25" t="s">
        <v>55</v>
      </c>
      <c r="AH92" s="25" t="s">
        <v>55</v>
      </c>
      <c r="AI92" s="25" t="s">
        <v>55</v>
      </c>
      <c r="AJ92" s="25" t="s">
        <v>55</v>
      </c>
      <c r="AK92" s="25" t="s">
        <v>55</v>
      </c>
      <c r="AL92" s="25" t="s">
        <v>55</v>
      </c>
      <c r="AM92" s="25" t="s">
        <v>55</v>
      </c>
      <c r="AN92" s="25" t="s">
        <v>55</v>
      </c>
      <c r="AO92" s="25" t="s">
        <v>55</v>
      </c>
      <c r="AP92" s="25" t="s">
        <v>55</v>
      </c>
      <c r="AQ92" s="25" t="s">
        <v>55</v>
      </c>
      <c r="AR92" s="25" t="s">
        <v>55</v>
      </c>
      <c r="AS92" s="25" t="s">
        <v>55</v>
      </c>
      <c r="AT92" s="25" t="s">
        <v>55</v>
      </c>
      <c r="AU92" s="25" t="s">
        <v>55</v>
      </c>
      <c r="AV92" s="25" t="s">
        <v>55</v>
      </c>
      <c r="AW92" s="26">
        <v>45835</v>
      </c>
      <c r="AX92" s="26">
        <v>45912</v>
      </c>
      <c r="AY92" s="25" t="s">
        <v>877</v>
      </c>
      <c r="AZ92" s="20">
        <f t="shared" si="3"/>
        <v>-9</v>
      </c>
      <c r="BA92" s="17" t="e">
        <f t="shared" si="4"/>
        <v>#N/A</v>
      </c>
      <c r="BB92" s="21" t="s">
        <v>335</v>
      </c>
    </row>
    <row r="93" spans="1:54" ht="12" customHeight="1" x14ac:dyDescent="0.35">
      <c r="A93" s="25" t="s">
        <v>903</v>
      </c>
      <c r="B93" s="25" t="s">
        <v>347</v>
      </c>
      <c r="C93" s="25" t="s">
        <v>51</v>
      </c>
      <c r="D93" s="25" t="s">
        <v>465</v>
      </c>
      <c r="E93" s="25" t="s">
        <v>108</v>
      </c>
      <c r="F93" s="25" t="s">
        <v>896</v>
      </c>
      <c r="G93" s="25" t="s">
        <v>54</v>
      </c>
      <c r="H93" s="25" t="s">
        <v>1727</v>
      </c>
      <c r="I93" s="25" t="s">
        <v>160</v>
      </c>
      <c r="J93" s="25" t="s">
        <v>904</v>
      </c>
      <c r="K93" s="25" t="s">
        <v>559</v>
      </c>
      <c r="L93" s="25" t="s">
        <v>57</v>
      </c>
      <c r="M93" s="25" t="s">
        <v>55</v>
      </c>
      <c r="N93" s="25" t="s">
        <v>905</v>
      </c>
      <c r="O93" s="25" t="s">
        <v>898</v>
      </c>
      <c r="P93" s="25" t="s">
        <v>904</v>
      </c>
      <c r="Q93" s="25" t="s">
        <v>906</v>
      </c>
      <c r="R93" s="25" t="s">
        <v>63</v>
      </c>
      <c r="S93" s="25" t="s">
        <v>907</v>
      </c>
      <c r="T93" s="25" t="s">
        <v>908</v>
      </c>
      <c r="U93" s="25" t="s">
        <v>63</v>
      </c>
      <c r="V93" s="26">
        <v>45961</v>
      </c>
      <c r="W93" s="25" t="s">
        <v>55</v>
      </c>
      <c r="X93" s="25" t="s">
        <v>909</v>
      </c>
      <c r="Y93" s="25" t="s">
        <v>65</v>
      </c>
      <c r="Z93" s="25" t="s">
        <v>55</v>
      </c>
      <c r="AA93" s="25" t="s">
        <v>66</v>
      </c>
      <c r="AB93" s="25" t="s">
        <v>55</v>
      </c>
      <c r="AC93" s="25" t="s">
        <v>55</v>
      </c>
      <c r="AD93" s="25" t="s">
        <v>67</v>
      </c>
      <c r="AE93" s="25" t="s">
        <v>257</v>
      </c>
      <c r="AF93" s="25" t="s">
        <v>55</v>
      </c>
      <c r="AG93" s="25" t="s">
        <v>55</v>
      </c>
      <c r="AH93" s="25" t="s">
        <v>55</v>
      </c>
      <c r="AI93" s="25" t="s">
        <v>55</v>
      </c>
      <c r="AJ93" s="25" t="s">
        <v>55</v>
      </c>
      <c r="AK93" s="25" t="s">
        <v>55</v>
      </c>
      <c r="AL93" s="25" t="s">
        <v>55</v>
      </c>
      <c r="AM93" s="25" t="s">
        <v>55</v>
      </c>
      <c r="AN93" s="25" t="s">
        <v>55</v>
      </c>
      <c r="AO93" s="25" t="s">
        <v>55</v>
      </c>
      <c r="AP93" s="25" t="s">
        <v>55</v>
      </c>
      <c r="AQ93" s="25" t="s">
        <v>55</v>
      </c>
      <c r="AR93" s="25" t="s">
        <v>55</v>
      </c>
      <c r="AS93" s="25" t="s">
        <v>55</v>
      </c>
      <c r="AT93" s="25" t="s">
        <v>55</v>
      </c>
      <c r="AU93" s="25" t="s">
        <v>55</v>
      </c>
      <c r="AV93" s="25" t="s">
        <v>55</v>
      </c>
      <c r="AW93" s="26">
        <v>45835</v>
      </c>
      <c r="AX93" s="26">
        <v>45912</v>
      </c>
      <c r="AY93" s="25" t="s">
        <v>877</v>
      </c>
      <c r="AZ93" s="20">
        <f t="shared" si="3"/>
        <v>21</v>
      </c>
      <c r="BA93" s="17" t="str">
        <f t="shared" si="4"/>
        <v>&lt; 3 months</v>
      </c>
      <c r="BB93" s="21" t="s">
        <v>66</v>
      </c>
    </row>
    <row r="94" spans="1:54" ht="12" customHeight="1" x14ac:dyDescent="0.35">
      <c r="A94" s="25" t="s">
        <v>910</v>
      </c>
      <c r="B94" s="25" t="s">
        <v>347</v>
      </c>
      <c r="C94" s="25" t="s">
        <v>51</v>
      </c>
      <c r="D94" s="25" t="s">
        <v>465</v>
      </c>
      <c r="E94" s="25" t="s">
        <v>52</v>
      </c>
      <c r="F94" s="25" t="s">
        <v>896</v>
      </c>
      <c r="G94" s="25" t="s">
        <v>54</v>
      </c>
      <c r="H94" s="25" t="s">
        <v>1727</v>
      </c>
      <c r="I94" s="25" t="s">
        <v>101</v>
      </c>
      <c r="J94" s="25" t="s">
        <v>755</v>
      </c>
      <c r="K94" s="25" t="s">
        <v>561</v>
      </c>
      <c r="L94" s="25" t="s">
        <v>57</v>
      </c>
      <c r="M94" s="25" t="s">
        <v>323</v>
      </c>
      <c r="N94" s="25" t="s">
        <v>55</v>
      </c>
      <c r="O94" s="25" t="s">
        <v>898</v>
      </c>
      <c r="P94" s="25" t="s">
        <v>911</v>
      </c>
      <c r="Q94" s="25" t="s">
        <v>912</v>
      </c>
      <c r="R94" s="25" t="s">
        <v>63</v>
      </c>
      <c r="S94" s="25" t="s">
        <v>913</v>
      </c>
      <c r="T94" s="25" t="s">
        <v>914</v>
      </c>
      <c r="U94" s="25" t="s">
        <v>63</v>
      </c>
      <c r="V94" s="26">
        <v>45991</v>
      </c>
      <c r="W94" s="25" t="s">
        <v>55</v>
      </c>
      <c r="X94" s="25" t="s">
        <v>909</v>
      </c>
      <c r="Y94" s="25" t="s">
        <v>65</v>
      </c>
      <c r="Z94" s="25" t="s">
        <v>55</v>
      </c>
      <c r="AA94" s="25" t="s">
        <v>152</v>
      </c>
      <c r="AB94" s="25" t="s">
        <v>55</v>
      </c>
      <c r="AC94" s="25" t="s">
        <v>55</v>
      </c>
      <c r="AD94" s="25" t="s">
        <v>67</v>
      </c>
      <c r="AE94" s="25" t="s">
        <v>257</v>
      </c>
      <c r="AF94" s="25" t="s">
        <v>98</v>
      </c>
      <c r="AG94" s="25" t="s">
        <v>55</v>
      </c>
      <c r="AH94" s="25" t="s">
        <v>55</v>
      </c>
      <c r="AI94" s="25" t="s">
        <v>55</v>
      </c>
      <c r="AJ94" s="25" t="s">
        <v>55</v>
      </c>
      <c r="AK94" s="25" t="s">
        <v>55</v>
      </c>
      <c r="AL94" s="25" t="s">
        <v>55</v>
      </c>
      <c r="AM94" s="25" t="s">
        <v>55</v>
      </c>
      <c r="AN94" s="25" t="s">
        <v>55</v>
      </c>
      <c r="AO94" s="25" t="s">
        <v>55</v>
      </c>
      <c r="AP94" s="25" t="s">
        <v>55</v>
      </c>
      <c r="AQ94" s="25" t="s">
        <v>55</v>
      </c>
      <c r="AR94" s="25" t="s">
        <v>55</v>
      </c>
      <c r="AS94" s="25" t="s">
        <v>55</v>
      </c>
      <c r="AT94" s="25" t="s">
        <v>55</v>
      </c>
      <c r="AU94" s="25" t="s">
        <v>55</v>
      </c>
      <c r="AV94" s="25" t="s">
        <v>55</v>
      </c>
      <c r="AW94" s="26">
        <v>45835</v>
      </c>
      <c r="AX94" s="26">
        <v>45912</v>
      </c>
      <c r="AY94" s="25" t="s">
        <v>877</v>
      </c>
      <c r="AZ94" s="20">
        <f t="shared" si="3"/>
        <v>-9</v>
      </c>
      <c r="BA94" s="17" t="e">
        <f t="shared" si="4"/>
        <v>#N/A</v>
      </c>
      <c r="BB94" s="21" t="s">
        <v>335</v>
      </c>
    </row>
    <row r="95" spans="1:54" ht="12" customHeight="1" x14ac:dyDescent="0.35">
      <c r="A95" s="25" t="s">
        <v>915</v>
      </c>
      <c r="B95" s="25" t="s">
        <v>347</v>
      </c>
      <c r="C95" s="25" t="s">
        <v>51</v>
      </c>
      <c r="D95" s="25" t="s">
        <v>465</v>
      </c>
      <c r="E95" s="25" t="s">
        <v>52</v>
      </c>
      <c r="F95" s="25" t="s">
        <v>896</v>
      </c>
      <c r="G95" s="25" t="s">
        <v>54</v>
      </c>
      <c r="H95" s="25" t="s">
        <v>1727</v>
      </c>
      <c r="I95" s="25" t="s">
        <v>119</v>
      </c>
      <c r="J95" s="25" t="s">
        <v>916</v>
      </c>
      <c r="K95" s="25" t="s">
        <v>544</v>
      </c>
      <c r="L95" s="25" t="s">
        <v>57</v>
      </c>
      <c r="M95" s="25" t="s">
        <v>122</v>
      </c>
      <c r="N95" s="25" t="s">
        <v>122</v>
      </c>
      <c r="O95" s="25" t="s">
        <v>898</v>
      </c>
      <c r="P95" s="25" t="s">
        <v>917</v>
      </c>
      <c r="Q95" s="25" t="s">
        <v>918</v>
      </c>
      <c r="R95" s="25" t="s">
        <v>63</v>
      </c>
      <c r="S95" s="25" t="s">
        <v>919</v>
      </c>
      <c r="T95" s="25" t="s">
        <v>920</v>
      </c>
      <c r="U95" s="25" t="s">
        <v>63</v>
      </c>
      <c r="V95" s="26">
        <v>45991</v>
      </c>
      <c r="W95" s="25" t="s">
        <v>55</v>
      </c>
      <c r="X95" s="25" t="s">
        <v>921</v>
      </c>
      <c r="Y95" s="25" t="s">
        <v>65</v>
      </c>
      <c r="Z95" s="25" t="s">
        <v>55</v>
      </c>
      <c r="AA95" s="25" t="s">
        <v>152</v>
      </c>
      <c r="AB95" s="25" t="s">
        <v>55</v>
      </c>
      <c r="AC95" s="25" t="s">
        <v>55</v>
      </c>
      <c r="AD95" s="25" t="s">
        <v>67</v>
      </c>
      <c r="AE95" s="25" t="s">
        <v>257</v>
      </c>
      <c r="AF95" s="25" t="s">
        <v>123</v>
      </c>
      <c r="AG95" s="25" t="s">
        <v>55</v>
      </c>
      <c r="AH95" s="25" t="s">
        <v>55</v>
      </c>
      <c r="AI95" s="25" t="s">
        <v>55</v>
      </c>
      <c r="AJ95" s="25" t="s">
        <v>55</v>
      </c>
      <c r="AK95" s="25" t="s">
        <v>55</v>
      </c>
      <c r="AL95" s="25" t="s">
        <v>55</v>
      </c>
      <c r="AM95" s="25" t="s">
        <v>55</v>
      </c>
      <c r="AN95" s="25" t="s">
        <v>55</v>
      </c>
      <c r="AO95" s="25" t="s">
        <v>55</v>
      </c>
      <c r="AP95" s="25" t="s">
        <v>55</v>
      </c>
      <c r="AQ95" s="25" t="s">
        <v>55</v>
      </c>
      <c r="AR95" s="25" t="s">
        <v>55</v>
      </c>
      <c r="AS95" s="25" t="s">
        <v>55</v>
      </c>
      <c r="AT95" s="25" t="s">
        <v>55</v>
      </c>
      <c r="AU95" s="25" t="s">
        <v>55</v>
      </c>
      <c r="AV95" s="25" t="s">
        <v>55</v>
      </c>
      <c r="AW95" s="26">
        <v>45835</v>
      </c>
      <c r="AX95" s="26">
        <v>45912</v>
      </c>
      <c r="AY95" s="25" t="s">
        <v>877</v>
      </c>
      <c r="AZ95" s="20">
        <f t="shared" si="3"/>
        <v>-9</v>
      </c>
      <c r="BA95" s="17" t="e">
        <f t="shared" si="4"/>
        <v>#N/A</v>
      </c>
      <c r="BB95" s="21" t="s">
        <v>335</v>
      </c>
    </row>
    <row r="96" spans="1:54" ht="12" customHeight="1" x14ac:dyDescent="0.35">
      <c r="A96" s="25" t="s">
        <v>922</v>
      </c>
      <c r="B96" s="25" t="s">
        <v>347</v>
      </c>
      <c r="C96" s="25" t="s">
        <v>51</v>
      </c>
      <c r="D96" s="25" t="s">
        <v>465</v>
      </c>
      <c r="E96" s="25" t="s">
        <v>108</v>
      </c>
      <c r="F96" s="25" t="s">
        <v>923</v>
      </c>
      <c r="G96" s="25" t="s">
        <v>94</v>
      </c>
      <c r="H96" s="25" t="s">
        <v>162</v>
      </c>
      <c r="I96" s="25" t="s">
        <v>362</v>
      </c>
      <c r="J96" s="25" t="s">
        <v>924</v>
      </c>
      <c r="K96" s="25" t="s">
        <v>593</v>
      </c>
      <c r="L96" s="25" t="s">
        <v>503</v>
      </c>
      <c r="M96" s="25" t="s">
        <v>55</v>
      </c>
      <c r="N96" s="25" t="s">
        <v>55</v>
      </c>
      <c r="O96" s="25" t="s">
        <v>925</v>
      </c>
      <c r="P96" s="25" t="s">
        <v>926</v>
      </c>
      <c r="Q96" s="25" t="s">
        <v>927</v>
      </c>
      <c r="R96" s="25" t="s">
        <v>63</v>
      </c>
      <c r="S96" s="25" t="s">
        <v>928</v>
      </c>
      <c r="T96" s="25" t="s">
        <v>929</v>
      </c>
      <c r="U96" s="25" t="s">
        <v>132</v>
      </c>
      <c r="V96" s="26">
        <v>46022</v>
      </c>
      <c r="W96" s="25" t="s">
        <v>55</v>
      </c>
      <c r="X96" s="25" t="s">
        <v>930</v>
      </c>
      <c r="Y96" s="25" t="s">
        <v>65</v>
      </c>
      <c r="Z96" s="25" t="s">
        <v>55</v>
      </c>
      <c r="AA96" s="25" t="s">
        <v>221</v>
      </c>
      <c r="AB96" s="25" t="s">
        <v>55</v>
      </c>
      <c r="AC96" s="25" t="s">
        <v>55</v>
      </c>
      <c r="AD96" s="25" t="s">
        <v>67</v>
      </c>
      <c r="AE96" s="25" t="s">
        <v>257</v>
      </c>
      <c r="AF96" s="25" t="s">
        <v>55</v>
      </c>
      <c r="AG96" s="25" t="s">
        <v>55</v>
      </c>
      <c r="AH96" s="25" t="s">
        <v>55</v>
      </c>
      <c r="AI96" s="25" t="s">
        <v>55</v>
      </c>
      <c r="AJ96" s="25" t="s">
        <v>55</v>
      </c>
      <c r="AK96" s="25" t="s">
        <v>55</v>
      </c>
      <c r="AL96" s="25" t="s">
        <v>55</v>
      </c>
      <c r="AM96" s="25" t="s">
        <v>55</v>
      </c>
      <c r="AN96" s="25" t="s">
        <v>55</v>
      </c>
      <c r="AO96" s="25" t="s">
        <v>55</v>
      </c>
      <c r="AP96" s="25" t="s">
        <v>55</v>
      </c>
      <c r="AQ96" s="25" t="s">
        <v>55</v>
      </c>
      <c r="AR96" s="25" t="s">
        <v>55</v>
      </c>
      <c r="AS96" s="25" t="s">
        <v>55</v>
      </c>
      <c r="AT96" s="25" t="s">
        <v>55</v>
      </c>
      <c r="AU96" s="25" t="s">
        <v>55</v>
      </c>
      <c r="AV96" s="25" t="s">
        <v>55</v>
      </c>
      <c r="AW96" s="26">
        <v>45807</v>
      </c>
      <c r="AX96" s="26">
        <v>45922</v>
      </c>
      <c r="AY96" s="25" t="s">
        <v>877</v>
      </c>
      <c r="AZ96" s="20">
        <f t="shared" si="3"/>
        <v>-40</v>
      </c>
      <c r="BA96" s="17" t="e">
        <f t="shared" si="4"/>
        <v>#N/A</v>
      </c>
      <c r="BB96" s="21" t="s">
        <v>335</v>
      </c>
    </row>
    <row r="97" spans="1:54" ht="12" customHeight="1" x14ac:dyDescent="0.35">
      <c r="A97" s="25" t="s">
        <v>931</v>
      </c>
      <c r="B97" s="25" t="s">
        <v>347</v>
      </c>
      <c r="C97" s="25" t="s">
        <v>51</v>
      </c>
      <c r="D97" s="25" t="s">
        <v>465</v>
      </c>
      <c r="E97" s="25" t="s">
        <v>108</v>
      </c>
      <c r="F97" s="25" t="s">
        <v>923</v>
      </c>
      <c r="G97" s="25" t="s">
        <v>94</v>
      </c>
      <c r="H97" s="25" t="s">
        <v>162</v>
      </c>
      <c r="I97" s="25" t="s">
        <v>101</v>
      </c>
      <c r="J97" s="25" t="s">
        <v>932</v>
      </c>
      <c r="K97" s="25" t="s">
        <v>561</v>
      </c>
      <c r="L97" s="25" t="s">
        <v>503</v>
      </c>
      <c r="M97" s="25" t="s">
        <v>55</v>
      </c>
      <c r="N97" s="25" t="s">
        <v>55</v>
      </c>
      <c r="O97" s="25" t="s">
        <v>925</v>
      </c>
      <c r="P97" s="25" t="s">
        <v>933</v>
      </c>
      <c r="Q97" s="25" t="s">
        <v>934</v>
      </c>
      <c r="R97" s="25" t="s">
        <v>63</v>
      </c>
      <c r="S97" s="25" t="s">
        <v>935</v>
      </c>
      <c r="T97" s="25" t="s">
        <v>936</v>
      </c>
      <c r="U97" s="25" t="s">
        <v>132</v>
      </c>
      <c r="V97" s="26">
        <v>46387</v>
      </c>
      <c r="W97" s="25" t="s">
        <v>55</v>
      </c>
      <c r="X97" s="25" t="s">
        <v>937</v>
      </c>
      <c r="Y97" s="25" t="s">
        <v>65</v>
      </c>
      <c r="Z97" s="25" t="s">
        <v>55</v>
      </c>
      <c r="AA97" s="25" t="s">
        <v>155</v>
      </c>
      <c r="AB97" s="25" t="s">
        <v>55</v>
      </c>
      <c r="AC97" s="25" t="s">
        <v>55</v>
      </c>
      <c r="AD97" s="25" t="s">
        <v>67</v>
      </c>
      <c r="AE97" s="25" t="s">
        <v>257</v>
      </c>
      <c r="AF97" s="25" t="s">
        <v>55</v>
      </c>
      <c r="AG97" s="25" t="s">
        <v>55</v>
      </c>
      <c r="AH97" s="25" t="s">
        <v>55</v>
      </c>
      <c r="AI97" s="25" t="s">
        <v>55</v>
      </c>
      <c r="AJ97" s="25" t="s">
        <v>55</v>
      </c>
      <c r="AK97" s="25" t="s">
        <v>55</v>
      </c>
      <c r="AL97" s="25" t="s">
        <v>55</v>
      </c>
      <c r="AM97" s="25" t="s">
        <v>55</v>
      </c>
      <c r="AN97" s="25" t="s">
        <v>55</v>
      </c>
      <c r="AO97" s="25" t="s">
        <v>55</v>
      </c>
      <c r="AP97" s="25" t="s">
        <v>55</v>
      </c>
      <c r="AQ97" s="25" t="s">
        <v>55</v>
      </c>
      <c r="AR97" s="25" t="s">
        <v>55</v>
      </c>
      <c r="AS97" s="25" t="s">
        <v>55</v>
      </c>
      <c r="AT97" s="25" t="s">
        <v>55</v>
      </c>
      <c r="AU97" s="25" t="s">
        <v>55</v>
      </c>
      <c r="AV97" s="25" t="s">
        <v>55</v>
      </c>
      <c r="AW97" s="26">
        <v>45807</v>
      </c>
      <c r="AX97" s="26">
        <v>45922</v>
      </c>
      <c r="AY97" s="25" t="s">
        <v>877</v>
      </c>
      <c r="AZ97" s="20">
        <f t="shared" si="3"/>
        <v>-405</v>
      </c>
      <c r="BA97" s="17" t="e">
        <f t="shared" si="4"/>
        <v>#N/A</v>
      </c>
      <c r="BB97" s="21" t="s">
        <v>335</v>
      </c>
    </row>
    <row r="98" spans="1:54" ht="12" customHeight="1" x14ac:dyDescent="0.35">
      <c r="A98" s="25" t="s">
        <v>938</v>
      </c>
      <c r="B98" s="25" t="s">
        <v>347</v>
      </c>
      <c r="C98" s="25" t="s">
        <v>51</v>
      </c>
      <c r="D98" s="25" t="s">
        <v>465</v>
      </c>
      <c r="E98" s="25" t="s">
        <v>108</v>
      </c>
      <c r="F98" s="25" t="s">
        <v>923</v>
      </c>
      <c r="G98" s="25" t="s">
        <v>94</v>
      </c>
      <c r="H98" s="25" t="s">
        <v>162</v>
      </c>
      <c r="I98" s="25" t="s">
        <v>109</v>
      </c>
      <c r="J98" s="25" t="s">
        <v>939</v>
      </c>
      <c r="K98" s="25" t="s">
        <v>586</v>
      </c>
      <c r="L98" s="25" t="s">
        <v>103</v>
      </c>
      <c r="M98" s="25" t="s">
        <v>55</v>
      </c>
      <c r="N98" s="25" t="s">
        <v>55</v>
      </c>
      <c r="O98" s="25" t="s">
        <v>925</v>
      </c>
      <c r="P98" s="25" t="s">
        <v>940</v>
      </c>
      <c r="Q98" s="25" t="s">
        <v>941</v>
      </c>
      <c r="R98" s="25" t="s">
        <v>63</v>
      </c>
      <c r="S98" s="25" t="s">
        <v>942</v>
      </c>
      <c r="T98" s="25" t="s">
        <v>943</v>
      </c>
      <c r="U98" s="25" t="s">
        <v>132</v>
      </c>
      <c r="V98" s="26">
        <v>46203</v>
      </c>
      <c r="W98" s="25" t="s">
        <v>55</v>
      </c>
      <c r="X98" s="25" t="s">
        <v>944</v>
      </c>
      <c r="Y98" s="25" t="s">
        <v>65</v>
      </c>
      <c r="Z98" s="25" t="s">
        <v>55</v>
      </c>
      <c r="AA98" s="25" t="s">
        <v>155</v>
      </c>
      <c r="AB98" s="25" t="s">
        <v>55</v>
      </c>
      <c r="AC98" s="25" t="s">
        <v>55</v>
      </c>
      <c r="AD98" s="25" t="s">
        <v>67</v>
      </c>
      <c r="AE98" s="25" t="s">
        <v>257</v>
      </c>
      <c r="AF98" s="25" t="s">
        <v>55</v>
      </c>
      <c r="AG98" s="25" t="s">
        <v>55</v>
      </c>
      <c r="AH98" s="25" t="s">
        <v>55</v>
      </c>
      <c r="AI98" s="25" t="s">
        <v>55</v>
      </c>
      <c r="AJ98" s="25" t="s">
        <v>55</v>
      </c>
      <c r="AK98" s="25" t="s">
        <v>55</v>
      </c>
      <c r="AL98" s="25" t="s">
        <v>55</v>
      </c>
      <c r="AM98" s="25" t="s">
        <v>55</v>
      </c>
      <c r="AN98" s="25" t="s">
        <v>55</v>
      </c>
      <c r="AO98" s="25" t="s">
        <v>55</v>
      </c>
      <c r="AP98" s="25" t="s">
        <v>55</v>
      </c>
      <c r="AQ98" s="25" t="s">
        <v>55</v>
      </c>
      <c r="AR98" s="25" t="s">
        <v>55</v>
      </c>
      <c r="AS98" s="25" t="s">
        <v>55</v>
      </c>
      <c r="AT98" s="25" t="s">
        <v>55</v>
      </c>
      <c r="AU98" s="25" t="s">
        <v>55</v>
      </c>
      <c r="AV98" s="25" t="s">
        <v>55</v>
      </c>
      <c r="AW98" s="26">
        <v>45807</v>
      </c>
      <c r="AX98" s="26">
        <v>45922</v>
      </c>
      <c r="AY98" s="25" t="s">
        <v>877</v>
      </c>
      <c r="AZ98" s="20">
        <f t="shared" si="3"/>
        <v>-221</v>
      </c>
      <c r="BA98" s="17" t="e">
        <f t="shared" si="4"/>
        <v>#N/A</v>
      </c>
      <c r="BB98" s="21" t="s">
        <v>335</v>
      </c>
    </row>
    <row r="99" spans="1:54" ht="12" customHeight="1" x14ac:dyDescent="0.35">
      <c r="A99" s="25" t="s">
        <v>945</v>
      </c>
      <c r="B99" s="25" t="s">
        <v>347</v>
      </c>
      <c r="C99" s="25" t="s">
        <v>51</v>
      </c>
      <c r="D99" s="25" t="s">
        <v>465</v>
      </c>
      <c r="E99" s="25" t="s">
        <v>108</v>
      </c>
      <c r="F99" s="25" t="s">
        <v>923</v>
      </c>
      <c r="G99" s="25" t="s">
        <v>94</v>
      </c>
      <c r="H99" s="25" t="s">
        <v>162</v>
      </c>
      <c r="I99" s="25" t="s">
        <v>109</v>
      </c>
      <c r="J99" s="25" t="s">
        <v>946</v>
      </c>
      <c r="K99" s="25" t="s">
        <v>586</v>
      </c>
      <c r="L99" s="25" t="s">
        <v>103</v>
      </c>
      <c r="M99" s="25" t="s">
        <v>55</v>
      </c>
      <c r="N99" s="25" t="s">
        <v>55</v>
      </c>
      <c r="O99" s="25" t="s">
        <v>925</v>
      </c>
      <c r="P99" s="25" t="s">
        <v>947</v>
      </c>
      <c r="Q99" s="25" t="s">
        <v>948</v>
      </c>
      <c r="R99" s="25" t="s">
        <v>63</v>
      </c>
      <c r="S99" s="25" t="s">
        <v>949</v>
      </c>
      <c r="T99" s="25" t="s">
        <v>950</v>
      </c>
      <c r="U99" s="25" t="s">
        <v>132</v>
      </c>
      <c r="V99" s="26">
        <v>46203</v>
      </c>
      <c r="W99" s="25" t="s">
        <v>55</v>
      </c>
      <c r="X99" s="25" t="s">
        <v>951</v>
      </c>
      <c r="Y99" s="25" t="s">
        <v>65</v>
      </c>
      <c r="Z99" s="25" t="s">
        <v>55</v>
      </c>
      <c r="AA99" s="25" t="s">
        <v>155</v>
      </c>
      <c r="AB99" s="25" t="s">
        <v>55</v>
      </c>
      <c r="AC99" s="25" t="s">
        <v>55</v>
      </c>
      <c r="AD99" s="25" t="s">
        <v>67</v>
      </c>
      <c r="AE99" s="25" t="s">
        <v>257</v>
      </c>
      <c r="AF99" s="25" t="s">
        <v>55</v>
      </c>
      <c r="AG99" s="25" t="s">
        <v>55</v>
      </c>
      <c r="AH99" s="25" t="s">
        <v>55</v>
      </c>
      <c r="AI99" s="25" t="s">
        <v>55</v>
      </c>
      <c r="AJ99" s="25" t="s">
        <v>55</v>
      </c>
      <c r="AK99" s="25" t="s">
        <v>55</v>
      </c>
      <c r="AL99" s="25" t="s">
        <v>55</v>
      </c>
      <c r="AM99" s="25" t="s">
        <v>55</v>
      </c>
      <c r="AN99" s="25" t="s">
        <v>55</v>
      </c>
      <c r="AO99" s="25" t="s">
        <v>55</v>
      </c>
      <c r="AP99" s="25" t="s">
        <v>55</v>
      </c>
      <c r="AQ99" s="25" t="s">
        <v>55</v>
      </c>
      <c r="AR99" s="25" t="s">
        <v>55</v>
      </c>
      <c r="AS99" s="25" t="s">
        <v>55</v>
      </c>
      <c r="AT99" s="25" t="s">
        <v>55</v>
      </c>
      <c r="AU99" s="25" t="s">
        <v>55</v>
      </c>
      <c r="AV99" s="25" t="s">
        <v>55</v>
      </c>
      <c r="AW99" s="26">
        <v>45807</v>
      </c>
      <c r="AX99" s="26">
        <v>45922</v>
      </c>
      <c r="AY99" s="25" t="s">
        <v>877</v>
      </c>
      <c r="AZ99" s="20">
        <f t="shared" si="3"/>
        <v>-221</v>
      </c>
      <c r="BA99" s="17" t="e">
        <f t="shared" si="4"/>
        <v>#N/A</v>
      </c>
      <c r="BB99" s="21" t="s">
        <v>335</v>
      </c>
    </row>
    <row r="100" spans="1:54" ht="12" customHeight="1" x14ac:dyDescent="0.35">
      <c r="A100" s="25" t="s">
        <v>953</v>
      </c>
      <c r="B100" s="25" t="s">
        <v>347</v>
      </c>
      <c r="C100" s="25" t="s">
        <v>588</v>
      </c>
      <c r="D100" s="25" t="s">
        <v>182</v>
      </c>
      <c r="E100" s="25" t="s">
        <v>52</v>
      </c>
      <c r="F100" s="25" t="s">
        <v>954</v>
      </c>
      <c r="G100" s="25" t="s">
        <v>126</v>
      </c>
      <c r="H100" s="25" t="s">
        <v>138</v>
      </c>
      <c r="I100" s="25" t="s">
        <v>121</v>
      </c>
      <c r="J100" s="25" t="s">
        <v>153</v>
      </c>
      <c r="K100" s="25" t="s">
        <v>564</v>
      </c>
      <c r="L100" s="25" t="s">
        <v>57</v>
      </c>
      <c r="M100" s="25" t="s">
        <v>154</v>
      </c>
      <c r="N100" s="25" t="s">
        <v>55</v>
      </c>
      <c r="O100" s="25" t="s">
        <v>955</v>
      </c>
      <c r="P100" s="25" t="s">
        <v>956</v>
      </c>
      <c r="Q100" s="25" t="s">
        <v>957</v>
      </c>
      <c r="R100" s="25" t="s">
        <v>55</v>
      </c>
      <c r="S100" s="25" t="s">
        <v>958</v>
      </c>
      <c r="T100" s="25" t="s">
        <v>959</v>
      </c>
      <c r="U100" s="25" t="s">
        <v>63</v>
      </c>
      <c r="V100" s="26">
        <v>46022</v>
      </c>
      <c r="W100" s="25" t="s">
        <v>55</v>
      </c>
      <c r="X100" s="25" t="s">
        <v>960</v>
      </c>
      <c r="Y100" s="25" t="s">
        <v>65</v>
      </c>
      <c r="Z100" s="25" t="s">
        <v>55</v>
      </c>
      <c r="AA100" s="25" t="s">
        <v>221</v>
      </c>
      <c r="AB100" s="25" t="s">
        <v>55</v>
      </c>
      <c r="AC100" s="25" t="s">
        <v>55</v>
      </c>
      <c r="AD100" s="25" t="s">
        <v>67</v>
      </c>
      <c r="AE100" s="25" t="s">
        <v>97</v>
      </c>
      <c r="AF100" s="25" t="s">
        <v>156</v>
      </c>
      <c r="AG100" s="25" t="s">
        <v>55</v>
      </c>
      <c r="AH100" s="25" t="s">
        <v>55</v>
      </c>
      <c r="AI100" s="25" t="s">
        <v>55</v>
      </c>
      <c r="AJ100" s="25" t="s">
        <v>55</v>
      </c>
      <c r="AK100" s="25" t="s">
        <v>55</v>
      </c>
      <c r="AL100" s="25" t="s">
        <v>55</v>
      </c>
      <c r="AM100" s="25" t="s">
        <v>55</v>
      </c>
      <c r="AN100" s="25" t="s">
        <v>55</v>
      </c>
      <c r="AO100" s="25" t="s">
        <v>55</v>
      </c>
      <c r="AP100" s="25" t="s">
        <v>55</v>
      </c>
      <c r="AQ100" s="25" t="s">
        <v>55</v>
      </c>
      <c r="AR100" s="25" t="s">
        <v>55</v>
      </c>
      <c r="AS100" s="25" t="s">
        <v>55</v>
      </c>
      <c r="AT100" s="25" t="s">
        <v>55</v>
      </c>
      <c r="AU100" s="25" t="s">
        <v>55</v>
      </c>
      <c r="AV100" s="25" t="s">
        <v>55</v>
      </c>
      <c r="AW100" s="26">
        <v>45922</v>
      </c>
      <c r="AX100" s="26">
        <v>45922</v>
      </c>
      <c r="AY100" s="25" t="s">
        <v>877</v>
      </c>
      <c r="AZ100" s="20">
        <f t="shared" si="3"/>
        <v>-40</v>
      </c>
      <c r="BA100" s="17" t="e">
        <f t="shared" si="4"/>
        <v>#N/A</v>
      </c>
      <c r="BB100" s="21" t="s">
        <v>335</v>
      </c>
    </row>
    <row r="101" spans="1:54" ht="12" customHeight="1" x14ac:dyDescent="0.35">
      <c r="A101" s="25" t="s">
        <v>961</v>
      </c>
      <c r="B101" s="25" t="s">
        <v>347</v>
      </c>
      <c r="C101" s="25" t="s">
        <v>116</v>
      </c>
      <c r="D101" s="25" t="s">
        <v>465</v>
      </c>
      <c r="E101" s="25" t="s">
        <v>52</v>
      </c>
      <c r="F101" s="25" t="s">
        <v>962</v>
      </c>
      <c r="G101" s="25" t="s">
        <v>94</v>
      </c>
      <c r="H101" s="25" t="s">
        <v>95</v>
      </c>
      <c r="I101" s="25" t="s">
        <v>117</v>
      </c>
      <c r="J101" s="25" t="s">
        <v>842</v>
      </c>
      <c r="K101" s="25" t="s">
        <v>576</v>
      </c>
      <c r="L101" s="25" t="s">
        <v>55</v>
      </c>
      <c r="M101" s="25" t="s">
        <v>963</v>
      </c>
      <c r="N101" s="25" t="s">
        <v>55</v>
      </c>
      <c r="O101" s="25" t="s">
        <v>964</v>
      </c>
      <c r="P101" s="25" t="s">
        <v>965</v>
      </c>
      <c r="Q101" s="25" t="s">
        <v>965</v>
      </c>
      <c r="R101" s="25" t="s">
        <v>55</v>
      </c>
      <c r="S101" s="25" t="s">
        <v>55</v>
      </c>
      <c r="T101" s="25" t="s">
        <v>966</v>
      </c>
      <c r="U101" s="25" t="s">
        <v>63</v>
      </c>
      <c r="V101" s="26">
        <v>45961</v>
      </c>
      <c r="W101" s="25" t="s">
        <v>55</v>
      </c>
      <c r="X101" s="25" t="s">
        <v>967</v>
      </c>
      <c r="Y101" s="25" t="s">
        <v>65</v>
      </c>
      <c r="Z101" s="25" t="s">
        <v>55</v>
      </c>
      <c r="AA101" s="25" t="s">
        <v>66</v>
      </c>
      <c r="AB101" s="25" t="s">
        <v>55</v>
      </c>
      <c r="AC101" s="25" t="s">
        <v>55</v>
      </c>
      <c r="AD101" s="25" t="s">
        <v>118</v>
      </c>
      <c r="AE101" s="25" t="s">
        <v>97</v>
      </c>
      <c r="AF101" s="25" t="s">
        <v>55</v>
      </c>
      <c r="AG101" s="25" t="s">
        <v>55</v>
      </c>
      <c r="AH101" s="25" t="s">
        <v>55</v>
      </c>
      <c r="AI101" s="25" t="s">
        <v>55</v>
      </c>
      <c r="AJ101" s="25" t="s">
        <v>55</v>
      </c>
      <c r="AK101" s="25" t="s">
        <v>55</v>
      </c>
      <c r="AL101" s="25" t="s">
        <v>55</v>
      </c>
      <c r="AM101" s="25" t="s">
        <v>55</v>
      </c>
      <c r="AN101" s="25" t="s">
        <v>55</v>
      </c>
      <c r="AO101" s="25" t="s">
        <v>55</v>
      </c>
      <c r="AP101" s="25" t="s">
        <v>55</v>
      </c>
      <c r="AQ101" s="25" t="s">
        <v>55</v>
      </c>
      <c r="AR101" s="25" t="s">
        <v>55</v>
      </c>
      <c r="AS101" s="25" t="s">
        <v>55</v>
      </c>
      <c r="AT101" s="25" t="s">
        <v>55</v>
      </c>
      <c r="AU101" s="25" t="s">
        <v>55</v>
      </c>
      <c r="AV101" s="25" t="s">
        <v>55</v>
      </c>
      <c r="AW101" s="25" t="s">
        <v>55</v>
      </c>
      <c r="AX101" s="25" t="s">
        <v>55</v>
      </c>
      <c r="AY101" s="25" t="s">
        <v>877</v>
      </c>
      <c r="AZ101" s="20">
        <f t="shared" si="3"/>
        <v>21</v>
      </c>
      <c r="BA101" s="17" t="str">
        <f t="shared" si="4"/>
        <v>&lt; 3 months</v>
      </c>
      <c r="BB101" s="21" t="s">
        <v>66</v>
      </c>
    </row>
    <row r="102" spans="1:54" ht="12" customHeight="1" x14ac:dyDescent="0.35">
      <c r="A102" s="25" t="s">
        <v>968</v>
      </c>
      <c r="B102" s="25" t="s">
        <v>347</v>
      </c>
      <c r="C102" s="25" t="s">
        <v>116</v>
      </c>
      <c r="D102" s="25" t="s">
        <v>465</v>
      </c>
      <c r="E102" s="25" t="s">
        <v>52</v>
      </c>
      <c r="F102" s="25" t="s">
        <v>962</v>
      </c>
      <c r="G102" s="25" t="s">
        <v>94</v>
      </c>
      <c r="H102" s="25" t="s">
        <v>95</v>
      </c>
      <c r="I102" s="25" t="s">
        <v>121</v>
      </c>
      <c r="J102" s="25" t="s">
        <v>223</v>
      </c>
      <c r="K102" s="25" t="s">
        <v>565</v>
      </c>
      <c r="L102" s="25" t="s">
        <v>55</v>
      </c>
      <c r="M102" s="25" t="s">
        <v>969</v>
      </c>
      <c r="N102" s="25" t="s">
        <v>55</v>
      </c>
      <c r="O102" s="25" t="s">
        <v>964</v>
      </c>
      <c r="P102" s="25" t="s">
        <v>970</v>
      </c>
      <c r="Q102" s="25" t="s">
        <v>970</v>
      </c>
      <c r="R102" s="25" t="s">
        <v>55</v>
      </c>
      <c r="S102" s="25" t="s">
        <v>55</v>
      </c>
      <c r="T102" s="25" t="s">
        <v>971</v>
      </c>
      <c r="U102" s="25" t="s">
        <v>63</v>
      </c>
      <c r="V102" s="26">
        <v>45961</v>
      </c>
      <c r="W102" s="25" t="s">
        <v>55</v>
      </c>
      <c r="X102" s="25" t="s">
        <v>972</v>
      </c>
      <c r="Y102" s="25" t="s">
        <v>65</v>
      </c>
      <c r="Z102" s="25" t="s">
        <v>55</v>
      </c>
      <c r="AA102" s="25" t="s">
        <v>66</v>
      </c>
      <c r="AB102" s="25" t="s">
        <v>55</v>
      </c>
      <c r="AC102" s="25" t="s">
        <v>55</v>
      </c>
      <c r="AD102" s="25" t="s">
        <v>118</v>
      </c>
      <c r="AE102" s="25" t="s">
        <v>97</v>
      </c>
      <c r="AF102" s="25" t="s">
        <v>55</v>
      </c>
      <c r="AG102" s="25" t="s">
        <v>55</v>
      </c>
      <c r="AH102" s="25" t="s">
        <v>55</v>
      </c>
      <c r="AI102" s="25" t="s">
        <v>55</v>
      </c>
      <c r="AJ102" s="25" t="s">
        <v>55</v>
      </c>
      <c r="AK102" s="25" t="s">
        <v>55</v>
      </c>
      <c r="AL102" s="25" t="s">
        <v>55</v>
      </c>
      <c r="AM102" s="25" t="s">
        <v>55</v>
      </c>
      <c r="AN102" s="25" t="s">
        <v>55</v>
      </c>
      <c r="AO102" s="25" t="s">
        <v>55</v>
      </c>
      <c r="AP102" s="25" t="s">
        <v>55</v>
      </c>
      <c r="AQ102" s="25" t="s">
        <v>55</v>
      </c>
      <c r="AR102" s="25" t="s">
        <v>55</v>
      </c>
      <c r="AS102" s="25" t="s">
        <v>55</v>
      </c>
      <c r="AT102" s="25" t="s">
        <v>55</v>
      </c>
      <c r="AU102" s="25" t="s">
        <v>55</v>
      </c>
      <c r="AV102" s="25" t="s">
        <v>55</v>
      </c>
      <c r="AW102" s="25" t="s">
        <v>55</v>
      </c>
      <c r="AX102" s="25" t="s">
        <v>55</v>
      </c>
      <c r="AY102" s="25" t="s">
        <v>877</v>
      </c>
      <c r="AZ102" s="20">
        <f t="shared" si="3"/>
        <v>21</v>
      </c>
      <c r="BA102" s="17" t="str">
        <f t="shared" si="4"/>
        <v>&lt; 3 months</v>
      </c>
      <c r="BB102" s="21" t="s">
        <v>66</v>
      </c>
    </row>
    <row r="103" spans="1:54" ht="12" customHeight="1" x14ac:dyDescent="0.35">
      <c r="A103" s="25" t="s">
        <v>973</v>
      </c>
      <c r="B103" s="25" t="s">
        <v>347</v>
      </c>
      <c r="C103" s="25" t="s">
        <v>116</v>
      </c>
      <c r="D103" s="25" t="s">
        <v>465</v>
      </c>
      <c r="E103" s="25" t="s">
        <v>52</v>
      </c>
      <c r="F103" s="25" t="s">
        <v>962</v>
      </c>
      <c r="G103" s="25" t="s">
        <v>94</v>
      </c>
      <c r="H103" s="25" t="s">
        <v>95</v>
      </c>
      <c r="I103" s="25" t="s">
        <v>361</v>
      </c>
      <c r="J103" s="25" t="s">
        <v>974</v>
      </c>
      <c r="K103" s="25" t="s">
        <v>584</v>
      </c>
      <c r="L103" s="25" t="s">
        <v>55</v>
      </c>
      <c r="M103" s="25" t="s">
        <v>975</v>
      </c>
      <c r="N103" s="25" t="s">
        <v>55</v>
      </c>
      <c r="O103" s="25" t="s">
        <v>964</v>
      </c>
      <c r="P103" s="25" t="s">
        <v>976</v>
      </c>
      <c r="Q103" s="25" t="s">
        <v>976</v>
      </c>
      <c r="R103" s="25" t="s">
        <v>55</v>
      </c>
      <c r="S103" s="25" t="s">
        <v>55</v>
      </c>
      <c r="T103" s="25" t="s">
        <v>977</v>
      </c>
      <c r="U103" s="25" t="s">
        <v>63</v>
      </c>
      <c r="V103" s="26">
        <v>45961</v>
      </c>
      <c r="W103" s="25" t="s">
        <v>55</v>
      </c>
      <c r="X103" s="25" t="s">
        <v>978</v>
      </c>
      <c r="Y103" s="25" t="s">
        <v>65</v>
      </c>
      <c r="Z103" s="25" t="s">
        <v>55</v>
      </c>
      <c r="AA103" s="25" t="s">
        <v>66</v>
      </c>
      <c r="AB103" s="25" t="s">
        <v>55</v>
      </c>
      <c r="AC103" s="25" t="s">
        <v>55</v>
      </c>
      <c r="AD103" s="25" t="s">
        <v>118</v>
      </c>
      <c r="AE103" s="25" t="s">
        <v>97</v>
      </c>
      <c r="AF103" s="25" t="s">
        <v>55</v>
      </c>
      <c r="AG103" s="25" t="s">
        <v>55</v>
      </c>
      <c r="AH103" s="25" t="s">
        <v>55</v>
      </c>
      <c r="AI103" s="25" t="s">
        <v>55</v>
      </c>
      <c r="AJ103" s="25" t="s">
        <v>55</v>
      </c>
      <c r="AK103" s="25" t="s">
        <v>55</v>
      </c>
      <c r="AL103" s="25" t="s">
        <v>55</v>
      </c>
      <c r="AM103" s="25" t="s">
        <v>55</v>
      </c>
      <c r="AN103" s="25" t="s">
        <v>55</v>
      </c>
      <c r="AO103" s="25" t="s">
        <v>55</v>
      </c>
      <c r="AP103" s="25" t="s">
        <v>55</v>
      </c>
      <c r="AQ103" s="25" t="s">
        <v>55</v>
      </c>
      <c r="AR103" s="25" t="s">
        <v>55</v>
      </c>
      <c r="AS103" s="25" t="s">
        <v>55</v>
      </c>
      <c r="AT103" s="25" t="s">
        <v>55</v>
      </c>
      <c r="AU103" s="25" t="s">
        <v>55</v>
      </c>
      <c r="AV103" s="25" t="s">
        <v>55</v>
      </c>
      <c r="AW103" s="25" t="s">
        <v>55</v>
      </c>
      <c r="AX103" s="25" t="s">
        <v>55</v>
      </c>
      <c r="AY103" s="25" t="s">
        <v>877</v>
      </c>
      <c r="AZ103" s="20">
        <f t="shared" si="3"/>
        <v>21</v>
      </c>
      <c r="BA103" s="17" t="str">
        <f t="shared" si="4"/>
        <v>&lt; 3 months</v>
      </c>
      <c r="BB103" s="21" t="s">
        <v>66</v>
      </c>
    </row>
    <row r="104" spans="1:54" ht="12" customHeight="1" x14ac:dyDescent="0.35">
      <c r="A104" s="25" t="s">
        <v>979</v>
      </c>
      <c r="B104" s="25" t="s">
        <v>347</v>
      </c>
      <c r="C104" s="25" t="s">
        <v>116</v>
      </c>
      <c r="D104" s="25" t="s">
        <v>465</v>
      </c>
      <c r="E104" s="25" t="s">
        <v>52</v>
      </c>
      <c r="F104" s="25" t="s">
        <v>962</v>
      </c>
      <c r="G104" s="25" t="s">
        <v>94</v>
      </c>
      <c r="H104" s="25" t="s">
        <v>95</v>
      </c>
      <c r="I104" s="25" t="s">
        <v>361</v>
      </c>
      <c r="J104" s="25" t="s">
        <v>980</v>
      </c>
      <c r="K104" s="25" t="s">
        <v>584</v>
      </c>
      <c r="L104" s="25" t="s">
        <v>55</v>
      </c>
      <c r="M104" s="25" t="s">
        <v>981</v>
      </c>
      <c r="N104" s="25" t="s">
        <v>55</v>
      </c>
      <c r="O104" s="25" t="s">
        <v>964</v>
      </c>
      <c r="P104" s="25" t="s">
        <v>982</v>
      </c>
      <c r="Q104" s="25" t="s">
        <v>982</v>
      </c>
      <c r="R104" s="25" t="s">
        <v>55</v>
      </c>
      <c r="S104" s="25" t="s">
        <v>55</v>
      </c>
      <c r="T104" s="25" t="s">
        <v>983</v>
      </c>
      <c r="U104" s="25" t="s">
        <v>63</v>
      </c>
      <c r="V104" s="26">
        <v>45961</v>
      </c>
      <c r="W104" s="25" t="s">
        <v>55</v>
      </c>
      <c r="X104" s="25" t="s">
        <v>984</v>
      </c>
      <c r="Y104" s="25" t="s">
        <v>65</v>
      </c>
      <c r="Z104" s="25" t="s">
        <v>55</v>
      </c>
      <c r="AA104" s="25" t="s">
        <v>66</v>
      </c>
      <c r="AB104" s="25" t="s">
        <v>55</v>
      </c>
      <c r="AC104" s="25" t="s">
        <v>55</v>
      </c>
      <c r="AD104" s="25" t="s">
        <v>118</v>
      </c>
      <c r="AE104" s="25" t="s">
        <v>97</v>
      </c>
      <c r="AF104" s="25" t="s">
        <v>55</v>
      </c>
      <c r="AG104" s="25" t="s">
        <v>55</v>
      </c>
      <c r="AH104" s="25" t="s">
        <v>55</v>
      </c>
      <c r="AI104" s="25" t="s">
        <v>55</v>
      </c>
      <c r="AJ104" s="25" t="s">
        <v>55</v>
      </c>
      <c r="AK104" s="25" t="s">
        <v>55</v>
      </c>
      <c r="AL104" s="25" t="s">
        <v>55</v>
      </c>
      <c r="AM104" s="25" t="s">
        <v>55</v>
      </c>
      <c r="AN104" s="25" t="s">
        <v>55</v>
      </c>
      <c r="AO104" s="25" t="s">
        <v>55</v>
      </c>
      <c r="AP104" s="25" t="s">
        <v>55</v>
      </c>
      <c r="AQ104" s="25" t="s">
        <v>55</v>
      </c>
      <c r="AR104" s="25" t="s">
        <v>55</v>
      </c>
      <c r="AS104" s="25" t="s">
        <v>55</v>
      </c>
      <c r="AT104" s="25" t="s">
        <v>55</v>
      </c>
      <c r="AU104" s="25" t="s">
        <v>55</v>
      </c>
      <c r="AV104" s="25" t="s">
        <v>55</v>
      </c>
      <c r="AW104" s="25" t="s">
        <v>55</v>
      </c>
      <c r="AX104" s="25" t="s">
        <v>55</v>
      </c>
      <c r="AY104" s="25" t="s">
        <v>877</v>
      </c>
      <c r="AZ104" s="20">
        <f t="shared" si="3"/>
        <v>21</v>
      </c>
      <c r="BA104" s="17" t="str">
        <f t="shared" si="4"/>
        <v>&lt; 3 months</v>
      </c>
      <c r="BB104" s="21" t="s">
        <v>66</v>
      </c>
    </row>
    <row r="105" spans="1:54" ht="12" customHeight="1" x14ac:dyDescent="0.35">
      <c r="A105" s="25" t="s">
        <v>985</v>
      </c>
      <c r="B105" s="25" t="s">
        <v>347</v>
      </c>
      <c r="C105" s="25" t="s">
        <v>116</v>
      </c>
      <c r="D105" s="25" t="s">
        <v>465</v>
      </c>
      <c r="E105" s="25" t="s">
        <v>52</v>
      </c>
      <c r="F105" s="25" t="s">
        <v>986</v>
      </c>
      <c r="G105" s="25" t="s">
        <v>94</v>
      </c>
      <c r="H105" s="25" t="s">
        <v>95</v>
      </c>
      <c r="I105" s="25" t="s">
        <v>526</v>
      </c>
      <c r="J105" s="25" t="s">
        <v>822</v>
      </c>
      <c r="K105" s="25" t="s">
        <v>572</v>
      </c>
      <c r="L105" s="25" t="s">
        <v>55</v>
      </c>
      <c r="M105" s="25" t="s">
        <v>252</v>
      </c>
      <c r="N105" s="25" t="s">
        <v>55</v>
      </c>
      <c r="O105" s="25" t="s">
        <v>987</v>
      </c>
      <c r="P105" s="25" t="s">
        <v>988</v>
      </c>
      <c r="Q105" s="25" t="s">
        <v>989</v>
      </c>
      <c r="R105" s="25" t="s">
        <v>55</v>
      </c>
      <c r="S105" s="25" t="s">
        <v>55</v>
      </c>
      <c r="T105" s="25" t="s">
        <v>990</v>
      </c>
      <c r="U105" s="25" t="s">
        <v>63</v>
      </c>
      <c r="V105" s="26">
        <v>45960</v>
      </c>
      <c r="W105" s="25" t="s">
        <v>55</v>
      </c>
      <c r="X105" s="25" t="s">
        <v>991</v>
      </c>
      <c r="Y105" s="25" t="s">
        <v>65</v>
      </c>
      <c r="Z105" s="25" t="s">
        <v>55</v>
      </c>
      <c r="AA105" s="25" t="s">
        <v>66</v>
      </c>
      <c r="AB105" s="25" t="s">
        <v>55</v>
      </c>
      <c r="AC105" s="25" t="s">
        <v>55</v>
      </c>
      <c r="AD105" s="25" t="s">
        <v>118</v>
      </c>
      <c r="AE105" s="25" t="s">
        <v>97</v>
      </c>
      <c r="AF105" s="25" t="s">
        <v>98</v>
      </c>
      <c r="AG105" s="25" t="s">
        <v>55</v>
      </c>
      <c r="AH105" s="25" t="s">
        <v>55</v>
      </c>
      <c r="AI105" s="25" t="s">
        <v>55</v>
      </c>
      <c r="AJ105" s="25" t="s">
        <v>55</v>
      </c>
      <c r="AK105" s="25" t="s">
        <v>55</v>
      </c>
      <c r="AL105" s="25" t="s">
        <v>55</v>
      </c>
      <c r="AM105" s="25" t="s">
        <v>55</v>
      </c>
      <c r="AN105" s="25" t="s">
        <v>55</v>
      </c>
      <c r="AO105" s="25" t="s">
        <v>55</v>
      </c>
      <c r="AP105" s="25" t="s">
        <v>55</v>
      </c>
      <c r="AQ105" s="25" t="s">
        <v>55</v>
      </c>
      <c r="AR105" s="25" t="s">
        <v>55</v>
      </c>
      <c r="AS105" s="25" t="s">
        <v>55</v>
      </c>
      <c r="AT105" s="25" t="s">
        <v>55</v>
      </c>
      <c r="AU105" s="25" t="s">
        <v>55</v>
      </c>
      <c r="AV105" s="25" t="s">
        <v>55</v>
      </c>
      <c r="AW105" s="25" t="s">
        <v>55</v>
      </c>
      <c r="AX105" s="25" t="s">
        <v>55</v>
      </c>
      <c r="AY105" s="25" t="s">
        <v>877</v>
      </c>
      <c r="AZ105" s="20">
        <f t="shared" si="3"/>
        <v>22</v>
      </c>
      <c r="BA105" s="17" t="str">
        <f t="shared" si="4"/>
        <v>&lt; 3 months</v>
      </c>
      <c r="BB105" s="21" t="s">
        <v>66</v>
      </c>
    </row>
    <row r="106" spans="1:54" ht="12" customHeight="1" x14ac:dyDescent="0.35">
      <c r="A106" s="25" t="s">
        <v>992</v>
      </c>
      <c r="B106" s="25" t="s">
        <v>347</v>
      </c>
      <c r="C106" s="25" t="s">
        <v>116</v>
      </c>
      <c r="D106" s="25" t="s">
        <v>465</v>
      </c>
      <c r="E106" s="25" t="s">
        <v>52</v>
      </c>
      <c r="F106" s="25" t="s">
        <v>986</v>
      </c>
      <c r="G106" s="25" t="s">
        <v>94</v>
      </c>
      <c r="H106" s="25" t="s">
        <v>95</v>
      </c>
      <c r="I106" s="25" t="s">
        <v>526</v>
      </c>
      <c r="J106" s="25" t="s">
        <v>993</v>
      </c>
      <c r="K106" s="25" t="s">
        <v>572</v>
      </c>
      <c r="L106" s="25" t="s">
        <v>55</v>
      </c>
      <c r="M106" s="25" t="s">
        <v>777</v>
      </c>
      <c r="N106" s="25" t="s">
        <v>55</v>
      </c>
      <c r="O106" s="25" t="s">
        <v>987</v>
      </c>
      <c r="P106" s="25" t="s">
        <v>988</v>
      </c>
      <c r="Q106" s="25" t="s">
        <v>994</v>
      </c>
      <c r="R106" s="25" t="s">
        <v>55</v>
      </c>
      <c r="S106" s="25" t="s">
        <v>55</v>
      </c>
      <c r="T106" s="25" t="s">
        <v>995</v>
      </c>
      <c r="U106" s="25" t="s">
        <v>63</v>
      </c>
      <c r="V106" s="26">
        <v>45960</v>
      </c>
      <c r="W106" s="25" t="s">
        <v>55</v>
      </c>
      <c r="X106" s="25" t="s">
        <v>991</v>
      </c>
      <c r="Y106" s="25" t="s">
        <v>65</v>
      </c>
      <c r="Z106" s="25" t="s">
        <v>55</v>
      </c>
      <c r="AA106" s="25" t="s">
        <v>66</v>
      </c>
      <c r="AB106" s="25" t="s">
        <v>55</v>
      </c>
      <c r="AC106" s="25" t="s">
        <v>55</v>
      </c>
      <c r="AD106" s="25" t="s">
        <v>118</v>
      </c>
      <c r="AE106" s="25" t="s">
        <v>97</v>
      </c>
      <c r="AF106" s="25" t="s">
        <v>779</v>
      </c>
      <c r="AG106" s="25" t="s">
        <v>55</v>
      </c>
      <c r="AH106" s="25" t="s">
        <v>55</v>
      </c>
      <c r="AI106" s="25" t="s">
        <v>55</v>
      </c>
      <c r="AJ106" s="25" t="s">
        <v>55</v>
      </c>
      <c r="AK106" s="25" t="s">
        <v>55</v>
      </c>
      <c r="AL106" s="25" t="s">
        <v>55</v>
      </c>
      <c r="AM106" s="25" t="s">
        <v>55</v>
      </c>
      <c r="AN106" s="25" t="s">
        <v>55</v>
      </c>
      <c r="AO106" s="25" t="s">
        <v>55</v>
      </c>
      <c r="AP106" s="25" t="s">
        <v>55</v>
      </c>
      <c r="AQ106" s="25" t="s">
        <v>55</v>
      </c>
      <c r="AR106" s="25" t="s">
        <v>55</v>
      </c>
      <c r="AS106" s="25" t="s">
        <v>55</v>
      </c>
      <c r="AT106" s="25" t="s">
        <v>55</v>
      </c>
      <c r="AU106" s="25" t="s">
        <v>55</v>
      </c>
      <c r="AV106" s="25" t="s">
        <v>55</v>
      </c>
      <c r="AW106" s="25" t="s">
        <v>55</v>
      </c>
      <c r="AX106" s="25" t="s">
        <v>55</v>
      </c>
      <c r="AY106" s="25" t="s">
        <v>877</v>
      </c>
      <c r="AZ106" s="20">
        <f t="shared" si="3"/>
        <v>22</v>
      </c>
      <c r="BA106" s="17" t="str">
        <f t="shared" si="4"/>
        <v>&lt; 3 months</v>
      </c>
      <c r="BB106" s="21" t="s">
        <v>66</v>
      </c>
    </row>
    <row r="107" spans="1:54" ht="12" customHeight="1" x14ac:dyDescent="0.35">
      <c r="A107" s="25" t="s">
        <v>996</v>
      </c>
      <c r="B107" s="25" t="s">
        <v>347</v>
      </c>
      <c r="C107" s="25" t="s">
        <v>116</v>
      </c>
      <c r="D107" s="25" t="s">
        <v>465</v>
      </c>
      <c r="E107" s="25" t="s">
        <v>52</v>
      </c>
      <c r="F107" s="25" t="s">
        <v>997</v>
      </c>
      <c r="G107" s="25" t="s">
        <v>606</v>
      </c>
      <c r="H107" s="25" t="s">
        <v>607</v>
      </c>
      <c r="I107" s="25" t="s">
        <v>121</v>
      </c>
      <c r="J107" s="25" t="s">
        <v>843</v>
      </c>
      <c r="K107" s="25" t="s">
        <v>565</v>
      </c>
      <c r="L107" s="25" t="s">
        <v>55</v>
      </c>
      <c r="M107" s="25" t="s">
        <v>998</v>
      </c>
      <c r="N107" s="25" t="s">
        <v>55</v>
      </c>
      <c r="O107" s="25" t="s">
        <v>999</v>
      </c>
      <c r="P107" s="25" t="s">
        <v>1000</v>
      </c>
      <c r="Q107" s="25" t="s">
        <v>1001</v>
      </c>
      <c r="R107" s="25" t="s">
        <v>55</v>
      </c>
      <c r="S107" s="25" t="s">
        <v>55</v>
      </c>
      <c r="T107" s="25" t="s">
        <v>1002</v>
      </c>
      <c r="U107" s="25" t="s">
        <v>63</v>
      </c>
      <c r="V107" s="26">
        <v>45961</v>
      </c>
      <c r="W107" s="25" t="s">
        <v>55</v>
      </c>
      <c r="X107" s="25" t="s">
        <v>1003</v>
      </c>
      <c r="Y107" s="25" t="s">
        <v>65</v>
      </c>
      <c r="Z107" s="25" t="s">
        <v>55</v>
      </c>
      <c r="AA107" s="25" t="s">
        <v>66</v>
      </c>
      <c r="AB107" s="25" t="s">
        <v>55</v>
      </c>
      <c r="AC107" s="25" t="s">
        <v>55</v>
      </c>
      <c r="AD107" s="25" t="s">
        <v>118</v>
      </c>
      <c r="AE107" s="25" t="s">
        <v>97</v>
      </c>
      <c r="AF107" s="25" t="s">
        <v>1004</v>
      </c>
      <c r="AG107" s="25" t="s">
        <v>55</v>
      </c>
      <c r="AH107" s="25" t="s">
        <v>55</v>
      </c>
      <c r="AI107" s="25" t="s">
        <v>55</v>
      </c>
      <c r="AJ107" s="25" t="s">
        <v>55</v>
      </c>
      <c r="AK107" s="25" t="s">
        <v>55</v>
      </c>
      <c r="AL107" s="25" t="s">
        <v>55</v>
      </c>
      <c r="AM107" s="25" t="s">
        <v>55</v>
      </c>
      <c r="AN107" s="25" t="s">
        <v>55</v>
      </c>
      <c r="AO107" s="25" t="s">
        <v>55</v>
      </c>
      <c r="AP107" s="25" t="s">
        <v>55</v>
      </c>
      <c r="AQ107" s="25" t="s">
        <v>55</v>
      </c>
      <c r="AR107" s="25" t="s">
        <v>55</v>
      </c>
      <c r="AS107" s="25" t="s">
        <v>55</v>
      </c>
      <c r="AT107" s="25" t="s">
        <v>55</v>
      </c>
      <c r="AU107" s="25" t="s">
        <v>55</v>
      </c>
      <c r="AV107" s="25" t="s">
        <v>55</v>
      </c>
      <c r="AW107" s="25" t="s">
        <v>55</v>
      </c>
      <c r="AX107" s="25" t="s">
        <v>55</v>
      </c>
      <c r="AY107" s="25" t="s">
        <v>877</v>
      </c>
      <c r="AZ107" s="20">
        <f t="shared" si="3"/>
        <v>21</v>
      </c>
      <c r="BA107" s="17" t="str">
        <f t="shared" si="4"/>
        <v>&lt; 3 months</v>
      </c>
      <c r="BB107" s="21" t="s">
        <v>66</v>
      </c>
    </row>
    <row r="108" spans="1:54" ht="12" customHeight="1" x14ac:dyDescent="0.35">
      <c r="A108" s="25" t="s">
        <v>1005</v>
      </c>
      <c r="B108" s="25" t="s">
        <v>347</v>
      </c>
      <c r="C108" s="25" t="s">
        <v>116</v>
      </c>
      <c r="D108" s="25" t="s">
        <v>465</v>
      </c>
      <c r="E108" s="25" t="s">
        <v>52</v>
      </c>
      <c r="F108" s="25" t="s">
        <v>997</v>
      </c>
      <c r="G108" s="25" t="s">
        <v>606</v>
      </c>
      <c r="H108" s="25" t="s">
        <v>607</v>
      </c>
      <c r="I108" s="25" t="s">
        <v>117</v>
      </c>
      <c r="J108" s="25" t="s">
        <v>819</v>
      </c>
      <c r="K108" s="25" t="s">
        <v>868</v>
      </c>
      <c r="L108" s="25" t="s">
        <v>55</v>
      </c>
      <c r="M108" s="25" t="s">
        <v>1006</v>
      </c>
      <c r="N108" s="25" t="s">
        <v>55</v>
      </c>
      <c r="O108" s="25" t="s">
        <v>999</v>
      </c>
      <c r="P108" s="25" t="s">
        <v>1007</v>
      </c>
      <c r="Q108" s="25" t="s">
        <v>1008</v>
      </c>
      <c r="R108" s="25" t="s">
        <v>55</v>
      </c>
      <c r="S108" s="25" t="s">
        <v>55</v>
      </c>
      <c r="T108" s="25" t="s">
        <v>1009</v>
      </c>
      <c r="U108" s="25" t="s">
        <v>63</v>
      </c>
      <c r="V108" s="26">
        <v>45961</v>
      </c>
      <c r="W108" s="25" t="s">
        <v>55</v>
      </c>
      <c r="X108" s="25" t="s">
        <v>1010</v>
      </c>
      <c r="Y108" s="25" t="s">
        <v>65</v>
      </c>
      <c r="Z108" s="25" t="s">
        <v>55</v>
      </c>
      <c r="AA108" s="25" t="s">
        <v>66</v>
      </c>
      <c r="AB108" s="25" t="s">
        <v>55</v>
      </c>
      <c r="AC108" s="25" t="s">
        <v>55</v>
      </c>
      <c r="AD108" s="25" t="s">
        <v>118</v>
      </c>
      <c r="AE108" s="25" t="s">
        <v>97</v>
      </c>
      <c r="AF108" s="25" t="s">
        <v>583</v>
      </c>
      <c r="AG108" s="25" t="s">
        <v>55</v>
      </c>
      <c r="AH108" s="25" t="s">
        <v>55</v>
      </c>
      <c r="AI108" s="25" t="s">
        <v>55</v>
      </c>
      <c r="AJ108" s="25" t="s">
        <v>55</v>
      </c>
      <c r="AK108" s="25" t="s">
        <v>55</v>
      </c>
      <c r="AL108" s="25" t="s">
        <v>55</v>
      </c>
      <c r="AM108" s="25" t="s">
        <v>55</v>
      </c>
      <c r="AN108" s="25" t="s">
        <v>55</v>
      </c>
      <c r="AO108" s="25" t="s">
        <v>55</v>
      </c>
      <c r="AP108" s="25" t="s">
        <v>55</v>
      </c>
      <c r="AQ108" s="25" t="s">
        <v>55</v>
      </c>
      <c r="AR108" s="25" t="s">
        <v>55</v>
      </c>
      <c r="AS108" s="25" t="s">
        <v>55</v>
      </c>
      <c r="AT108" s="25" t="s">
        <v>55</v>
      </c>
      <c r="AU108" s="25" t="s">
        <v>55</v>
      </c>
      <c r="AV108" s="25" t="s">
        <v>55</v>
      </c>
      <c r="AW108" s="25" t="s">
        <v>55</v>
      </c>
      <c r="AX108" s="25" t="s">
        <v>55</v>
      </c>
      <c r="AY108" s="25" t="s">
        <v>877</v>
      </c>
      <c r="AZ108" s="20">
        <f t="shared" si="3"/>
        <v>21</v>
      </c>
      <c r="BA108" s="17" t="str">
        <f t="shared" si="4"/>
        <v>&lt; 3 months</v>
      </c>
      <c r="BB108" s="21" t="s">
        <v>66</v>
      </c>
    </row>
    <row r="109" spans="1:54" ht="12" customHeight="1" x14ac:dyDescent="0.35">
      <c r="A109" s="25" t="s">
        <v>1011</v>
      </c>
      <c r="B109" s="25" t="s">
        <v>347</v>
      </c>
      <c r="C109" s="25" t="s">
        <v>116</v>
      </c>
      <c r="D109" s="25" t="s">
        <v>465</v>
      </c>
      <c r="E109" s="25" t="s">
        <v>52</v>
      </c>
      <c r="F109" s="25" t="s">
        <v>997</v>
      </c>
      <c r="G109" s="25" t="s">
        <v>606</v>
      </c>
      <c r="H109" s="25" t="s">
        <v>607</v>
      </c>
      <c r="I109" s="25" t="s">
        <v>121</v>
      </c>
      <c r="J109" s="25" t="s">
        <v>843</v>
      </c>
      <c r="K109" s="25" t="s">
        <v>584</v>
      </c>
      <c r="L109" s="25" t="s">
        <v>55</v>
      </c>
      <c r="M109" s="25" t="s">
        <v>844</v>
      </c>
      <c r="N109" s="25" t="s">
        <v>55</v>
      </c>
      <c r="O109" s="25" t="s">
        <v>999</v>
      </c>
      <c r="P109" s="25" t="s">
        <v>1012</v>
      </c>
      <c r="Q109" s="25" t="s">
        <v>1013</v>
      </c>
      <c r="R109" s="25" t="s">
        <v>55</v>
      </c>
      <c r="S109" s="25" t="s">
        <v>55</v>
      </c>
      <c r="T109" s="25" t="s">
        <v>1014</v>
      </c>
      <c r="U109" s="25" t="s">
        <v>63</v>
      </c>
      <c r="V109" s="26">
        <v>45961</v>
      </c>
      <c r="W109" s="25" t="s">
        <v>55</v>
      </c>
      <c r="X109" s="25" t="s">
        <v>1015</v>
      </c>
      <c r="Y109" s="25" t="s">
        <v>65</v>
      </c>
      <c r="Z109" s="25" t="s">
        <v>55</v>
      </c>
      <c r="AA109" s="25" t="s">
        <v>66</v>
      </c>
      <c r="AB109" s="25" t="s">
        <v>55</v>
      </c>
      <c r="AC109" s="25" t="s">
        <v>55</v>
      </c>
      <c r="AD109" s="25" t="s">
        <v>118</v>
      </c>
      <c r="AE109" s="25" t="s">
        <v>97</v>
      </c>
      <c r="AF109" s="25" t="s">
        <v>583</v>
      </c>
      <c r="AG109" s="25" t="s">
        <v>55</v>
      </c>
      <c r="AH109" s="25" t="s">
        <v>55</v>
      </c>
      <c r="AI109" s="25" t="s">
        <v>55</v>
      </c>
      <c r="AJ109" s="25" t="s">
        <v>55</v>
      </c>
      <c r="AK109" s="25" t="s">
        <v>55</v>
      </c>
      <c r="AL109" s="25" t="s">
        <v>55</v>
      </c>
      <c r="AM109" s="25" t="s">
        <v>55</v>
      </c>
      <c r="AN109" s="25" t="s">
        <v>55</v>
      </c>
      <c r="AO109" s="25" t="s">
        <v>55</v>
      </c>
      <c r="AP109" s="25" t="s">
        <v>55</v>
      </c>
      <c r="AQ109" s="25" t="s">
        <v>55</v>
      </c>
      <c r="AR109" s="25" t="s">
        <v>55</v>
      </c>
      <c r="AS109" s="25" t="s">
        <v>55</v>
      </c>
      <c r="AT109" s="25" t="s">
        <v>55</v>
      </c>
      <c r="AU109" s="25" t="s">
        <v>55</v>
      </c>
      <c r="AV109" s="25" t="s">
        <v>55</v>
      </c>
      <c r="AW109" s="25" t="s">
        <v>55</v>
      </c>
      <c r="AX109" s="25" t="s">
        <v>55</v>
      </c>
      <c r="AY109" s="25" t="s">
        <v>877</v>
      </c>
      <c r="AZ109" s="20">
        <f t="shared" si="3"/>
        <v>21</v>
      </c>
      <c r="BA109" s="17" t="str">
        <f t="shared" si="4"/>
        <v>&lt; 3 months</v>
      </c>
      <c r="BB109" s="21" t="s">
        <v>66</v>
      </c>
    </row>
    <row r="110" spans="1:54" ht="12" customHeight="1" x14ac:dyDescent="0.35">
      <c r="A110" s="25" t="s">
        <v>1017</v>
      </c>
      <c r="B110" s="25" t="s">
        <v>347</v>
      </c>
      <c r="C110" s="25" t="s">
        <v>116</v>
      </c>
      <c r="D110" s="25" t="s">
        <v>465</v>
      </c>
      <c r="E110" s="25" t="s">
        <v>52</v>
      </c>
      <c r="F110" s="25" t="s">
        <v>120</v>
      </c>
      <c r="G110" s="25" t="s">
        <v>94</v>
      </c>
      <c r="H110" s="25" t="s">
        <v>95</v>
      </c>
      <c r="I110" s="25" t="s">
        <v>803</v>
      </c>
      <c r="J110" s="25" t="s">
        <v>815</v>
      </c>
      <c r="K110" s="25" t="s">
        <v>572</v>
      </c>
      <c r="L110" s="25" t="s">
        <v>55</v>
      </c>
      <c r="M110" s="25" t="s">
        <v>816</v>
      </c>
      <c r="N110" s="25" t="s">
        <v>55</v>
      </c>
      <c r="O110" s="25" t="s">
        <v>1018</v>
      </c>
      <c r="P110" s="25" t="s">
        <v>1019</v>
      </c>
      <c r="Q110" s="25" t="s">
        <v>1020</v>
      </c>
      <c r="R110" s="25" t="s">
        <v>55</v>
      </c>
      <c r="S110" s="25" t="s">
        <v>55</v>
      </c>
      <c r="T110" s="25" t="s">
        <v>1021</v>
      </c>
      <c r="U110" s="25" t="s">
        <v>63</v>
      </c>
      <c r="V110" s="26">
        <v>46112</v>
      </c>
      <c r="W110" s="25" t="s">
        <v>55</v>
      </c>
      <c r="X110" s="25" t="s">
        <v>1022</v>
      </c>
      <c r="Y110" s="25" t="s">
        <v>65</v>
      </c>
      <c r="Z110" s="25" t="s">
        <v>55</v>
      </c>
      <c r="AA110" s="25" t="s">
        <v>155</v>
      </c>
      <c r="AB110" s="25" t="s">
        <v>55</v>
      </c>
      <c r="AC110" s="25" t="s">
        <v>55</v>
      </c>
      <c r="AD110" s="25" t="s">
        <v>118</v>
      </c>
      <c r="AE110" s="25" t="s">
        <v>97</v>
      </c>
      <c r="AF110" s="25" t="s">
        <v>69</v>
      </c>
      <c r="AG110" s="25" t="s">
        <v>55</v>
      </c>
      <c r="AH110" s="25" t="s">
        <v>55</v>
      </c>
      <c r="AI110" s="25" t="s">
        <v>55</v>
      </c>
      <c r="AJ110" s="25" t="s">
        <v>55</v>
      </c>
      <c r="AK110" s="25" t="s">
        <v>55</v>
      </c>
      <c r="AL110" s="25" t="s">
        <v>55</v>
      </c>
      <c r="AM110" s="25" t="s">
        <v>55</v>
      </c>
      <c r="AN110" s="25" t="s">
        <v>55</v>
      </c>
      <c r="AO110" s="25" t="s">
        <v>55</v>
      </c>
      <c r="AP110" s="25" t="s">
        <v>55</v>
      </c>
      <c r="AQ110" s="25" t="s">
        <v>55</v>
      </c>
      <c r="AR110" s="25" t="s">
        <v>55</v>
      </c>
      <c r="AS110" s="25" t="s">
        <v>55</v>
      </c>
      <c r="AT110" s="25" t="s">
        <v>55</v>
      </c>
      <c r="AU110" s="25" t="s">
        <v>55</v>
      </c>
      <c r="AV110" s="25" t="s">
        <v>55</v>
      </c>
      <c r="AW110" s="25" t="s">
        <v>55</v>
      </c>
      <c r="AX110" s="25" t="s">
        <v>55</v>
      </c>
      <c r="AY110" s="25" t="s">
        <v>877</v>
      </c>
      <c r="AZ110" s="20">
        <f t="shared" si="3"/>
        <v>-130</v>
      </c>
      <c r="BA110" s="17" t="e">
        <f t="shared" si="4"/>
        <v>#N/A</v>
      </c>
      <c r="BB110" s="21" t="s">
        <v>335</v>
      </c>
    </row>
    <row r="111" spans="1:54" ht="12" customHeight="1" x14ac:dyDescent="0.35">
      <c r="A111" s="25" t="s">
        <v>1027</v>
      </c>
      <c r="B111" s="25" t="s">
        <v>347</v>
      </c>
      <c r="C111" s="25" t="s">
        <v>116</v>
      </c>
      <c r="D111" s="25" t="s">
        <v>465</v>
      </c>
      <c r="E111" s="25" t="s">
        <v>52</v>
      </c>
      <c r="F111" s="25" t="s">
        <v>1028</v>
      </c>
      <c r="G111" s="25" t="s">
        <v>371</v>
      </c>
      <c r="H111" s="25" t="s">
        <v>372</v>
      </c>
      <c r="I111" s="25" t="s">
        <v>160</v>
      </c>
      <c r="J111" s="25" t="s">
        <v>857</v>
      </c>
      <c r="K111" s="25" t="s">
        <v>572</v>
      </c>
      <c r="L111" s="25" t="s">
        <v>55</v>
      </c>
      <c r="M111" s="25" t="s">
        <v>161</v>
      </c>
      <c r="N111" s="25" t="s">
        <v>55</v>
      </c>
      <c r="O111" s="25" t="s">
        <v>1029</v>
      </c>
      <c r="P111" s="25" t="s">
        <v>988</v>
      </c>
      <c r="Q111" s="25" t="s">
        <v>1030</v>
      </c>
      <c r="R111" s="25" t="s">
        <v>55</v>
      </c>
      <c r="S111" s="25" t="s">
        <v>55</v>
      </c>
      <c r="T111" s="25" t="s">
        <v>1031</v>
      </c>
      <c r="U111" s="25" t="s">
        <v>63</v>
      </c>
      <c r="V111" s="26">
        <v>45991</v>
      </c>
      <c r="W111" s="25" t="s">
        <v>55</v>
      </c>
      <c r="X111" s="25" t="s">
        <v>1032</v>
      </c>
      <c r="Y111" s="25" t="s">
        <v>65</v>
      </c>
      <c r="Z111" s="25" t="s">
        <v>55</v>
      </c>
      <c r="AA111" s="25" t="s">
        <v>152</v>
      </c>
      <c r="AB111" s="25" t="s">
        <v>55</v>
      </c>
      <c r="AC111" s="25" t="s">
        <v>55</v>
      </c>
      <c r="AD111" s="25" t="s">
        <v>118</v>
      </c>
      <c r="AE111" s="25" t="s">
        <v>97</v>
      </c>
      <c r="AF111" s="25" t="s">
        <v>69</v>
      </c>
      <c r="AG111" s="25" t="s">
        <v>55</v>
      </c>
      <c r="AH111" s="25" t="s">
        <v>55</v>
      </c>
      <c r="AI111" s="25" t="s">
        <v>55</v>
      </c>
      <c r="AJ111" s="25" t="s">
        <v>55</v>
      </c>
      <c r="AK111" s="25" t="s">
        <v>55</v>
      </c>
      <c r="AL111" s="25" t="s">
        <v>55</v>
      </c>
      <c r="AM111" s="25" t="s">
        <v>55</v>
      </c>
      <c r="AN111" s="25" t="s">
        <v>55</v>
      </c>
      <c r="AO111" s="25" t="s">
        <v>55</v>
      </c>
      <c r="AP111" s="25" t="s">
        <v>55</v>
      </c>
      <c r="AQ111" s="25" t="s">
        <v>55</v>
      </c>
      <c r="AR111" s="25" t="s">
        <v>55</v>
      </c>
      <c r="AS111" s="25" t="s">
        <v>55</v>
      </c>
      <c r="AT111" s="25" t="s">
        <v>55</v>
      </c>
      <c r="AU111" s="25" t="s">
        <v>55</v>
      </c>
      <c r="AV111" s="25" t="s">
        <v>55</v>
      </c>
      <c r="AW111" s="25" t="s">
        <v>55</v>
      </c>
      <c r="AX111" s="25" t="s">
        <v>55</v>
      </c>
      <c r="AY111" s="25" t="s">
        <v>877</v>
      </c>
      <c r="AZ111" s="20">
        <f t="shared" si="3"/>
        <v>-9</v>
      </c>
      <c r="BA111" s="17" t="e">
        <f t="shared" si="4"/>
        <v>#N/A</v>
      </c>
      <c r="BB111" s="21" t="s">
        <v>335</v>
      </c>
    </row>
    <row r="112" spans="1:54" x14ac:dyDescent="0.35">
      <c r="A112" s="25" t="s">
        <v>1033</v>
      </c>
      <c r="B112" s="25" t="s">
        <v>347</v>
      </c>
      <c r="C112" s="25" t="s">
        <v>116</v>
      </c>
      <c r="D112" s="25" t="s">
        <v>465</v>
      </c>
      <c r="E112" s="25" t="s">
        <v>52</v>
      </c>
      <c r="F112" s="25" t="s">
        <v>1028</v>
      </c>
      <c r="G112" s="25" t="s">
        <v>371</v>
      </c>
      <c r="H112" s="25" t="s">
        <v>372</v>
      </c>
      <c r="I112" s="25" t="s">
        <v>526</v>
      </c>
      <c r="J112" s="25" t="s">
        <v>993</v>
      </c>
      <c r="K112" s="25" t="s">
        <v>572</v>
      </c>
      <c r="L112" s="25" t="s">
        <v>55</v>
      </c>
      <c r="M112" s="25" t="s">
        <v>1016</v>
      </c>
      <c r="N112" s="25" t="s">
        <v>55</v>
      </c>
      <c r="O112" s="25" t="s">
        <v>1029</v>
      </c>
      <c r="P112" s="25" t="s">
        <v>988</v>
      </c>
      <c r="Q112" s="25" t="s">
        <v>1034</v>
      </c>
      <c r="R112" s="25" t="s">
        <v>55</v>
      </c>
      <c r="S112" s="25" t="s">
        <v>55</v>
      </c>
      <c r="T112" s="25" t="s">
        <v>1035</v>
      </c>
      <c r="U112" s="25" t="s">
        <v>63</v>
      </c>
      <c r="V112" s="26">
        <v>45991</v>
      </c>
      <c r="W112" s="25" t="s">
        <v>55</v>
      </c>
      <c r="X112" s="25" t="s">
        <v>1036</v>
      </c>
      <c r="Y112" s="25" t="s">
        <v>65</v>
      </c>
      <c r="Z112" s="25" t="s">
        <v>55</v>
      </c>
      <c r="AA112" s="25" t="s">
        <v>152</v>
      </c>
      <c r="AB112" s="25" t="s">
        <v>55</v>
      </c>
      <c r="AC112" s="25" t="s">
        <v>55</v>
      </c>
      <c r="AD112" s="25" t="s">
        <v>118</v>
      </c>
      <c r="AE112" s="25" t="s">
        <v>97</v>
      </c>
      <c r="AF112" s="25" t="s">
        <v>477</v>
      </c>
      <c r="AG112" s="25" t="s">
        <v>55</v>
      </c>
      <c r="AH112" s="25" t="s">
        <v>55</v>
      </c>
      <c r="AI112" s="25" t="s">
        <v>55</v>
      </c>
      <c r="AJ112" s="25" t="s">
        <v>55</v>
      </c>
      <c r="AK112" s="25" t="s">
        <v>55</v>
      </c>
      <c r="AL112" s="25" t="s">
        <v>55</v>
      </c>
      <c r="AM112" s="25" t="s">
        <v>55</v>
      </c>
      <c r="AN112" s="25" t="s">
        <v>55</v>
      </c>
      <c r="AO112" s="25" t="s">
        <v>55</v>
      </c>
      <c r="AP112" s="25" t="s">
        <v>55</v>
      </c>
      <c r="AQ112" s="25" t="s">
        <v>55</v>
      </c>
      <c r="AR112" s="25" t="s">
        <v>55</v>
      </c>
      <c r="AS112" s="25" t="s">
        <v>55</v>
      </c>
      <c r="AT112" s="25" t="s">
        <v>55</v>
      </c>
      <c r="AU112" s="25" t="s">
        <v>55</v>
      </c>
      <c r="AV112" s="25" t="s">
        <v>55</v>
      </c>
      <c r="AW112" s="25" t="s">
        <v>55</v>
      </c>
      <c r="AX112" s="25" t="s">
        <v>55</v>
      </c>
      <c r="AY112" s="25" t="s">
        <v>877</v>
      </c>
      <c r="AZ112" s="20">
        <f t="shared" ref="AZ112:AZ149" si="5">$AZ$2-V112</f>
        <v>-9</v>
      </c>
      <c r="BA112" s="17" t="e">
        <f t="shared" ref="BA112:BA149" si="6">VLOOKUP(AZ112,$BE$2:$BF$7,2,TRUE)</f>
        <v>#N/A</v>
      </c>
      <c r="BB112" s="21" t="s">
        <v>335</v>
      </c>
    </row>
    <row r="113" spans="1:54" x14ac:dyDescent="0.35">
      <c r="A113" s="25" t="s">
        <v>1037</v>
      </c>
      <c r="B113" s="25" t="s">
        <v>347</v>
      </c>
      <c r="C113" s="25" t="s">
        <v>116</v>
      </c>
      <c r="D113" s="25" t="s">
        <v>465</v>
      </c>
      <c r="E113" s="25" t="s">
        <v>52</v>
      </c>
      <c r="F113" s="25" t="s">
        <v>1028</v>
      </c>
      <c r="G113" s="25" t="s">
        <v>371</v>
      </c>
      <c r="H113" s="25" t="s">
        <v>372</v>
      </c>
      <c r="I113" s="25" t="s">
        <v>526</v>
      </c>
      <c r="J113" s="25" t="s">
        <v>822</v>
      </c>
      <c r="K113" s="25" t="s">
        <v>572</v>
      </c>
      <c r="L113" s="25" t="s">
        <v>55</v>
      </c>
      <c r="M113" s="25" t="s">
        <v>252</v>
      </c>
      <c r="N113" s="25" t="s">
        <v>55</v>
      </c>
      <c r="O113" s="25" t="s">
        <v>1029</v>
      </c>
      <c r="P113" s="25" t="s">
        <v>988</v>
      </c>
      <c r="Q113" s="25" t="s">
        <v>1038</v>
      </c>
      <c r="R113" s="25" t="s">
        <v>55</v>
      </c>
      <c r="S113" s="25" t="s">
        <v>55</v>
      </c>
      <c r="T113" s="25" t="s">
        <v>1039</v>
      </c>
      <c r="U113" s="25" t="s">
        <v>63</v>
      </c>
      <c r="V113" s="26">
        <v>45991</v>
      </c>
      <c r="W113" s="25" t="s">
        <v>55</v>
      </c>
      <c r="X113" s="25" t="s">
        <v>1040</v>
      </c>
      <c r="Y113" s="25" t="s">
        <v>65</v>
      </c>
      <c r="Z113" s="25" t="s">
        <v>55</v>
      </c>
      <c r="AA113" s="25" t="s">
        <v>152</v>
      </c>
      <c r="AB113" s="25" t="s">
        <v>55</v>
      </c>
      <c r="AC113" s="25" t="s">
        <v>55</v>
      </c>
      <c r="AD113" s="25" t="s">
        <v>118</v>
      </c>
      <c r="AE113" s="25" t="s">
        <v>97</v>
      </c>
      <c r="AF113" s="25" t="s">
        <v>98</v>
      </c>
      <c r="AG113" s="25" t="s">
        <v>55</v>
      </c>
      <c r="AH113" s="25" t="s">
        <v>55</v>
      </c>
      <c r="AI113" s="25" t="s">
        <v>55</v>
      </c>
      <c r="AJ113" s="25" t="s">
        <v>55</v>
      </c>
      <c r="AK113" s="25" t="s">
        <v>55</v>
      </c>
      <c r="AL113" s="25" t="s">
        <v>55</v>
      </c>
      <c r="AM113" s="25" t="s">
        <v>55</v>
      </c>
      <c r="AN113" s="25" t="s">
        <v>55</v>
      </c>
      <c r="AO113" s="25" t="s">
        <v>55</v>
      </c>
      <c r="AP113" s="25" t="s">
        <v>55</v>
      </c>
      <c r="AQ113" s="25" t="s">
        <v>55</v>
      </c>
      <c r="AR113" s="25" t="s">
        <v>55</v>
      </c>
      <c r="AS113" s="25" t="s">
        <v>55</v>
      </c>
      <c r="AT113" s="25" t="s">
        <v>55</v>
      </c>
      <c r="AU113" s="25" t="s">
        <v>55</v>
      </c>
      <c r="AV113" s="25" t="s">
        <v>55</v>
      </c>
      <c r="AW113" s="25" t="s">
        <v>55</v>
      </c>
      <c r="AX113" s="25" t="s">
        <v>55</v>
      </c>
      <c r="AY113" s="25" t="s">
        <v>877</v>
      </c>
      <c r="AZ113" s="20">
        <f t="shared" si="5"/>
        <v>-9</v>
      </c>
      <c r="BA113" s="17" t="e">
        <f t="shared" si="6"/>
        <v>#N/A</v>
      </c>
      <c r="BB113" s="21" t="s">
        <v>335</v>
      </c>
    </row>
    <row r="114" spans="1:54" x14ac:dyDescent="0.35">
      <c r="A114" s="25" t="s">
        <v>1041</v>
      </c>
      <c r="B114" s="25" t="s">
        <v>347</v>
      </c>
      <c r="C114" s="25" t="s">
        <v>116</v>
      </c>
      <c r="D114" s="25" t="s">
        <v>465</v>
      </c>
      <c r="E114" s="25" t="s">
        <v>52</v>
      </c>
      <c r="F114" s="25" t="s">
        <v>1028</v>
      </c>
      <c r="G114" s="25" t="s">
        <v>371</v>
      </c>
      <c r="H114" s="25" t="s">
        <v>372</v>
      </c>
      <c r="I114" s="25" t="s">
        <v>526</v>
      </c>
      <c r="J114" s="25" t="s">
        <v>993</v>
      </c>
      <c r="K114" s="25" t="s">
        <v>572</v>
      </c>
      <c r="L114" s="25" t="s">
        <v>55</v>
      </c>
      <c r="M114" s="25" t="s">
        <v>58</v>
      </c>
      <c r="N114" s="25" t="s">
        <v>55</v>
      </c>
      <c r="O114" s="25" t="s">
        <v>1029</v>
      </c>
      <c r="P114" s="25" t="s">
        <v>988</v>
      </c>
      <c r="Q114" s="25" t="s">
        <v>1038</v>
      </c>
      <c r="R114" s="25" t="s">
        <v>55</v>
      </c>
      <c r="S114" s="25" t="s">
        <v>55</v>
      </c>
      <c r="T114" s="25" t="s">
        <v>1039</v>
      </c>
      <c r="U114" s="25" t="s">
        <v>63</v>
      </c>
      <c r="V114" s="26">
        <v>45991</v>
      </c>
      <c r="W114" s="25" t="s">
        <v>55</v>
      </c>
      <c r="X114" s="25" t="s">
        <v>1040</v>
      </c>
      <c r="Y114" s="25" t="s">
        <v>65</v>
      </c>
      <c r="Z114" s="25" t="s">
        <v>55</v>
      </c>
      <c r="AA114" s="25" t="s">
        <v>152</v>
      </c>
      <c r="AB114" s="25" t="s">
        <v>55</v>
      </c>
      <c r="AC114" s="25" t="s">
        <v>55</v>
      </c>
      <c r="AD114" s="25" t="s">
        <v>118</v>
      </c>
      <c r="AE114" s="25" t="s">
        <v>97</v>
      </c>
      <c r="AF114" s="25" t="s">
        <v>69</v>
      </c>
      <c r="AG114" s="25" t="s">
        <v>55</v>
      </c>
      <c r="AH114" s="25" t="s">
        <v>55</v>
      </c>
      <c r="AI114" s="25" t="s">
        <v>55</v>
      </c>
      <c r="AJ114" s="25" t="s">
        <v>55</v>
      </c>
      <c r="AK114" s="25" t="s">
        <v>55</v>
      </c>
      <c r="AL114" s="25" t="s">
        <v>55</v>
      </c>
      <c r="AM114" s="25" t="s">
        <v>55</v>
      </c>
      <c r="AN114" s="25" t="s">
        <v>55</v>
      </c>
      <c r="AO114" s="25" t="s">
        <v>55</v>
      </c>
      <c r="AP114" s="25" t="s">
        <v>55</v>
      </c>
      <c r="AQ114" s="25" t="s">
        <v>55</v>
      </c>
      <c r="AR114" s="25" t="s">
        <v>55</v>
      </c>
      <c r="AS114" s="25" t="s">
        <v>55</v>
      </c>
      <c r="AT114" s="25" t="s">
        <v>55</v>
      </c>
      <c r="AU114" s="25" t="s">
        <v>55</v>
      </c>
      <c r="AV114" s="25" t="s">
        <v>55</v>
      </c>
      <c r="AW114" s="25" t="s">
        <v>55</v>
      </c>
      <c r="AX114" s="25" t="s">
        <v>55</v>
      </c>
      <c r="AY114" s="25" t="s">
        <v>877</v>
      </c>
      <c r="AZ114" s="20">
        <f t="shared" si="5"/>
        <v>-9</v>
      </c>
      <c r="BA114" s="17" t="e">
        <f t="shared" si="6"/>
        <v>#N/A</v>
      </c>
      <c r="BB114" s="21" t="s">
        <v>335</v>
      </c>
    </row>
    <row r="115" spans="1:54" x14ac:dyDescent="0.35">
      <c r="A115" s="25" t="s">
        <v>1042</v>
      </c>
      <c r="B115" s="25" t="s">
        <v>347</v>
      </c>
      <c r="C115" s="25" t="s">
        <v>116</v>
      </c>
      <c r="D115" s="25" t="s">
        <v>465</v>
      </c>
      <c r="E115" s="25" t="s">
        <v>52</v>
      </c>
      <c r="F115" s="25" t="s">
        <v>1028</v>
      </c>
      <c r="G115" s="25" t="s">
        <v>371</v>
      </c>
      <c r="H115" s="25" t="s">
        <v>372</v>
      </c>
      <c r="I115" s="25" t="s">
        <v>361</v>
      </c>
      <c r="J115" s="25" t="s">
        <v>253</v>
      </c>
      <c r="K115" s="25" t="s">
        <v>572</v>
      </c>
      <c r="L115" s="25" t="s">
        <v>55</v>
      </c>
      <c r="M115" s="25" t="s">
        <v>158</v>
      </c>
      <c r="N115" s="25" t="s">
        <v>55</v>
      </c>
      <c r="O115" s="25" t="s">
        <v>1029</v>
      </c>
      <c r="P115" s="25" t="s">
        <v>988</v>
      </c>
      <c r="Q115" s="25" t="s">
        <v>1038</v>
      </c>
      <c r="R115" s="25" t="s">
        <v>55</v>
      </c>
      <c r="S115" s="25" t="s">
        <v>55</v>
      </c>
      <c r="T115" s="25" t="s">
        <v>1039</v>
      </c>
      <c r="U115" s="25" t="s">
        <v>63</v>
      </c>
      <c r="V115" s="26">
        <v>45991</v>
      </c>
      <c r="W115" s="25" t="s">
        <v>55</v>
      </c>
      <c r="X115" s="25" t="s">
        <v>1040</v>
      </c>
      <c r="Y115" s="25" t="s">
        <v>65</v>
      </c>
      <c r="Z115" s="25" t="s">
        <v>55</v>
      </c>
      <c r="AA115" s="25" t="s">
        <v>152</v>
      </c>
      <c r="AB115" s="25" t="s">
        <v>55</v>
      </c>
      <c r="AC115" s="25" t="s">
        <v>55</v>
      </c>
      <c r="AD115" s="25" t="s">
        <v>118</v>
      </c>
      <c r="AE115" s="25" t="s">
        <v>97</v>
      </c>
      <c r="AF115" s="25" t="s">
        <v>69</v>
      </c>
      <c r="AG115" s="25" t="s">
        <v>55</v>
      </c>
      <c r="AH115" s="25" t="s">
        <v>55</v>
      </c>
      <c r="AI115" s="25" t="s">
        <v>55</v>
      </c>
      <c r="AJ115" s="25" t="s">
        <v>55</v>
      </c>
      <c r="AK115" s="25" t="s">
        <v>55</v>
      </c>
      <c r="AL115" s="25" t="s">
        <v>55</v>
      </c>
      <c r="AM115" s="25" t="s">
        <v>55</v>
      </c>
      <c r="AN115" s="25" t="s">
        <v>55</v>
      </c>
      <c r="AO115" s="25" t="s">
        <v>55</v>
      </c>
      <c r="AP115" s="25" t="s">
        <v>55</v>
      </c>
      <c r="AQ115" s="25" t="s">
        <v>55</v>
      </c>
      <c r="AR115" s="25" t="s">
        <v>55</v>
      </c>
      <c r="AS115" s="25" t="s">
        <v>55</v>
      </c>
      <c r="AT115" s="25" t="s">
        <v>55</v>
      </c>
      <c r="AU115" s="25" t="s">
        <v>55</v>
      </c>
      <c r="AV115" s="25" t="s">
        <v>55</v>
      </c>
      <c r="AW115" s="25" t="s">
        <v>55</v>
      </c>
      <c r="AX115" s="25" t="s">
        <v>55</v>
      </c>
      <c r="AY115" s="25" t="s">
        <v>877</v>
      </c>
      <c r="AZ115" s="20">
        <f t="shared" si="5"/>
        <v>-9</v>
      </c>
      <c r="BA115" s="17" t="e">
        <f t="shared" si="6"/>
        <v>#N/A</v>
      </c>
      <c r="BB115" s="21" t="s">
        <v>335</v>
      </c>
    </row>
    <row r="116" spans="1:54" x14ac:dyDescent="0.35">
      <c r="A116" s="25" t="s">
        <v>1043</v>
      </c>
      <c r="B116" s="25" t="s">
        <v>347</v>
      </c>
      <c r="C116" s="25" t="s">
        <v>116</v>
      </c>
      <c r="D116" s="25" t="s">
        <v>465</v>
      </c>
      <c r="E116" s="25" t="s">
        <v>52</v>
      </c>
      <c r="F116" s="25" t="s">
        <v>1044</v>
      </c>
      <c r="G116" s="25" t="s">
        <v>94</v>
      </c>
      <c r="H116" s="25" t="s">
        <v>449</v>
      </c>
      <c r="I116" s="25" t="s">
        <v>361</v>
      </c>
      <c r="J116" s="25" t="s">
        <v>1045</v>
      </c>
      <c r="K116" s="25" t="s">
        <v>584</v>
      </c>
      <c r="L116" s="25" t="s">
        <v>55</v>
      </c>
      <c r="M116" s="25" t="s">
        <v>1046</v>
      </c>
      <c r="N116" s="25" t="s">
        <v>55</v>
      </c>
      <c r="O116" s="25" t="s">
        <v>1047</v>
      </c>
      <c r="P116" s="25" t="s">
        <v>1048</v>
      </c>
      <c r="Q116" s="25" t="s">
        <v>1049</v>
      </c>
      <c r="R116" s="25" t="s">
        <v>55</v>
      </c>
      <c r="S116" s="25" t="s">
        <v>55</v>
      </c>
      <c r="T116" s="25" t="s">
        <v>1050</v>
      </c>
      <c r="U116" s="25" t="s">
        <v>132</v>
      </c>
      <c r="V116" s="26">
        <v>45991</v>
      </c>
      <c r="W116" s="25" t="s">
        <v>55</v>
      </c>
      <c r="X116" s="25" t="s">
        <v>1051</v>
      </c>
      <c r="Y116" s="25" t="s">
        <v>65</v>
      </c>
      <c r="Z116" s="25" t="s">
        <v>55</v>
      </c>
      <c r="AA116" s="25" t="s">
        <v>152</v>
      </c>
      <c r="AB116" s="25" t="s">
        <v>55</v>
      </c>
      <c r="AC116" s="25" t="s">
        <v>55</v>
      </c>
      <c r="AD116" s="25" t="s">
        <v>118</v>
      </c>
      <c r="AE116" s="25" t="s">
        <v>97</v>
      </c>
      <c r="AF116" s="25" t="s">
        <v>1052</v>
      </c>
      <c r="AG116" s="25" t="s">
        <v>55</v>
      </c>
      <c r="AH116" s="25" t="s">
        <v>55</v>
      </c>
      <c r="AI116" s="25" t="s">
        <v>55</v>
      </c>
      <c r="AJ116" s="25" t="s">
        <v>55</v>
      </c>
      <c r="AK116" s="25" t="s">
        <v>55</v>
      </c>
      <c r="AL116" s="25" t="s">
        <v>55</v>
      </c>
      <c r="AM116" s="25" t="s">
        <v>55</v>
      </c>
      <c r="AN116" s="25" t="s">
        <v>55</v>
      </c>
      <c r="AO116" s="25" t="s">
        <v>55</v>
      </c>
      <c r="AP116" s="25" t="s">
        <v>55</v>
      </c>
      <c r="AQ116" s="25" t="s">
        <v>55</v>
      </c>
      <c r="AR116" s="25" t="s">
        <v>55</v>
      </c>
      <c r="AS116" s="25" t="s">
        <v>55</v>
      </c>
      <c r="AT116" s="25" t="s">
        <v>55</v>
      </c>
      <c r="AU116" s="25" t="s">
        <v>55</v>
      </c>
      <c r="AV116" s="25" t="s">
        <v>55</v>
      </c>
      <c r="AW116" s="25" t="s">
        <v>55</v>
      </c>
      <c r="AX116" s="25" t="s">
        <v>55</v>
      </c>
      <c r="AY116" s="25" t="s">
        <v>877</v>
      </c>
      <c r="AZ116" s="20">
        <f t="shared" si="5"/>
        <v>-9</v>
      </c>
      <c r="BA116" s="17" t="e">
        <f t="shared" si="6"/>
        <v>#N/A</v>
      </c>
      <c r="BB116" s="21" t="s">
        <v>335</v>
      </c>
    </row>
    <row r="117" spans="1:54" x14ac:dyDescent="0.35">
      <c r="A117" s="25" t="s">
        <v>1053</v>
      </c>
      <c r="B117" s="25" t="s">
        <v>347</v>
      </c>
      <c r="C117" s="25" t="s">
        <v>116</v>
      </c>
      <c r="D117" s="25" t="s">
        <v>465</v>
      </c>
      <c r="E117" s="25" t="s">
        <v>52</v>
      </c>
      <c r="F117" s="25" t="s">
        <v>1044</v>
      </c>
      <c r="G117" s="25" t="s">
        <v>94</v>
      </c>
      <c r="H117" s="25" t="s">
        <v>449</v>
      </c>
      <c r="I117" s="25" t="s">
        <v>361</v>
      </c>
      <c r="J117" s="25" t="s">
        <v>253</v>
      </c>
      <c r="K117" s="25" t="s">
        <v>868</v>
      </c>
      <c r="L117" s="25" t="s">
        <v>55</v>
      </c>
      <c r="M117" s="25" t="s">
        <v>136</v>
      </c>
      <c r="N117" s="25" t="s">
        <v>55</v>
      </c>
      <c r="O117" s="25" t="s">
        <v>1047</v>
      </c>
      <c r="P117" s="25" t="s">
        <v>1054</v>
      </c>
      <c r="Q117" s="25" t="s">
        <v>1055</v>
      </c>
      <c r="R117" s="25" t="s">
        <v>55</v>
      </c>
      <c r="S117" s="25" t="s">
        <v>55</v>
      </c>
      <c r="T117" s="25" t="s">
        <v>1056</v>
      </c>
      <c r="U117" s="25" t="s">
        <v>132</v>
      </c>
      <c r="V117" s="26">
        <v>45991</v>
      </c>
      <c r="W117" s="25" t="s">
        <v>55</v>
      </c>
      <c r="X117" s="25" t="s">
        <v>1057</v>
      </c>
      <c r="Y117" s="25" t="s">
        <v>65</v>
      </c>
      <c r="Z117" s="25" t="s">
        <v>55</v>
      </c>
      <c r="AA117" s="25" t="s">
        <v>152</v>
      </c>
      <c r="AB117" s="25" t="s">
        <v>55</v>
      </c>
      <c r="AC117" s="25" t="s">
        <v>55</v>
      </c>
      <c r="AD117" s="25" t="s">
        <v>118</v>
      </c>
      <c r="AE117" s="25" t="s">
        <v>97</v>
      </c>
      <c r="AF117" s="25" t="s">
        <v>98</v>
      </c>
      <c r="AG117" s="25" t="s">
        <v>55</v>
      </c>
      <c r="AH117" s="25" t="s">
        <v>55</v>
      </c>
      <c r="AI117" s="25" t="s">
        <v>55</v>
      </c>
      <c r="AJ117" s="25" t="s">
        <v>55</v>
      </c>
      <c r="AK117" s="25" t="s">
        <v>55</v>
      </c>
      <c r="AL117" s="25" t="s">
        <v>55</v>
      </c>
      <c r="AM117" s="25" t="s">
        <v>55</v>
      </c>
      <c r="AN117" s="25" t="s">
        <v>55</v>
      </c>
      <c r="AO117" s="25" t="s">
        <v>55</v>
      </c>
      <c r="AP117" s="25" t="s">
        <v>55</v>
      </c>
      <c r="AQ117" s="25" t="s">
        <v>55</v>
      </c>
      <c r="AR117" s="25" t="s">
        <v>55</v>
      </c>
      <c r="AS117" s="25" t="s">
        <v>55</v>
      </c>
      <c r="AT117" s="25" t="s">
        <v>55</v>
      </c>
      <c r="AU117" s="25" t="s">
        <v>55</v>
      </c>
      <c r="AV117" s="25" t="s">
        <v>55</v>
      </c>
      <c r="AW117" s="25" t="s">
        <v>55</v>
      </c>
      <c r="AX117" s="25" t="s">
        <v>55</v>
      </c>
      <c r="AY117" s="25" t="s">
        <v>877</v>
      </c>
      <c r="AZ117" s="20">
        <f t="shared" si="5"/>
        <v>-9</v>
      </c>
      <c r="BA117" s="17" t="e">
        <f t="shared" si="6"/>
        <v>#N/A</v>
      </c>
      <c r="BB117" s="21" t="s">
        <v>335</v>
      </c>
    </row>
    <row r="118" spans="1:54" x14ac:dyDescent="0.35">
      <c r="A118" s="25" t="s">
        <v>1058</v>
      </c>
      <c r="B118" s="25" t="s">
        <v>347</v>
      </c>
      <c r="C118" s="25" t="s">
        <v>116</v>
      </c>
      <c r="D118" s="25" t="s">
        <v>465</v>
      </c>
      <c r="E118" s="25" t="s">
        <v>52</v>
      </c>
      <c r="F118" s="25" t="s">
        <v>1044</v>
      </c>
      <c r="G118" s="25" t="s">
        <v>94</v>
      </c>
      <c r="H118" s="25" t="s">
        <v>449</v>
      </c>
      <c r="I118" s="25" t="s">
        <v>361</v>
      </c>
      <c r="J118" s="25" t="s">
        <v>253</v>
      </c>
      <c r="K118" s="25" t="s">
        <v>868</v>
      </c>
      <c r="L118" s="25" t="s">
        <v>55</v>
      </c>
      <c r="M118" s="25" t="s">
        <v>1059</v>
      </c>
      <c r="N118" s="25" t="s">
        <v>55</v>
      </c>
      <c r="O118" s="25" t="s">
        <v>1047</v>
      </c>
      <c r="P118" s="25" t="s">
        <v>1060</v>
      </c>
      <c r="Q118" s="25" t="s">
        <v>1061</v>
      </c>
      <c r="R118" s="25" t="s">
        <v>55</v>
      </c>
      <c r="S118" s="25" t="s">
        <v>55</v>
      </c>
      <c r="T118" s="25" t="s">
        <v>1062</v>
      </c>
      <c r="U118" s="25" t="s">
        <v>132</v>
      </c>
      <c r="V118" s="26">
        <v>45991</v>
      </c>
      <c r="W118" s="25" t="s">
        <v>55</v>
      </c>
      <c r="X118" s="25" t="s">
        <v>1051</v>
      </c>
      <c r="Y118" s="25" t="s">
        <v>65</v>
      </c>
      <c r="Z118" s="25" t="s">
        <v>55</v>
      </c>
      <c r="AA118" s="25" t="s">
        <v>152</v>
      </c>
      <c r="AB118" s="25" t="s">
        <v>55</v>
      </c>
      <c r="AC118" s="25" t="s">
        <v>55</v>
      </c>
      <c r="AD118" s="25" t="s">
        <v>118</v>
      </c>
      <c r="AE118" s="25" t="s">
        <v>97</v>
      </c>
      <c r="AF118" s="25" t="s">
        <v>98</v>
      </c>
      <c r="AG118" s="25" t="s">
        <v>55</v>
      </c>
      <c r="AH118" s="25" t="s">
        <v>55</v>
      </c>
      <c r="AI118" s="25" t="s">
        <v>55</v>
      </c>
      <c r="AJ118" s="25" t="s">
        <v>55</v>
      </c>
      <c r="AK118" s="25" t="s">
        <v>55</v>
      </c>
      <c r="AL118" s="25" t="s">
        <v>55</v>
      </c>
      <c r="AM118" s="25" t="s">
        <v>55</v>
      </c>
      <c r="AN118" s="25" t="s">
        <v>55</v>
      </c>
      <c r="AO118" s="25" t="s">
        <v>55</v>
      </c>
      <c r="AP118" s="25" t="s">
        <v>55</v>
      </c>
      <c r="AQ118" s="25" t="s">
        <v>55</v>
      </c>
      <c r="AR118" s="25" t="s">
        <v>55</v>
      </c>
      <c r="AS118" s="25" t="s">
        <v>55</v>
      </c>
      <c r="AT118" s="25" t="s">
        <v>55</v>
      </c>
      <c r="AU118" s="25" t="s">
        <v>55</v>
      </c>
      <c r="AV118" s="25" t="s">
        <v>55</v>
      </c>
      <c r="AW118" s="25" t="s">
        <v>55</v>
      </c>
      <c r="AX118" s="25" t="s">
        <v>55</v>
      </c>
      <c r="AY118" s="25" t="s">
        <v>877</v>
      </c>
      <c r="AZ118" s="20">
        <f t="shared" si="5"/>
        <v>-9</v>
      </c>
      <c r="BA118" s="17" t="e">
        <f t="shared" si="6"/>
        <v>#N/A</v>
      </c>
      <c r="BB118" s="21" t="s">
        <v>335</v>
      </c>
    </row>
    <row r="119" spans="1:54" x14ac:dyDescent="0.35">
      <c r="A119" s="25" t="s">
        <v>1064</v>
      </c>
      <c r="B119" s="25" t="s">
        <v>347</v>
      </c>
      <c r="C119" s="25" t="s">
        <v>116</v>
      </c>
      <c r="D119" s="25" t="s">
        <v>465</v>
      </c>
      <c r="E119" s="25" t="s">
        <v>52</v>
      </c>
      <c r="F119" s="25" t="s">
        <v>1065</v>
      </c>
      <c r="G119" s="25" t="s">
        <v>94</v>
      </c>
      <c r="H119" s="25" t="s">
        <v>95</v>
      </c>
      <c r="I119" s="25" t="s">
        <v>160</v>
      </c>
      <c r="J119" s="25" t="s">
        <v>857</v>
      </c>
      <c r="K119" s="25" t="s">
        <v>572</v>
      </c>
      <c r="L119" s="25" t="s">
        <v>55</v>
      </c>
      <c r="M119" s="25" t="s">
        <v>161</v>
      </c>
      <c r="N119" s="25" t="s">
        <v>55</v>
      </c>
      <c r="O119" s="25" t="s">
        <v>1066</v>
      </c>
      <c r="P119" s="25" t="s">
        <v>1067</v>
      </c>
      <c r="Q119" s="25" t="s">
        <v>1068</v>
      </c>
      <c r="R119" s="25" t="s">
        <v>55</v>
      </c>
      <c r="S119" s="25" t="s">
        <v>55</v>
      </c>
      <c r="T119" s="25" t="s">
        <v>1069</v>
      </c>
      <c r="U119" s="25" t="s">
        <v>63</v>
      </c>
      <c r="V119" s="26">
        <v>45961</v>
      </c>
      <c r="W119" s="25" t="s">
        <v>55</v>
      </c>
      <c r="X119" s="25" t="s">
        <v>991</v>
      </c>
      <c r="Y119" s="25" t="s">
        <v>65</v>
      </c>
      <c r="Z119" s="25" t="s">
        <v>55</v>
      </c>
      <c r="AA119" s="25" t="s">
        <v>66</v>
      </c>
      <c r="AB119" s="25" t="s">
        <v>55</v>
      </c>
      <c r="AC119" s="25" t="s">
        <v>55</v>
      </c>
      <c r="AD119" s="25" t="s">
        <v>118</v>
      </c>
      <c r="AE119" s="25" t="s">
        <v>97</v>
      </c>
      <c r="AF119" s="25" t="s">
        <v>69</v>
      </c>
      <c r="AG119" s="25" t="s">
        <v>55</v>
      </c>
      <c r="AH119" s="25" t="s">
        <v>55</v>
      </c>
      <c r="AI119" s="25" t="s">
        <v>55</v>
      </c>
      <c r="AJ119" s="25" t="s">
        <v>55</v>
      </c>
      <c r="AK119" s="25" t="s">
        <v>55</v>
      </c>
      <c r="AL119" s="25" t="s">
        <v>55</v>
      </c>
      <c r="AM119" s="25" t="s">
        <v>55</v>
      </c>
      <c r="AN119" s="25" t="s">
        <v>55</v>
      </c>
      <c r="AO119" s="25" t="s">
        <v>55</v>
      </c>
      <c r="AP119" s="25" t="s">
        <v>55</v>
      </c>
      <c r="AQ119" s="25" t="s">
        <v>55</v>
      </c>
      <c r="AR119" s="25" t="s">
        <v>55</v>
      </c>
      <c r="AS119" s="25" t="s">
        <v>55</v>
      </c>
      <c r="AT119" s="25" t="s">
        <v>55</v>
      </c>
      <c r="AU119" s="25" t="s">
        <v>55</v>
      </c>
      <c r="AV119" s="25" t="s">
        <v>55</v>
      </c>
      <c r="AW119" s="25" t="s">
        <v>55</v>
      </c>
      <c r="AX119" s="25" t="s">
        <v>55</v>
      </c>
      <c r="AY119" s="25" t="s">
        <v>1063</v>
      </c>
      <c r="AZ119" s="20">
        <f t="shared" si="5"/>
        <v>21</v>
      </c>
      <c r="BA119" s="17" t="str">
        <f t="shared" si="6"/>
        <v>&lt; 3 months</v>
      </c>
      <c r="BB119" s="21" t="s">
        <v>66</v>
      </c>
    </row>
    <row r="120" spans="1:54" x14ac:dyDescent="0.35">
      <c r="A120" s="25" t="s">
        <v>1070</v>
      </c>
      <c r="B120" s="25" t="s">
        <v>347</v>
      </c>
      <c r="C120" s="25" t="s">
        <v>116</v>
      </c>
      <c r="D120" s="25" t="s">
        <v>465</v>
      </c>
      <c r="E120" s="25" t="s">
        <v>52</v>
      </c>
      <c r="F120" s="25" t="s">
        <v>1065</v>
      </c>
      <c r="G120" s="25" t="s">
        <v>94</v>
      </c>
      <c r="H120" s="25" t="s">
        <v>95</v>
      </c>
      <c r="I120" s="25" t="s">
        <v>526</v>
      </c>
      <c r="J120" s="25" t="s">
        <v>822</v>
      </c>
      <c r="K120" s="25" t="s">
        <v>572</v>
      </c>
      <c r="L120" s="25" t="s">
        <v>55</v>
      </c>
      <c r="M120" s="25" t="s">
        <v>252</v>
      </c>
      <c r="N120" s="25" t="s">
        <v>55</v>
      </c>
      <c r="O120" s="25" t="s">
        <v>1066</v>
      </c>
      <c r="P120" s="25" t="s">
        <v>1067</v>
      </c>
      <c r="Q120" s="25" t="s">
        <v>1071</v>
      </c>
      <c r="R120" s="25" t="s">
        <v>55</v>
      </c>
      <c r="S120" s="25" t="s">
        <v>55</v>
      </c>
      <c r="T120" s="25" t="s">
        <v>1069</v>
      </c>
      <c r="U120" s="25" t="s">
        <v>63</v>
      </c>
      <c r="V120" s="26">
        <v>45961</v>
      </c>
      <c r="W120" s="25" t="s">
        <v>55</v>
      </c>
      <c r="X120" s="25" t="s">
        <v>991</v>
      </c>
      <c r="Y120" s="25" t="s">
        <v>65</v>
      </c>
      <c r="Z120" s="25" t="s">
        <v>55</v>
      </c>
      <c r="AA120" s="25" t="s">
        <v>66</v>
      </c>
      <c r="AB120" s="25" t="s">
        <v>55</v>
      </c>
      <c r="AC120" s="25" t="s">
        <v>55</v>
      </c>
      <c r="AD120" s="25" t="s">
        <v>118</v>
      </c>
      <c r="AE120" s="25" t="s">
        <v>97</v>
      </c>
      <c r="AF120" s="25" t="s">
        <v>98</v>
      </c>
      <c r="AG120" s="25" t="s">
        <v>55</v>
      </c>
      <c r="AH120" s="25" t="s">
        <v>55</v>
      </c>
      <c r="AI120" s="25" t="s">
        <v>55</v>
      </c>
      <c r="AJ120" s="25" t="s">
        <v>55</v>
      </c>
      <c r="AK120" s="25" t="s">
        <v>55</v>
      </c>
      <c r="AL120" s="25" t="s">
        <v>55</v>
      </c>
      <c r="AM120" s="25" t="s">
        <v>55</v>
      </c>
      <c r="AN120" s="25" t="s">
        <v>55</v>
      </c>
      <c r="AO120" s="25" t="s">
        <v>55</v>
      </c>
      <c r="AP120" s="25" t="s">
        <v>55</v>
      </c>
      <c r="AQ120" s="25" t="s">
        <v>55</v>
      </c>
      <c r="AR120" s="25" t="s">
        <v>55</v>
      </c>
      <c r="AS120" s="25" t="s">
        <v>55</v>
      </c>
      <c r="AT120" s="25" t="s">
        <v>55</v>
      </c>
      <c r="AU120" s="25" t="s">
        <v>55</v>
      </c>
      <c r="AV120" s="25" t="s">
        <v>55</v>
      </c>
      <c r="AW120" s="25" t="s">
        <v>55</v>
      </c>
      <c r="AX120" s="25" t="s">
        <v>55</v>
      </c>
      <c r="AY120" s="25" t="s">
        <v>1063</v>
      </c>
      <c r="AZ120" s="20">
        <f t="shared" si="5"/>
        <v>21</v>
      </c>
      <c r="BA120" s="17" t="str">
        <f t="shared" si="6"/>
        <v>&lt; 3 months</v>
      </c>
      <c r="BB120" s="21" t="s">
        <v>66</v>
      </c>
    </row>
    <row r="121" spans="1:54" x14ac:dyDescent="0.35">
      <c r="A121" s="25" t="s">
        <v>1072</v>
      </c>
      <c r="B121" s="25" t="s">
        <v>347</v>
      </c>
      <c r="C121" s="25" t="s">
        <v>116</v>
      </c>
      <c r="D121" s="25" t="s">
        <v>465</v>
      </c>
      <c r="E121" s="25" t="s">
        <v>52</v>
      </c>
      <c r="F121" s="25" t="s">
        <v>1065</v>
      </c>
      <c r="G121" s="25" t="s">
        <v>94</v>
      </c>
      <c r="H121" s="25" t="s">
        <v>95</v>
      </c>
      <c r="I121" s="25" t="s">
        <v>526</v>
      </c>
      <c r="J121" s="25" t="s">
        <v>993</v>
      </c>
      <c r="K121" s="25" t="s">
        <v>572</v>
      </c>
      <c r="L121" s="25" t="s">
        <v>55</v>
      </c>
      <c r="M121" s="25" t="s">
        <v>1073</v>
      </c>
      <c r="N121" s="25" t="s">
        <v>55</v>
      </c>
      <c r="O121" s="25" t="s">
        <v>1066</v>
      </c>
      <c r="P121" s="25" t="s">
        <v>1067</v>
      </c>
      <c r="Q121" s="25" t="s">
        <v>1074</v>
      </c>
      <c r="R121" s="25" t="s">
        <v>55</v>
      </c>
      <c r="S121" s="25" t="s">
        <v>55</v>
      </c>
      <c r="T121" s="25" t="s">
        <v>1069</v>
      </c>
      <c r="U121" s="25" t="s">
        <v>63</v>
      </c>
      <c r="V121" s="26">
        <v>45961</v>
      </c>
      <c r="W121" s="25" t="s">
        <v>55</v>
      </c>
      <c r="X121" s="25" t="s">
        <v>991</v>
      </c>
      <c r="Y121" s="25" t="s">
        <v>65</v>
      </c>
      <c r="Z121" s="25" t="s">
        <v>55</v>
      </c>
      <c r="AA121" s="25" t="s">
        <v>66</v>
      </c>
      <c r="AB121" s="25" t="s">
        <v>55</v>
      </c>
      <c r="AC121" s="25" t="s">
        <v>55</v>
      </c>
      <c r="AD121" s="25" t="s">
        <v>118</v>
      </c>
      <c r="AE121" s="25" t="s">
        <v>97</v>
      </c>
      <c r="AF121" s="25" t="s">
        <v>69</v>
      </c>
      <c r="AG121" s="25" t="s">
        <v>55</v>
      </c>
      <c r="AH121" s="25" t="s">
        <v>55</v>
      </c>
      <c r="AI121" s="25" t="s">
        <v>55</v>
      </c>
      <c r="AJ121" s="25" t="s">
        <v>55</v>
      </c>
      <c r="AK121" s="25" t="s">
        <v>55</v>
      </c>
      <c r="AL121" s="25" t="s">
        <v>55</v>
      </c>
      <c r="AM121" s="25" t="s">
        <v>55</v>
      </c>
      <c r="AN121" s="25" t="s">
        <v>55</v>
      </c>
      <c r="AO121" s="25" t="s">
        <v>55</v>
      </c>
      <c r="AP121" s="25" t="s">
        <v>55</v>
      </c>
      <c r="AQ121" s="25" t="s">
        <v>55</v>
      </c>
      <c r="AR121" s="25" t="s">
        <v>55</v>
      </c>
      <c r="AS121" s="25" t="s">
        <v>55</v>
      </c>
      <c r="AT121" s="25" t="s">
        <v>55</v>
      </c>
      <c r="AU121" s="25" t="s">
        <v>55</v>
      </c>
      <c r="AV121" s="25" t="s">
        <v>55</v>
      </c>
      <c r="AW121" s="25" t="s">
        <v>55</v>
      </c>
      <c r="AX121" s="25" t="s">
        <v>55</v>
      </c>
      <c r="AY121" s="25" t="s">
        <v>1063</v>
      </c>
      <c r="AZ121" s="20">
        <f t="shared" si="5"/>
        <v>21</v>
      </c>
      <c r="BA121" s="17" t="str">
        <f t="shared" si="6"/>
        <v>&lt; 3 months</v>
      </c>
      <c r="BB121" s="21" t="s">
        <v>66</v>
      </c>
    </row>
    <row r="122" spans="1:54" x14ac:dyDescent="0.35">
      <c r="A122" s="25" t="s">
        <v>1075</v>
      </c>
      <c r="B122" s="25" t="s">
        <v>347</v>
      </c>
      <c r="C122" s="25" t="s">
        <v>116</v>
      </c>
      <c r="D122" s="25" t="s">
        <v>465</v>
      </c>
      <c r="E122" s="25" t="s">
        <v>52</v>
      </c>
      <c r="F122" s="25" t="s">
        <v>1065</v>
      </c>
      <c r="G122" s="25" t="s">
        <v>94</v>
      </c>
      <c r="H122" s="25" t="s">
        <v>95</v>
      </c>
      <c r="I122" s="25" t="s">
        <v>526</v>
      </c>
      <c r="J122" s="25" t="s">
        <v>993</v>
      </c>
      <c r="K122" s="25" t="s">
        <v>572</v>
      </c>
      <c r="L122" s="25" t="s">
        <v>55</v>
      </c>
      <c r="M122" s="25" t="s">
        <v>58</v>
      </c>
      <c r="N122" s="25" t="s">
        <v>55</v>
      </c>
      <c r="O122" s="25" t="s">
        <v>1066</v>
      </c>
      <c r="P122" s="25" t="s">
        <v>1067</v>
      </c>
      <c r="Q122" s="25" t="s">
        <v>1076</v>
      </c>
      <c r="R122" s="25" t="s">
        <v>55</v>
      </c>
      <c r="S122" s="25" t="s">
        <v>55</v>
      </c>
      <c r="T122" s="25" t="s">
        <v>1069</v>
      </c>
      <c r="U122" s="25" t="s">
        <v>63</v>
      </c>
      <c r="V122" s="26">
        <v>45961</v>
      </c>
      <c r="W122" s="25" t="s">
        <v>55</v>
      </c>
      <c r="X122" s="25" t="s">
        <v>991</v>
      </c>
      <c r="Y122" s="25" t="s">
        <v>65</v>
      </c>
      <c r="Z122" s="25" t="s">
        <v>55</v>
      </c>
      <c r="AA122" s="25" t="s">
        <v>66</v>
      </c>
      <c r="AB122" s="25" t="s">
        <v>55</v>
      </c>
      <c r="AC122" s="25" t="s">
        <v>55</v>
      </c>
      <c r="AD122" s="25" t="s">
        <v>118</v>
      </c>
      <c r="AE122" s="25" t="s">
        <v>97</v>
      </c>
      <c r="AF122" s="25" t="s">
        <v>69</v>
      </c>
      <c r="AG122" s="25" t="s">
        <v>55</v>
      </c>
      <c r="AH122" s="25" t="s">
        <v>55</v>
      </c>
      <c r="AI122" s="25" t="s">
        <v>55</v>
      </c>
      <c r="AJ122" s="25" t="s">
        <v>55</v>
      </c>
      <c r="AK122" s="25" t="s">
        <v>55</v>
      </c>
      <c r="AL122" s="25" t="s">
        <v>55</v>
      </c>
      <c r="AM122" s="25" t="s">
        <v>55</v>
      </c>
      <c r="AN122" s="25" t="s">
        <v>55</v>
      </c>
      <c r="AO122" s="25" t="s">
        <v>55</v>
      </c>
      <c r="AP122" s="25" t="s">
        <v>55</v>
      </c>
      <c r="AQ122" s="25" t="s">
        <v>55</v>
      </c>
      <c r="AR122" s="25" t="s">
        <v>55</v>
      </c>
      <c r="AS122" s="25" t="s">
        <v>55</v>
      </c>
      <c r="AT122" s="25" t="s">
        <v>55</v>
      </c>
      <c r="AU122" s="25" t="s">
        <v>55</v>
      </c>
      <c r="AV122" s="25" t="s">
        <v>55</v>
      </c>
      <c r="AW122" s="25" t="s">
        <v>55</v>
      </c>
      <c r="AX122" s="25" t="s">
        <v>55</v>
      </c>
      <c r="AY122" s="25" t="s">
        <v>1063</v>
      </c>
      <c r="AZ122" s="20">
        <f t="shared" si="5"/>
        <v>21</v>
      </c>
      <c r="BA122" s="17" t="str">
        <f t="shared" si="6"/>
        <v>&lt; 3 months</v>
      </c>
      <c r="BB122" s="21" t="s">
        <v>66</v>
      </c>
    </row>
    <row r="123" spans="1:54" x14ac:dyDescent="0.35">
      <c r="A123" s="25" t="s">
        <v>1077</v>
      </c>
      <c r="B123" s="25" t="s">
        <v>347</v>
      </c>
      <c r="C123" s="25" t="s">
        <v>116</v>
      </c>
      <c r="D123" s="25" t="s">
        <v>465</v>
      </c>
      <c r="E123" s="25" t="s">
        <v>52</v>
      </c>
      <c r="F123" s="25" t="s">
        <v>1065</v>
      </c>
      <c r="G123" s="25" t="s">
        <v>94</v>
      </c>
      <c r="H123" s="25" t="s">
        <v>95</v>
      </c>
      <c r="I123" s="25" t="s">
        <v>119</v>
      </c>
      <c r="J123" s="25" t="s">
        <v>242</v>
      </c>
      <c r="K123" s="25" t="s">
        <v>572</v>
      </c>
      <c r="L123" s="25" t="s">
        <v>55</v>
      </c>
      <c r="M123" s="25" t="s">
        <v>545</v>
      </c>
      <c r="N123" s="25" t="s">
        <v>55</v>
      </c>
      <c r="O123" s="25" t="s">
        <v>1066</v>
      </c>
      <c r="P123" s="25" t="s">
        <v>1067</v>
      </c>
      <c r="Q123" s="25" t="s">
        <v>1078</v>
      </c>
      <c r="R123" s="25" t="s">
        <v>55</v>
      </c>
      <c r="S123" s="25" t="s">
        <v>55</v>
      </c>
      <c r="T123" s="25" t="s">
        <v>1069</v>
      </c>
      <c r="U123" s="25" t="s">
        <v>63</v>
      </c>
      <c r="V123" s="26">
        <v>45961</v>
      </c>
      <c r="W123" s="25" t="s">
        <v>55</v>
      </c>
      <c r="X123" s="25" t="s">
        <v>991</v>
      </c>
      <c r="Y123" s="25" t="s">
        <v>65</v>
      </c>
      <c r="Z123" s="25" t="s">
        <v>55</v>
      </c>
      <c r="AA123" s="25" t="s">
        <v>66</v>
      </c>
      <c r="AB123" s="25" t="s">
        <v>55</v>
      </c>
      <c r="AC123" s="25" t="s">
        <v>55</v>
      </c>
      <c r="AD123" s="25" t="s">
        <v>118</v>
      </c>
      <c r="AE123" s="25" t="s">
        <v>97</v>
      </c>
      <c r="AF123" s="25" t="s">
        <v>69</v>
      </c>
      <c r="AG123" s="25" t="s">
        <v>55</v>
      </c>
      <c r="AH123" s="25" t="s">
        <v>55</v>
      </c>
      <c r="AI123" s="25" t="s">
        <v>55</v>
      </c>
      <c r="AJ123" s="25" t="s">
        <v>55</v>
      </c>
      <c r="AK123" s="25" t="s">
        <v>55</v>
      </c>
      <c r="AL123" s="25" t="s">
        <v>55</v>
      </c>
      <c r="AM123" s="25" t="s">
        <v>55</v>
      </c>
      <c r="AN123" s="25" t="s">
        <v>55</v>
      </c>
      <c r="AO123" s="25" t="s">
        <v>55</v>
      </c>
      <c r="AP123" s="25" t="s">
        <v>55</v>
      </c>
      <c r="AQ123" s="25" t="s">
        <v>55</v>
      </c>
      <c r="AR123" s="25" t="s">
        <v>55</v>
      </c>
      <c r="AS123" s="25" t="s">
        <v>55</v>
      </c>
      <c r="AT123" s="25" t="s">
        <v>55</v>
      </c>
      <c r="AU123" s="25" t="s">
        <v>55</v>
      </c>
      <c r="AV123" s="25" t="s">
        <v>55</v>
      </c>
      <c r="AW123" s="25" t="s">
        <v>55</v>
      </c>
      <c r="AX123" s="25" t="s">
        <v>55</v>
      </c>
      <c r="AY123" s="25" t="s">
        <v>1063</v>
      </c>
      <c r="AZ123" s="20">
        <f t="shared" si="5"/>
        <v>21</v>
      </c>
      <c r="BA123" s="17" t="str">
        <f t="shared" si="6"/>
        <v>&lt; 3 months</v>
      </c>
      <c r="BB123" s="21" t="s">
        <v>66</v>
      </c>
    </row>
    <row r="124" spans="1:54" x14ac:dyDescent="0.35">
      <c r="A124" s="25" t="s">
        <v>1079</v>
      </c>
      <c r="B124" s="25" t="s">
        <v>347</v>
      </c>
      <c r="C124" s="25" t="s">
        <v>116</v>
      </c>
      <c r="D124" s="25" t="s">
        <v>465</v>
      </c>
      <c r="E124" s="25" t="s">
        <v>52</v>
      </c>
      <c r="F124" s="25" t="s">
        <v>1065</v>
      </c>
      <c r="G124" s="25" t="s">
        <v>94</v>
      </c>
      <c r="H124" s="25" t="s">
        <v>95</v>
      </c>
      <c r="I124" s="25" t="s">
        <v>361</v>
      </c>
      <c r="J124" s="25" t="s">
        <v>253</v>
      </c>
      <c r="K124" s="25" t="s">
        <v>572</v>
      </c>
      <c r="L124" s="25" t="s">
        <v>55</v>
      </c>
      <c r="M124" s="25" t="s">
        <v>158</v>
      </c>
      <c r="N124" s="25" t="s">
        <v>55</v>
      </c>
      <c r="O124" s="25" t="s">
        <v>1066</v>
      </c>
      <c r="P124" s="25" t="s">
        <v>1067</v>
      </c>
      <c r="Q124" s="25" t="s">
        <v>1076</v>
      </c>
      <c r="R124" s="25" t="s">
        <v>55</v>
      </c>
      <c r="S124" s="25" t="s">
        <v>55</v>
      </c>
      <c r="T124" s="25" t="s">
        <v>1069</v>
      </c>
      <c r="U124" s="25" t="s">
        <v>63</v>
      </c>
      <c r="V124" s="26">
        <v>45961</v>
      </c>
      <c r="W124" s="25" t="s">
        <v>55</v>
      </c>
      <c r="X124" s="25" t="s">
        <v>991</v>
      </c>
      <c r="Y124" s="25" t="s">
        <v>65</v>
      </c>
      <c r="Z124" s="25" t="s">
        <v>55</v>
      </c>
      <c r="AA124" s="25" t="s">
        <v>66</v>
      </c>
      <c r="AB124" s="25" t="s">
        <v>55</v>
      </c>
      <c r="AC124" s="25" t="s">
        <v>55</v>
      </c>
      <c r="AD124" s="25" t="s">
        <v>118</v>
      </c>
      <c r="AE124" s="25" t="s">
        <v>97</v>
      </c>
      <c r="AF124" s="25" t="s">
        <v>69</v>
      </c>
      <c r="AG124" s="25" t="s">
        <v>55</v>
      </c>
      <c r="AH124" s="25" t="s">
        <v>55</v>
      </c>
      <c r="AI124" s="25" t="s">
        <v>55</v>
      </c>
      <c r="AJ124" s="25" t="s">
        <v>55</v>
      </c>
      <c r="AK124" s="25" t="s">
        <v>55</v>
      </c>
      <c r="AL124" s="25" t="s">
        <v>55</v>
      </c>
      <c r="AM124" s="25" t="s">
        <v>55</v>
      </c>
      <c r="AN124" s="25" t="s">
        <v>55</v>
      </c>
      <c r="AO124" s="25" t="s">
        <v>55</v>
      </c>
      <c r="AP124" s="25" t="s">
        <v>55</v>
      </c>
      <c r="AQ124" s="25" t="s">
        <v>55</v>
      </c>
      <c r="AR124" s="25" t="s">
        <v>55</v>
      </c>
      <c r="AS124" s="25" t="s">
        <v>55</v>
      </c>
      <c r="AT124" s="25" t="s">
        <v>55</v>
      </c>
      <c r="AU124" s="25" t="s">
        <v>55</v>
      </c>
      <c r="AV124" s="25" t="s">
        <v>55</v>
      </c>
      <c r="AW124" s="25" t="s">
        <v>55</v>
      </c>
      <c r="AX124" s="25" t="s">
        <v>55</v>
      </c>
      <c r="AY124" s="25" t="s">
        <v>1063</v>
      </c>
      <c r="AZ124" s="20">
        <f t="shared" si="5"/>
        <v>21</v>
      </c>
      <c r="BA124" s="17" t="str">
        <f t="shared" si="6"/>
        <v>&lt; 3 months</v>
      </c>
      <c r="BB124" s="21" t="s">
        <v>66</v>
      </c>
    </row>
    <row r="125" spans="1:54" x14ac:dyDescent="0.35">
      <c r="A125" s="25" t="s">
        <v>1080</v>
      </c>
      <c r="B125" s="25" t="s">
        <v>347</v>
      </c>
      <c r="C125" s="25" t="s">
        <v>116</v>
      </c>
      <c r="D125" s="25" t="s">
        <v>465</v>
      </c>
      <c r="E125" s="25" t="s">
        <v>52</v>
      </c>
      <c r="F125" s="25" t="s">
        <v>1081</v>
      </c>
      <c r="G125" s="25" t="s">
        <v>84</v>
      </c>
      <c r="H125" s="25" t="s">
        <v>84</v>
      </c>
      <c r="I125" s="25" t="s">
        <v>526</v>
      </c>
      <c r="J125" s="25" t="s">
        <v>993</v>
      </c>
      <c r="K125" s="25" t="s">
        <v>572</v>
      </c>
      <c r="L125" s="25" t="s">
        <v>55</v>
      </c>
      <c r="M125" s="25" t="s">
        <v>1082</v>
      </c>
      <c r="N125" s="25" t="s">
        <v>55</v>
      </c>
      <c r="O125" s="25" t="s">
        <v>1083</v>
      </c>
      <c r="P125" s="25" t="s">
        <v>1084</v>
      </c>
      <c r="Q125" s="25" t="s">
        <v>1085</v>
      </c>
      <c r="R125" s="25" t="s">
        <v>55</v>
      </c>
      <c r="S125" s="25" t="s">
        <v>55</v>
      </c>
      <c r="T125" s="25" t="s">
        <v>1086</v>
      </c>
      <c r="U125" s="25" t="s">
        <v>63</v>
      </c>
      <c r="V125" s="26">
        <v>46021</v>
      </c>
      <c r="W125" s="25" t="s">
        <v>55</v>
      </c>
      <c r="X125" s="25" t="s">
        <v>1087</v>
      </c>
      <c r="Y125" s="25" t="s">
        <v>65</v>
      </c>
      <c r="Z125" s="25" t="s">
        <v>55</v>
      </c>
      <c r="AA125" s="25" t="s">
        <v>221</v>
      </c>
      <c r="AB125" s="25" t="s">
        <v>55</v>
      </c>
      <c r="AC125" s="25" t="s">
        <v>55</v>
      </c>
      <c r="AD125" s="25" t="s">
        <v>118</v>
      </c>
      <c r="AE125" s="25" t="s">
        <v>97</v>
      </c>
      <c r="AF125" s="25" t="s">
        <v>123</v>
      </c>
      <c r="AG125" s="25" t="s">
        <v>55</v>
      </c>
      <c r="AH125" s="25" t="s">
        <v>55</v>
      </c>
      <c r="AI125" s="25" t="s">
        <v>55</v>
      </c>
      <c r="AJ125" s="25" t="s">
        <v>55</v>
      </c>
      <c r="AK125" s="25" t="s">
        <v>55</v>
      </c>
      <c r="AL125" s="25" t="s">
        <v>55</v>
      </c>
      <c r="AM125" s="25" t="s">
        <v>55</v>
      </c>
      <c r="AN125" s="25" t="s">
        <v>55</v>
      </c>
      <c r="AO125" s="25" t="s">
        <v>55</v>
      </c>
      <c r="AP125" s="25" t="s">
        <v>55</v>
      </c>
      <c r="AQ125" s="25" t="s">
        <v>55</v>
      </c>
      <c r="AR125" s="25" t="s">
        <v>55</v>
      </c>
      <c r="AS125" s="25" t="s">
        <v>55</v>
      </c>
      <c r="AT125" s="25" t="s">
        <v>55</v>
      </c>
      <c r="AU125" s="25" t="s">
        <v>55</v>
      </c>
      <c r="AV125" s="25" t="s">
        <v>55</v>
      </c>
      <c r="AW125" s="25" t="s">
        <v>55</v>
      </c>
      <c r="AX125" s="25" t="s">
        <v>55</v>
      </c>
      <c r="AY125" s="25" t="s">
        <v>1063</v>
      </c>
      <c r="AZ125" s="20">
        <f t="shared" si="5"/>
        <v>-39</v>
      </c>
      <c r="BA125" s="17" t="e">
        <f t="shared" si="6"/>
        <v>#N/A</v>
      </c>
      <c r="BB125" s="21" t="s">
        <v>335</v>
      </c>
    </row>
    <row r="126" spans="1:54" x14ac:dyDescent="0.35">
      <c r="A126" s="25" t="s">
        <v>1088</v>
      </c>
      <c r="B126" s="25" t="s">
        <v>347</v>
      </c>
      <c r="C126" s="25" t="s">
        <v>116</v>
      </c>
      <c r="D126" s="25" t="s">
        <v>465</v>
      </c>
      <c r="E126" s="25" t="s">
        <v>52</v>
      </c>
      <c r="F126" s="25" t="s">
        <v>1081</v>
      </c>
      <c r="G126" s="25" t="s">
        <v>84</v>
      </c>
      <c r="H126" s="25" t="s">
        <v>84</v>
      </c>
      <c r="I126" s="25" t="s">
        <v>119</v>
      </c>
      <c r="J126" s="25" t="s">
        <v>242</v>
      </c>
      <c r="K126" s="25" t="s">
        <v>868</v>
      </c>
      <c r="L126" s="25" t="s">
        <v>55</v>
      </c>
      <c r="M126" s="25" t="s">
        <v>545</v>
      </c>
      <c r="N126" s="25" t="s">
        <v>55</v>
      </c>
      <c r="O126" s="25" t="s">
        <v>1083</v>
      </c>
      <c r="P126" s="25" t="s">
        <v>1089</v>
      </c>
      <c r="Q126" s="25" t="s">
        <v>1090</v>
      </c>
      <c r="R126" s="25" t="s">
        <v>55</v>
      </c>
      <c r="S126" s="25" t="s">
        <v>55</v>
      </c>
      <c r="T126" s="25" t="s">
        <v>1091</v>
      </c>
      <c r="U126" s="25" t="s">
        <v>63</v>
      </c>
      <c r="V126" s="26">
        <v>45961</v>
      </c>
      <c r="W126" s="25" t="s">
        <v>55</v>
      </c>
      <c r="X126" s="25" t="s">
        <v>1092</v>
      </c>
      <c r="Y126" s="25" t="s">
        <v>65</v>
      </c>
      <c r="Z126" s="25" t="s">
        <v>55</v>
      </c>
      <c r="AA126" s="25" t="s">
        <v>66</v>
      </c>
      <c r="AB126" s="25" t="s">
        <v>55</v>
      </c>
      <c r="AC126" s="25" t="s">
        <v>55</v>
      </c>
      <c r="AD126" s="25" t="s">
        <v>118</v>
      </c>
      <c r="AE126" s="25" t="s">
        <v>97</v>
      </c>
      <c r="AF126" s="25" t="s">
        <v>69</v>
      </c>
      <c r="AG126" s="25" t="s">
        <v>55</v>
      </c>
      <c r="AH126" s="25" t="s">
        <v>55</v>
      </c>
      <c r="AI126" s="25" t="s">
        <v>55</v>
      </c>
      <c r="AJ126" s="25" t="s">
        <v>55</v>
      </c>
      <c r="AK126" s="25" t="s">
        <v>55</v>
      </c>
      <c r="AL126" s="25" t="s">
        <v>55</v>
      </c>
      <c r="AM126" s="25" t="s">
        <v>55</v>
      </c>
      <c r="AN126" s="25" t="s">
        <v>55</v>
      </c>
      <c r="AO126" s="25" t="s">
        <v>55</v>
      </c>
      <c r="AP126" s="25" t="s">
        <v>55</v>
      </c>
      <c r="AQ126" s="25" t="s">
        <v>55</v>
      </c>
      <c r="AR126" s="25" t="s">
        <v>55</v>
      </c>
      <c r="AS126" s="25" t="s">
        <v>55</v>
      </c>
      <c r="AT126" s="25" t="s">
        <v>55</v>
      </c>
      <c r="AU126" s="25" t="s">
        <v>55</v>
      </c>
      <c r="AV126" s="25" t="s">
        <v>55</v>
      </c>
      <c r="AW126" s="25" t="s">
        <v>55</v>
      </c>
      <c r="AX126" s="25" t="s">
        <v>55</v>
      </c>
      <c r="AY126" s="25" t="s">
        <v>1063</v>
      </c>
      <c r="AZ126" s="20">
        <f t="shared" si="5"/>
        <v>21</v>
      </c>
      <c r="BA126" s="17" t="str">
        <f t="shared" si="6"/>
        <v>&lt; 3 months</v>
      </c>
      <c r="BB126" s="21" t="s">
        <v>66</v>
      </c>
    </row>
    <row r="127" spans="1:54" x14ac:dyDescent="0.35">
      <c r="A127" s="25" t="s">
        <v>1093</v>
      </c>
      <c r="B127" s="25" t="s">
        <v>347</v>
      </c>
      <c r="C127" s="25" t="s">
        <v>116</v>
      </c>
      <c r="D127" s="25" t="s">
        <v>465</v>
      </c>
      <c r="E127" s="25" t="s">
        <v>52</v>
      </c>
      <c r="F127" s="25" t="s">
        <v>1094</v>
      </c>
      <c r="G127" s="25" t="s">
        <v>94</v>
      </c>
      <c r="H127" s="25" t="s">
        <v>95</v>
      </c>
      <c r="I127" s="25" t="s">
        <v>803</v>
      </c>
      <c r="J127" s="25" t="s">
        <v>815</v>
      </c>
      <c r="K127" s="25" t="s">
        <v>600</v>
      </c>
      <c r="L127" s="25" t="s">
        <v>55</v>
      </c>
      <c r="M127" s="25" t="s">
        <v>816</v>
      </c>
      <c r="N127" s="25" t="s">
        <v>55</v>
      </c>
      <c r="O127" s="25" t="s">
        <v>1095</v>
      </c>
      <c r="P127" s="25" t="s">
        <v>1020</v>
      </c>
      <c r="Q127" s="25" t="s">
        <v>1020</v>
      </c>
      <c r="R127" s="25" t="s">
        <v>55</v>
      </c>
      <c r="S127" s="25" t="s">
        <v>55</v>
      </c>
      <c r="T127" s="25" t="s">
        <v>1021</v>
      </c>
      <c r="U127" s="25" t="s">
        <v>63</v>
      </c>
      <c r="V127" s="26">
        <v>46112</v>
      </c>
      <c r="W127" s="25" t="s">
        <v>55</v>
      </c>
      <c r="X127" s="25" t="s">
        <v>1096</v>
      </c>
      <c r="Y127" s="25" t="s">
        <v>65</v>
      </c>
      <c r="Z127" s="25" t="s">
        <v>55</v>
      </c>
      <c r="AA127" s="25" t="s">
        <v>155</v>
      </c>
      <c r="AB127" s="25" t="s">
        <v>55</v>
      </c>
      <c r="AC127" s="25" t="s">
        <v>55</v>
      </c>
      <c r="AD127" s="25" t="s">
        <v>118</v>
      </c>
      <c r="AE127" s="25" t="s">
        <v>97</v>
      </c>
      <c r="AF127" s="25" t="s">
        <v>69</v>
      </c>
      <c r="AG127" s="25" t="s">
        <v>55</v>
      </c>
      <c r="AH127" s="25" t="s">
        <v>55</v>
      </c>
      <c r="AI127" s="25" t="s">
        <v>55</v>
      </c>
      <c r="AJ127" s="25" t="s">
        <v>55</v>
      </c>
      <c r="AK127" s="25" t="s">
        <v>55</v>
      </c>
      <c r="AL127" s="25" t="s">
        <v>55</v>
      </c>
      <c r="AM127" s="25" t="s">
        <v>55</v>
      </c>
      <c r="AN127" s="25" t="s">
        <v>55</v>
      </c>
      <c r="AO127" s="25" t="s">
        <v>55</v>
      </c>
      <c r="AP127" s="25" t="s">
        <v>55</v>
      </c>
      <c r="AQ127" s="25" t="s">
        <v>55</v>
      </c>
      <c r="AR127" s="25" t="s">
        <v>55</v>
      </c>
      <c r="AS127" s="25" t="s">
        <v>55</v>
      </c>
      <c r="AT127" s="25" t="s">
        <v>55</v>
      </c>
      <c r="AU127" s="25" t="s">
        <v>55</v>
      </c>
      <c r="AV127" s="25" t="s">
        <v>55</v>
      </c>
      <c r="AW127" s="25" t="s">
        <v>55</v>
      </c>
      <c r="AX127" s="25" t="s">
        <v>55</v>
      </c>
      <c r="AY127" s="25" t="s">
        <v>1063</v>
      </c>
      <c r="AZ127" s="20">
        <f t="shared" si="5"/>
        <v>-130</v>
      </c>
      <c r="BA127" s="17" t="e">
        <f t="shared" si="6"/>
        <v>#N/A</v>
      </c>
      <c r="BB127" s="21" t="s">
        <v>335</v>
      </c>
    </row>
    <row r="128" spans="1:54" x14ac:dyDescent="0.35">
      <c r="A128" s="25" t="s">
        <v>1097</v>
      </c>
      <c r="B128" s="25" t="s">
        <v>347</v>
      </c>
      <c r="C128" s="25" t="s">
        <v>116</v>
      </c>
      <c r="D128" s="25" t="s">
        <v>465</v>
      </c>
      <c r="E128" s="25" t="s">
        <v>52</v>
      </c>
      <c r="F128" s="25" t="s">
        <v>1098</v>
      </c>
      <c r="G128" s="25" t="s">
        <v>126</v>
      </c>
      <c r="H128" s="25" t="s">
        <v>157</v>
      </c>
      <c r="I128" s="25" t="s">
        <v>121</v>
      </c>
      <c r="J128" s="25" t="s">
        <v>223</v>
      </c>
      <c r="K128" s="25" t="s">
        <v>589</v>
      </c>
      <c r="L128" s="25" t="s">
        <v>55</v>
      </c>
      <c r="M128" s="25" t="s">
        <v>224</v>
      </c>
      <c r="N128" s="25" t="s">
        <v>55</v>
      </c>
      <c r="O128" s="25" t="s">
        <v>1099</v>
      </c>
      <c r="P128" s="25" t="s">
        <v>1100</v>
      </c>
      <c r="Q128" s="25" t="s">
        <v>1101</v>
      </c>
      <c r="R128" s="25" t="s">
        <v>55</v>
      </c>
      <c r="S128" s="25" t="s">
        <v>55</v>
      </c>
      <c r="T128" s="25" t="s">
        <v>1102</v>
      </c>
      <c r="U128" s="25" t="s">
        <v>63</v>
      </c>
      <c r="V128" s="26">
        <v>46022</v>
      </c>
      <c r="W128" s="25" t="s">
        <v>55</v>
      </c>
      <c r="X128" s="25" t="s">
        <v>1103</v>
      </c>
      <c r="Y128" s="25" t="s">
        <v>65</v>
      </c>
      <c r="Z128" s="25" t="s">
        <v>55</v>
      </c>
      <c r="AA128" s="25" t="s">
        <v>221</v>
      </c>
      <c r="AB128" s="25" t="s">
        <v>55</v>
      </c>
      <c r="AC128" s="25" t="s">
        <v>55</v>
      </c>
      <c r="AD128" s="25" t="s">
        <v>118</v>
      </c>
      <c r="AE128" s="25" t="s">
        <v>97</v>
      </c>
      <c r="AF128" s="25" t="s">
        <v>226</v>
      </c>
      <c r="AG128" s="25" t="s">
        <v>55</v>
      </c>
      <c r="AH128" s="25" t="s">
        <v>55</v>
      </c>
      <c r="AI128" s="25" t="s">
        <v>55</v>
      </c>
      <c r="AJ128" s="25" t="s">
        <v>55</v>
      </c>
      <c r="AK128" s="25" t="s">
        <v>55</v>
      </c>
      <c r="AL128" s="25" t="s">
        <v>55</v>
      </c>
      <c r="AM128" s="25" t="s">
        <v>55</v>
      </c>
      <c r="AN128" s="25" t="s">
        <v>55</v>
      </c>
      <c r="AO128" s="25" t="s">
        <v>55</v>
      </c>
      <c r="AP128" s="25" t="s">
        <v>55</v>
      </c>
      <c r="AQ128" s="25" t="s">
        <v>55</v>
      </c>
      <c r="AR128" s="25" t="s">
        <v>55</v>
      </c>
      <c r="AS128" s="25" t="s">
        <v>55</v>
      </c>
      <c r="AT128" s="25" t="s">
        <v>55</v>
      </c>
      <c r="AU128" s="25" t="s">
        <v>55</v>
      </c>
      <c r="AV128" s="25" t="s">
        <v>55</v>
      </c>
      <c r="AW128" s="25" t="s">
        <v>55</v>
      </c>
      <c r="AX128" s="25" t="s">
        <v>55</v>
      </c>
      <c r="AY128" s="25" t="s">
        <v>1063</v>
      </c>
      <c r="AZ128" s="20">
        <f t="shared" si="5"/>
        <v>-40</v>
      </c>
      <c r="BA128" s="17" t="e">
        <f t="shared" si="6"/>
        <v>#N/A</v>
      </c>
      <c r="BB128" s="21" t="s">
        <v>335</v>
      </c>
    </row>
    <row r="129" spans="1:54" x14ac:dyDescent="0.35">
      <c r="A129" s="25" t="s">
        <v>1104</v>
      </c>
      <c r="B129" s="25" t="s">
        <v>347</v>
      </c>
      <c r="C129" s="25" t="s">
        <v>116</v>
      </c>
      <c r="D129" s="25" t="s">
        <v>465</v>
      </c>
      <c r="E129" s="25" t="s">
        <v>52</v>
      </c>
      <c r="F129" s="25" t="s">
        <v>1105</v>
      </c>
      <c r="G129" s="25" t="s">
        <v>126</v>
      </c>
      <c r="H129" s="25" t="s">
        <v>127</v>
      </c>
      <c r="I129" s="25" t="s">
        <v>117</v>
      </c>
      <c r="J129" s="25" t="s">
        <v>842</v>
      </c>
      <c r="K129" s="25" t="s">
        <v>572</v>
      </c>
      <c r="L129" s="25" t="s">
        <v>55</v>
      </c>
      <c r="M129" s="25" t="s">
        <v>1106</v>
      </c>
      <c r="N129" s="25" t="s">
        <v>55</v>
      </c>
      <c r="O129" s="25" t="s">
        <v>1107</v>
      </c>
      <c r="P129" s="25" t="s">
        <v>988</v>
      </c>
      <c r="Q129" s="25" t="s">
        <v>1108</v>
      </c>
      <c r="R129" s="25" t="s">
        <v>55</v>
      </c>
      <c r="S129" s="25" t="s">
        <v>55</v>
      </c>
      <c r="T129" s="25" t="s">
        <v>1109</v>
      </c>
      <c r="U129" s="25" t="s">
        <v>63</v>
      </c>
      <c r="V129" s="26">
        <v>46022</v>
      </c>
      <c r="W129" s="25" t="s">
        <v>55</v>
      </c>
      <c r="X129" s="25" t="s">
        <v>1110</v>
      </c>
      <c r="Y129" s="25" t="s">
        <v>65</v>
      </c>
      <c r="Z129" s="25" t="s">
        <v>55</v>
      </c>
      <c r="AA129" s="25" t="s">
        <v>221</v>
      </c>
      <c r="AB129" s="25" t="s">
        <v>55</v>
      </c>
      <c r="AC129" s="25" t="s">
        <v>55</v>
      </c>
      <c r="AD129" s="25" t="s">
        <v>118</v>
      </c>
      <c r="AE129" s="25" t="s">
        <v>97</v>
      </c>
      <c r="AF129" s="25" t="s">
        <v>1111</v>
      </c>
      <c r="AG129" s="25" t="s">
        <v>55</v>
      </c>
      <c r="AH129" s="25" t="s">
        <v>55</v>
      </c>
      <c r="AI129" s="25" t="s">
        <v>55</v>
      </c>
      <c r="AJ129" s="25" t="s">
        <v>55</v>
      </c>
      <c r="AK129" s="25" t="s">
        <v>55</v>
      </c>
      <c r="AL129" s="25" t="s">
        <v>55</v>
      </c>
      <c r="AM129" s="25" t="s">
        <v>55</v>
      </c>
      <c r="AN129" s="25" t="s">
        <v>55</v>
      </c>
      <c r="AO129" s="25" t="s">
        <v>55</v>
      </c>
      <c r="AP129" s="25" t="s">
        <v>55</v>
      </c>
      <c r="AQ129" s="25" t="s">
        <v>55</v>
      </c>
      <c r="AR129" s="25" t="s">
        <v>55</v>
      </c>
      <c r="AS129" s="25" t="s">
        <v>55</v>
      </c>
      <c r="AT129" s="25" t="s">
        <v>55</v>
      </c>
      <c r="AU129" s="25" t="s">
        <v>55</v>
      </c>
      <c r="AV129" s="25" t="s">
        <v>55</v>
      </c>
      <c r="AW129" s="25" t="s">
        <v>55</v>
      </c>
      <c r="AX129" s="25" t="s">
        <v>55</v>
      </c>
      <c r="AY129" s="25" t="s">
        <v>1063</v>
      </c>
      <c r="AZ129" s="20">
        <f t="shared" si="5"/>
        <v>-40</v>
      </c>
      <c r="BA129" s="17" t="e">
        <f t="shared" si="6"/>
        <v>#N/A</v>
      </c>
      <c r="BB129" s="21" t="s">
        <v>335</v>
      </c>
    </row>
    <row r="130" spans="1:54" x14ac:dyDescent="0.35">
      <c r="A130" s="25" t="s">
        <v>1112</v>
      </c>
      <c r="B130" s="25" t="s">
        <v>347</v>
      </c>
      <c r="C130" s="25" t="s">
        <v>116</v>
      </c>
      <c r="D130" s="25" t="s">
        <v>465</v>
      </c>
      <c r="E130" s="25" t="s">
        <v>52</v>
      </c>
      <c r="F130" s="25" t="s">
        <v>1105</v>
      </c>
      <c r="G130" s="25" t="s">
        <v>126</v>
      </c>
      <c r="H130" s="25" t="s">
        <v>127</v>
      </c>
      <c r="I130" s="25" t="s">
        <v>117</v>
      </c>
      <c r="J130" s="25" t="s">
        <v>842</v>
      </c>
      <c r="K130" s="25" t="s">
        <v>868</v>
      </c>
      <c r="L130" s="25" t="s">
        <v>55</v>
      </c>
      <c r="M130" s="25" t="s">
        <v>703</v>
      </c>
      <c r="N130" s="25" t="s">
        <v>55</v>
      </c>
      <c r="O130" s="25" t="s">
        <v>1107</v>
      </c>
      <c r="P130" s="25" t="s">
        <v>988</v>
      </c>
      <c r="Q130" s="25" t="s">
        <v>1113</v>
      </c>
      <c r="R130" s="25" t="s">
        <v>55</v>
      </c>
      <c r="S130" s="25" t="s">
        <v>55</v>
      </c>
      <c r="T130" s="25" t="s">
        <v>1114</v>
      </c>
      <c r="U130" s="25" t="s">
        <v>132</v>
      </c>
      <c r="V130" s="26">
        <v>45991</v>
      </c>
      <c r="W130" s="25" t="s">
        <v>55</v>
      </c>
      <c r="X130" s="25" t="s">
        <v>1110</v>
      </c>
      <c r="Y130" s="25" t="s">
        <v>65</v>
      </c>
      <c r="Z130" s="25" t="s">
        <v>55</v>
      </c>
      <c r="AA130" s="25" t="s">
        <v>152</v>
      </c>
      <c r="AB130" s="25" t="s">
        <v>55</v>
      </c>
      <c r="AC130" s="25" t="s">
        <v>55</v>
      </c>
      <c r="AD130" s="25" t="s">
        <v>118</v>
      </c>
      <c r="AE130" s="25" t="s">
        <v>97</v>
      </c>
      <c r="AF130" s="25" t="s">
        <v>98</v>
      </c>
      <c r="AG130" s="25" t="s">
        <v>55</v>
      </c>
      <c r="AH130" s="25" t="s">
        <v>55</v>
      </c>
      <c r="AI130" s="25" t="s">
        <v>55</v>
      </c>
      <c r="AJ130" s="25" t="s">
        <v>55</v>
      </c>
      <c r="AK130" s="25" t="s">
        <v>55</v>
      </c>
      <c r="AL130" s="25" t="s">
        <v>55</v>
      </c>
      <c r="AM130" s="25" t="s">
        <v>55</v>
      </c>
      <c r="AN130" s="25" t="s">
        <v>55</v>
      </c>
      <c r="AO130" s="25" t="s">
        <v>55</v>
      </c>
      <c r="AP130" s="25" t="s">
        <v>55</v>
      </c>
      <c r="AQ130" s="25" t="s">
        <v>55</v>
      </c>
      <c r="AR130" s="25" t="s">
        <v>55</v>
      </c>
      <c r="AS130" s="25" t="s">
        <v>55</v>
      </c>
      <c r="AT130" s="25" t="s">
        <v>55</v>
      </c>
      <c r="AU130" s="25" t="s">
        <v>55</v>
      </c>
      <c r="AV130" s="25" t="s">
        <v>55</v>
      </c>
      <c r="AW130" s="25" t="s">
        <v>55</v>
      </c>
      <c r="AX130" s="25" t="s">
        <v>55</v>
      </c>
      <c r="AY130" s="25" t="s">
        <v>1063</v>
      </c>
      <c r="AZ130" s="20">
        <f t="shared" si="5"/>
        <v>-9</v>
      </c>
      <c r="BA130" s="17" t="e">
        <f t="shared" si="6"/>
        <v>#N/A</v>
      </c>
      <c r="BB130" s="21" t="s">
        <v>335</v>
      </c>
    </row>
    <row r="131" spans="1:54" x14ac:dyDescent="0.35">
      <c r="A131" s="25" t="s">
        <v>1115</v>
      </c>
      <c r="B131" s="25" t="s">
        <v>347</v>
      </c>
      <c r="C131" s="25" t="s">
        <v>116</v>
      </c>
      <c r="D131" s="25" t="s">
        <v>465</v>
      </c>
      <c r="E131" s="25" t="s">
        <v>52</v>
      </c>
      <c r="F131" s="25" t="s">
        <v>1116</v>
      </c>
      <c r="G131" s="25" t="s">
        <v>94</v>
      </c>
      <c r="H131" s="25" t="s">
        <v>1117</v>
      </c>
      <c r="I131" s="25" t="s">
        <v>121</v>
      </c>
      <c r="J131" s="25" t="s">
        <v>1118</v>
      </c>
      <c r="K131" s="25" t="s">
        <v>1119</v>
      </c>
      <c r="L131" s="25" t="s">
        <v>55</v>
      </c>
      <c r="M131" s="25" t="s">
        <v>1120</v>
      </c>
      <c r="N131" s="25" t="s">
        <v>55</v>
      </c>
      <c r="O131" s="25" t="s">
        <v>1121</v>
      </c>
      <c r="P131" s="25" t="s">
        <v>1122</v>
      </c>
      <c r="Q131" s="25" t="s">
        <v>1123</v>
      </c>
      <c r="R131" s="25" t="s">
        <v>55</v>
      </c>
      <c r="S131" s="25" t="s">
        <v>55</v>
      </c>
      <c r="T131" s="25" t="s">
        <v>1124</v>
      </c>
      <c r="U131" s="25" t="s">
        <v>63</v>
      </c>
      <c r="V131" s="26">
        <v>45961</v>
      </c>
      <c r="W131" s="25" t="s">
        <v>55</v>
      </c>
      <c r="X131" s="25" t="s">
        <v>1125</v>
      </c>
      <c r="Y131" s="25" t="s">
        <v>65</v>
      </c>
      <c r="Z131" s="25" t="s">
        <v>55</v>
      </c>
      <c r="AA131" s="25" t="s">
        <v>66</v>
      </c>
      <c r="AB131" s="25" t="s">
        <v>55</v>
      </c>
      <c r="AC131" s="25" t="s">
        <v>55</v>
      </c>
      <c r="AD131" s="25" t="s">
        <v>118</v>
      </c>
      <c r="AE131" s="25" t="s">
        <v>97</v>
      </c>
      <c r="AF131" s="25" t="s">
        <v>1126</v>
      </c>
      <c r="AG131" s="25" t="s">
        <v>55</v>
      </c>
      <c r="AH131" s="25" t="s">
        <v>55</v>
      </c>
      <c r="AI131" s="25" t="s">
        <v>55</v>
      </c>
      <c r="AJ131" s="25" t="s">
        <v>55</v>
      </c>
      <c r="AK131" s="25" t="s">
        <v>55</v>
      </c>
      <c r="AL131" s="25" t="s">
        <v>55</v>
      </c>
      <c r="AM131" s="25" t="s">
        <v>55</v>
      </c>
      <c r="AN131" s="25" t="s">
        <v>55</v>
      </c>
      <c r="AO131" s="25" t="s">
        <v>55</v>
      </c>
      <c r="AP131" s="25" t="s">
        <v>55</v>
      </c>
      <c r="AQ131" s="25" t="s">
        <v>55</v>
      </c>
      <c r="AR131" s="25" t="s">
        <v>55</v>
      </c>
      <c r="AS131" s="25" t="s">
        <v>55</v>
      </c>
      <c r="AT131" s="25" t="s">
        <v>55</v>
      </c>
      <c r="AU131" s="25" t="s">
        <v>55</v>
      </c>
      <c r="AV131" s="25" t="s">
        <v>55</v>
      </c>
      <c r="AW131" s="25" t="s">
        <v>55</v>
      </c>
      <c r="AX131" s="25" t="s">
        <v>55</v>
      </c>
      <c r="AY131" s="25" t="s">
        <v>1063</v>
      </c>
      <c r="AZ131" s="20">
        <f t="shared" si="5"/>
        <v>21</v>
      </c>
      <c r="BA131" s="17" t="str">
        <f t="shared" si="6"/>
        <v>&lt; 3 months</v>
      </c>
      <c r="BB131" s="21" t="s">
        <v>66</v>
      </c>
    </row>
    <row r="132" spans="1:54" x14ac:dyDescent="0.35">
      <c r="A132" s="25" t="s">
        <v>1127</v>
      </c>
      <c r="B132" s="25" t="s">
        <v>347</v>
      </c>
      <c r="C132" s="25" t="s">
        <v>116</v>
      </c>
      <c r="D132" s="25" t="s">
        <v>465</v>
      </c>
      <c r="E132" s="25" t="s">
        <v>52</v>
      </c>
      <c r="F132" s="25" t="s">
        <v>1128</v>
      </c>
      <c r="G132" s="25" t="s">
        <v>606</v>
      </c>
      <c r="H132" s="25" t="s">
        <v>607</v>
      </c>
      <c r="I132" s="25" t="s">
        <v>117</v>
      </c>
      <c r="J132" s="25" t="s">
        <v>819</v>
      </c>
      <c r="K132" s="25" t="s">
        <v>868</v>
      </c>
      <c r="L132" s="25" t="s">
        <v>55</v>
      </c>
      <c r="M132" s="25" t="s">
        <v>577</v>
      </c>
      <c r="N132" s="25" t="s">
        <v>55</v>
      </c>
      <c r="O132" s="25" t="s">
        <v>1129</v>
      </c>
      <c r="P132" s="25" t="s">
        <v>988</v>
      </c>
      <c r="Q132" s="25" t="s">
        <v>1130</v>
      </c>
      <c r="R132" s="25" t="s">
        <v>55</v>
      </c>
      <c r="S132" s="25" t="s">
        <v>55</v>
      </c>
      <c r="T132" s="25" t="s">
        <v>1131</v>
      </c>
      <c r="U132" s="25" t="s">
        <v>63</v>
      </c>
      <c r="V132" s="26">
        <v>46022</v>
      </c>
      <c r="W132" s="25" t="s">
        <v>55</v>
      </c>
      <c r="X132" s="25" t="s">
        <v>1132</v>
      </c>
      <c r="Y132" s="25" t="s">
        <v>65</v>
      </c>
      <c r="Z132" s="25" t="s">
        <v>55</v>
      </c>
      <c r="AA132" s="25" t="s">
        <v>221</v>
      </c>
      <c r="AB132" s="25" t="s">
        <v>55</v>
      </c>
      <c r="AC132" s="25" t="s">
        <v>55</v>
      </c>
      <c r="AD132" s="25" t="s">
        <v>118</v>
      </c>
      <c r="AE132" s="25" t="s">
        <v>97</v>
      </c>
      <c r="AF132" s="25" t="s">
        <v>583</v>
      </c>
      <c r="AG132" s="25" t="s">
        <v>55</v>
      </c>
      <c r="AH132" s="25" t="s">
        <v>55</v>
      </c>
      <c r="AI132" s="25" t="s">
        <v>55</v>
      </c>
      <c r="AJ132" s="25" t="s">
        <v>55</v>
      </c>
      <c r="AK132" s="25" t="s">
        <v>55</v>
      </c>
      <c r="AL132" s="25" t="s">
        <v>55</v>
      </c>
      <c r="AM132" s="25" t="s">
        <v>55</v>
      </c>
      <c r="AN132" s="25" t="s">
        <v>55</v>
      </c>
      <c r="AO132" s="25" t="s">
        <v>55</v>
      </c>
      <c r="AP132" s="25" t="s">
        <v>55</v>
      </c>
      <c r="AQ132" s="25" t="s">
        <v>55</v>
      </c>
      <c r="AR132" s="25" t="s">
        <v>55</v>
      </c>
      <c r="AS132" s="25" t="s">
        <v>55</v>
      </c>
      <c r="AT132" s="25" t="s">
        <v>55</v>
      </c>
      <c r="AU132" s="25" t="s">
        <v>55</v>
      </c>
      <c r="AV132" s="25" t="s">
        <v>55</v>
      </c>
      <c r="AW132" s="25" t="s">
        <v>55</v>
      </c>
      <c r="AX132" s="25" t="s">
        <v>55</v>
      </c>
      <c r="AY132" s="25" t="s">
        <v>1133</v>
      </c>
      <c r="AZ132" s="20">
        <f t="shared" si="5"/>
        <v>-40</v>
      </c>
      <c r="BA132" s="17" t="e">
        <f t="shared" si="6"/>
        <v>#N/A</v>
      </c>
      <c r="BB132" s="21" t="s">
        <v>335</v>
      </c>
    </row>
    <row r="133" spans="1:54" x14ac:dyDescent="0.35">
      <c r="A133" s="25" t="s">
        <v>1134</v>
      </c>
      <c r="B133" s="25" t="s">
        <v>347</v>
      </c>
      <c r="C133" s="25" t="s">
        <v>116</v>
      </c>
      <c r="D133" s="25" t="s">
        <v>465</v>
      </c>
      <c r="E133" s="25" t="s">
        <v>52</v>
      </c>
      <c r="F133" s="25" t="s">
        <v>1128</v>
      </c>
      <c r="G133" s="25" t="s">
        <v>606</v>
      </c>
      <c r="H133" s="25" t="s">
        <v>607</v>
      </c>
      <c r="I133" s="25" t="s">
        <v>117</v>
      </c>
      <c r="J133" s="25" t="s">
        <v>1023</v>
      </c>
      <c r="K133" s="25" t="s">
        <v>868</v>
      </c>
      <c r="L133" s="25" t="s">
        <v>55</v>
      </c>
      <c r="M133" s="25" t="s">
        <v>1024</v>
      </c>
      <c r="N133" s="25" t="s">
        <v>55</v>
      </c>
      <c r="O133" s="25" t="s">
        <v>1129</v>
      </c>
      <c r="P133" s="25" t="s">
        <v>988</v>
      </c>
      <c r="Q133" s="25" t="s">
        <v>1130</v>
      </c>
      <c r="R133" s="25" t="s">
        <v>55</v>
      </c>
      <c r="S133" s="25" t="s">
        <v>55</v>
      </c>
      <c r="T133" s="25" t="s">
        <v>1131</v>
      </c>
      <c r="U133" s="25" t="s">
        <v>63</v>
      </c>
      <c r="V133" s="26">
        <v>46022</v>
      </c>
      <c r="W133" s="25" t="s">
        <v>55</v>
      </c>
      <c r="X133" s="25" t="s">
        <v>1132</v>
      </c>
      <c r="Y133" s="25" t="s">
        <v>65</v>
      </c>
      <c r="Z133" s="25" t="s">
        <v>55</v>
      </c>
      <c r="AA133" s="25" t="s">
        <v>221</v>
      </c>
      <c r="AB133" s="25" t="s">
        <v>55</v>
      </c>
      <c r="AC133" s="25" t="s">
        <v>55</v>
      </c>
      <c r="AD133" s="25" t="s">
        <v>118</v>
      </c>
      <c r="AE133" s="25" t="s">
        <v>97</v>
      </c>
      <c r="AF133" s="25" t="s">
        <v>1025</v>
      </c>
      <c r="AG133" s="25" t="s">
        <v>55</v>
      </c>
      <c r="AH133" s="25" t="s">
        <v>55</v>
      </c>
      <c r="AI133" s="25" t="s">
        <v>55</v>
      </c>
      <c r="AJ133" s="25" t="s">
        <v>55</v>
      </c>
      <c r="AK133" s="25" t="s">
        <v>55</v>
      </c>
      <c r="AL133" s="25" t="s">
        <v>55</v>
      </c>
      <c r="AM133" s="25" t="s">
        <v>55</v>
      </c>
      <c r="AN133" s="25" t="s">
        <v>55</v>
      </c>
      <c r="AO133" s="25" t="s">
        <v>55</v>
      </c>
      <c r="AP133" s="25" t="s">
        <v>55</v>
      </c>
      <c r="AQ133" s="25" t="s">
        <v>55</v>
      </c>
      <c r="AR133" s="25" t="s">
        <v>55</v>
      </c>
      <c r="AS133" s="25" t="s">
        <v>55</v>
      </c>
      <c r="AT133" s="25" t="s">
        <v>55</v>
      </c>
      <c r="AU133" s="25" t="s">
        <v>55</v>
      </c>
      <c r="AV133" s="25" t="s">
        <v>55</v>
      </c>
      <c r="AW133" s="25" t="s">
        <v>55</v>
      </c>
      <c r="AX133" s="25" t="s">
        <v>55</v>
      </c>
      <c r="AY133" s="25" t="s">
        <v>1133</v>
      </c>
      <c r="AZ133" s="20">
        <f t="shared" si="5"/>
        <v>-40</v>
      </c>
      <c r="BA133" s="17" t="e">
        <f t="shared" si="6"/>
        <v>#N/A</v>
      </c>
      <c r="BB133" s="21" t="s">
        <v>335</v>
      </c>
    </row>
    <row r="134" spans="1:54" x14ac:dyDescent="0.35">
      <c r="A134" s="25" t="s">
        <v>1135</v>
      </c>
      <c r="B134" s="25" t="s">
        <v>347</v>
      </c>
      <c r="C134" s="25" t="s">
        <v>116</v>
      </c>
      <c r="D134" s="25" t="s">
        <v>465</v>
      </c>
      <c r="E134" s="25" t="s">
        <v>52</v>
      </c>
      <c r="F134" s="25" t="s">
        <v>1136</v>
      </c>
      <c r="G134" s="25" t="s">
        <v>126</v>
      </c>
      <c r="H134" s="25" t="s">
        <v>1137</v>
      </c>
      <c r="I134" s="25" t="s">
        <v>117</v>
      </c>
      <c r="J134" s="25" t="s">
        <v>842</v>
      </c>
      <c r="K134" s="25" t="s">
        <v>868</v>
      </c>
      <c r="L134" s="25" t="s">
        <v>55</v>
      </c>
      <c r="M134" s="25" t="s">
        <v>1106</v>
      </c>
      <c r="N134" s="25" t="s">
        <v>55</v>
      </c>
      <c r="O134" s="25" t="s">
        <v>1138</v>
      </c>
      <c r="P134" s="25" t="s">
        <v>1139</v>
      </c>
      <c r="Q134" s="25" t="s">
        <v>1140</v>
      </c>
      <c r="R134" s="25" t="s">
        <v>55</v>
      </c>
      <c r="S134" s="25" t="s">
        <v>55</v>
      </c>
      <c r="T134" s="25" t="s">
        <v>1141</v>
      </c>
      <c r="U134" s="25" t="s">
        <v>63</v>
      </c>
      <c r="V134" s="26">
        <v>45961</v>
      </c>
      <c r="W134" s="25" t="s">
        <v>55</v>
      </c>
      <c r="X134" s="25" t="s">
        <v>1142</v>
      </c>
      <c r="Y134" s="25" t="s">
        <v>65</v>
      </c>
      <c r="Z134" s="25" t="s">
        <v>55</v>
      </c>
      <c r="AA134" s="25" t="s">
        <v>66</v>
      </c>
      <c r="AB134" s="25" t="s">
        <v>55</v>
      </c>
      <c r="AC134" s="25" t="s">
        <v>55</v>
      </c>
      <c r="AD134" s="25" t="s">
        <v>118</v>
      </c>
      <c r="AE134" s="25" t="s">
        <v>97</v>
      </c>
      <c r="AF134" s="25" t="s">
        <v>1111</v>
      </c>
      <c r="AG134" s="25" t="s">
        <v>55</v>
      </c>
      <c r="AH134" s="25" t="s">
        <v>55</v>
      </c>
      <c r="AI134" s="25" t="s">
        <v>55</v>
      </c>
      <c r="AJ134" s="25" t="s">
        <v>55</v>
      </c>
      <c r="AK134" s="25" t="s">
        <v>55</v>
      </c>
      <c r="AL134" s="25" t="s">
        <v>55</v>
      </c>
      <c r="AM134" s="25" t="s">
        <v>55</v>
      </c>
      <c r="AN134" s="25" t="s">
        <v>55</v>
      </c>
      <c r="AO134" s="25" t="s">
        <v>55</v>
      </c>
      <c r="AP134" s="25" t="s">
        <v>55</v>
      </c>
      <c r="AQ134" s="25" t="s">
        <v>55</v>
      </c>
      <c r="AR134" s="25" t="s">
        <v>55</v>
      </c>
      <c r="AS134" s="25" t="s">
        <v>55</v>
      </c>
      <c r="AT134" s="25" t="s">
        <v>55</v>
      </c>
      <c r="AU134" s="25" t="s">
        <v>55</v>
      </c>
      <c r="AV134" s="25" t="s">
        <v>55</v>
      </c>
      <c r="AW134" s="25" t="s">
        <v>55</v>
      </c>
      <c r="AX134" s="25" t="s">
        <v>55</v>
      </c>
      <c r="AY134" s="25" t="s">
        <v>1133</v>
      </c>
      <c r="AZ134" s="20">
        <f t="shared" si="5"/>
        <v>21</v>
      </c>
      <c r="BA134" s="17" t="str">
        <f t="shared" si="6"/>
        <v>&lt; 3 months</v>
      </c>
      <c r="BB134" s="21" t="s">
        <v>66</v>
      </c>
    </row>
    <row r="135" spans="1:54" x14ac:dyDescent="0.35">
      <c r="A135" s="25" t="s">
        <v>1143</v>
      </c>
      <c r="B135" s="25" t="s">
        <v>347</v>
      </c>
      <c r="C135" s="25" t="s">
        <v>116</v>
      </c>
      <c r="D135" s="25" t="s">
        <v>465</v>
      </c>
      <c r="E135" s="25" t="s">
        <v>52</v>
      </c>
      <c r="F135" s="25" t="s">
        <v>1136</v>
      </c>
      <c r="G135" s="25" t="s">
        <v>126</v>
      </c>
      <c r="H135" s="25" t="s">
        <v>1137</v>
      </c>
      <c r="I135" s="25" t="s">
        <v>117</v>
      </c>
      <c r="J135" s="25" t="s">
        <v>842</v>
      </c>
      <c r="K135" s="25" t="s">
        <v>868</v>
      </c>
      <c r="L135" s="25" t="s">
        <v>55</v>
      </c>
      <c r="M135" s="25" t="s">
        <v>703</v>
      </c>
      <c r="N135" s="25" t="s">
        <v>55</v>
      </c>
      <c r="O135" s="25" t="s">
        <v>1138</v>
      </c>
      <c r="P135" s="25" t="s">
        <v>988</v>
      </c>
      <c r="Q135" s="25" t="s">
        <v>1144</v>
      </c>
      <c r="R135" s="25" t="s">
        <v>55</v>
      </c>
      <c r="S135" s="25" t="s">
        <v>55</v>
      </c>
      <c r="T135" s="25" t="s">
        <v>1145</v>
      </c>
      <c r="U135" s="25" t="s">
        <v>132</v>
      </c>
      <c r="V135" s="26">
        <v>45961</v>
      </c>
      <c r="W135" s="25" t="s">
        <v>55</v>
      </c>
      <c r="X135" s="25" t="s">
        <v>1142</v>
      </c>
      <c r="Y135" s="25" t="s">
        <v>65</v>
      </c>
      <c r="Z135" s="25" t="s">
        <v>55</v>
      </c>
      <c r="AA135" s="25" t="s">
        <v>66</v>
      </c>
      <c r="AB135" s="25" t="s">
        <v>55</v>
      </c>
      <c r="AC135" s="25" t="s">
        <v>55</v>
      </c>
      <c r="AD135" s="25" t="s">
        <v>118</v>
      </c>
      <c r="AE135" s="25" t="s">
        <v>97</v>
      </c>
      <c r="AF135" s="25" t="s">
        <v>98</v>
      </c>
      <c r="AG135" s="25" t="s">
        <v>55</v>
      </c>
      <c r="AH135" s="25" t="s">
        <v>55</v>
      </c>
      <c r="AI135" s="25" t="s">
        <v>55</v>
      </c>
      <c r="AJ135" s="25" t="s">
        <v>55</v>
      </c>
      <c r="AK135" s="25" t="s">
        <v>55</v>
      </c>
      <c r="AL135" s="25" t="s">
        <v>55</v>
      </c>
      <c r="AM135" s="25" t="s">
        <v>55</v>
      </c>
      <c r="AN135" s="25" t="s">
        <v>55</v>
      </c>
      <c r="AO135" s="25" t="s">
        <v>55</v>
      </c>
      <c r="AP135" s="25" t="s">
        <v>55</v>
      </c>
      <c r="AQ135" s="25" t="s">
        <v>55</v>
      </c>
      <c r="AR135" s="25" t="s">
        <v>55</v>
      </c>
      <c r="AS135" s="25" t="s">
        <v>55</v>
      </c>
      <c r="AT135" s="25" t="s">
        <v>55</v>
      </c>
      <c r="AU135" s="25" t="s">
        <v>55</v>
      </c>
      <c r="AV135" s="25" t="s">
        <v>55</v>
      </c>
      <c r="AW135" s="25" t="s">
        <v>55</v>
      </c>
      <c r="AX135" s="25" t="s">
        <v>55</v>
      </c>
      <c r="AY135" s="25" t="s">
        <v>1133</v>
      </c>
      <c r="AZ135" s="20">
        <f t="shared" si="5"/>
        <v>21</v>
      </c>
      <c r="BA135" s="17" t="str">
        <f t="shared" si="6"/>
        <v>&lt; 3 months</v>
      </c>
      <c r="BB135" s="21" t="s">
        <v>66</v>
      </c>
    </row>
    <row r="136" spans="1:54" x14ac:dyDescent="0.35">
      <c r="A136" s="25" t="s">
        <v>1146</v>
      </c>
      <c r="B136" s="25" t="s">
        <v>347</v>
      </c>
      <c r="C136" s="25" t="s">
        <v>116</v>
      </c>
      <c r="D136" s="25" t="s">
        <v>465</v>
      </c>
      <c r="E136" s="25" t="s">
        <v>52</v>
      </c>
      <c r="F136" s="25" t="s">
        <v>1147</v>
      </c>
      <c r="G136" s="25" t="s">
        <v>54</v>
      </c>
      <c r="H136" s="25" t="s">
        <v>1713</v>
      </c>
      <c r="I136" s="25" t="s">
        <v>803</v>
      </c>
      <c r="J136" s="25" t="s">
        <v>812</v>
      </c>
      <c r="K136" s="25" t="s">
        <v>544</v>
      </c>
      <c r="L136" s="25" t="s">
        <v>55</v>
      </c>
      <c r="M136" s="25" t="s">
        <v>813</v>
      </c>
      <c r="N136" s="25" t="s">
        <v>55</v>
      </c>
      <c r="O136" s="25" t="s">
        <v>1148</v>
      </c>
      <c r="P136" s="25" t="s">
        <v>1149</v>
      </c>
      <c r="Q136" s="25" t="s">
        <v>1150</v>
      </c>
      <c r="R136" s="25" t="s">
        <v>55</v>
      </c>
      <c r="S136" s="25" t="s">
        <v>55</v>
      </c>
      <c r="T136" s="25" t="s">
        <v>1151</v>
      </c>
      <c r="U136" s="25" t="s">
        <v>63</v>
      </c>
      <c r="V136" s="26">
        <v>45991</v>
      </c>
      <c r="W136" s="25" t="s">
        <v>55</v>
      </c>
      <c r="X136" s="25" t="s">
        <v>1152</v>
      </c>
      <c r="Y136" s="25" t="s">
        <v>65</v>
      </c>
      <c r="Z136" s="25" t="s">
        <v>55</v>
      </c>
      <c r="AA136" s="25" t="s">
        <v>152</v>
      </c>
      <c r="AB136" s="25" t="s">
        <v>55</v>
      </c>
      <c r="AC136" s="25" t="s">
        <v>55</v>
      </c>
      <c r="AD136" s="25" t="s">
        <v>118</v>
      </c>
      <c r="AE136" s="25" t="s">
        <v>97</v>
      </c>
      <c r="AF136" s="25" t="s">
        <v>814</v>
      </c>
      <c r="AG136" s="25" t="s">
        <v>55</v>
      </c>
      <c r="AH136" s="25" t="s">
        <v>55</v>
      </c>
      <c r="AI136" s="25" t="s">
        <v>55</v>
      </c>
      <c r="AJ136" s="25" t="s">
        <v>55</v>
      </c>
      <c r="AK136" s="25" t="s">
        <v>55</v>
      </c>
      <c r="AL136" s="25" t="s">
        <v>55</v>
      </c>
      <c r="AM136" s="25" t="s">
        <v>55</v>
      </c>
      <c r="AN136" s="25" t="s">
        <v>55</v>
      </c>
      <c r="AO136" s="25" t="s">
        <v>55</v>
      </c>
      <c r="AP136" s="25" t="s">
        <v>55</v>
      </c>
      <c r="AQ136" s="25" t="s">
        <v>55</v>
      </c>
      <c r="AR136" s="25" t="s">
        <v>55</v>
      </c>
      <c r="AS136" s="25" t="s">
        <v>55</v>
      </c>
      <c r="AT136" s="25" t="s">
        <v>55</v>
      </c>
      <c r="AU136" s="25" t="s">
        <v>55</v>
      </c>
      <c r="AV136" s="25" t="s">
        <v>55</v>
      </c>
      <c r="AW136" s="25" t="s">
        <v>55</v>
      </c>
      <c r="AX136" s="25" t="s">
        <v>55</v>
      </c>
      <c r="AY136" s="25" t="s">
        <v>1133</v>
      </c>
      <c r="AZ136" s="20">
        <f t="shared" si="5"/>
        <v>-9</v>
      </c>
      <c r="BA136" s="17" t="e">
        <f t="shared" si="6"/>
        <v>#N/A</v>
      </c>
      <c r="BB136" s="21" t="s">
        <v>335</v>
      </c>
    </row>
    <row r="137" spans="1:54" x14ac:dyDescent="0.35">
      <c r="A137" s="25" t="s">
        <v>1153</v>
      </c>
      <c r="B137" s="25" t="s">
        <v>347</v>
      </c>
      <c r="C137" s="25" t="s">
        <v>116</v>
      </c>
      <c r="D137" s="25" t="s">
        <v>465</v>
      </c>
      <c r="E137" s="25" t="s">
        <v>52</v>
      </c>
      <c r="F137" s="25" t="s">
        <v>1147</v>
      </c>
      <c r="G137" s="25" t="s">
        <v>54</v>
      </c>
      <c r="H137" s="25" t="s">
        <v>1713</v>
      </c>
      <c r="I137" s="25" t="s">
        <v>803</v>
      </c>
      <c r="J137" s="25" t="s">
        <v>812</v>
      </c>
      <c r="K137" s="25" t="s">
        <v>868</v>
      </c>
      <c r="L137" s="25" t="s">
        <v>55</v>
      </c>
      <c r="M137" s="25" t="s">
        <v>476</v>
      </c>
      <c r="N137" s="25" t="s">
        <v>55</v>
      </c>
      <c r="O137" s="25" t="s">
        <v>1148</v>
      </c>
      <c r="P137" s="25" t="s">
        <v>1154</v>
      </c>
      <c r="Q137" s="25" t="s">
        <v>1155</v>
      </c>
      <c r="R137" s="25" t="s">
        <v>55</v>
      </c>
      <c r="S137" s="25" t="s">
        <v>55</v>
      </c>
      <c r="T137" s="25" t="s">
        <v>1151</v>
      </c>
      <c r="U137" s="25" t="s">
        <v>63</v>
      </c>
      <c r="V137" s="26">
        <v>45991</v>
      </c>
      <c r="W137" s="25" t="s">
        <v>55</v>
      </c>
      <c r="X137" s="25" t="s">
        <v>1152</v>
      </c>
      <c r="Y137" s="25" t="s">
        <v>65</v>
      </c>
      <c r="Z137" s="25" t="s">
        <v>55</v>
      </c>
      <c r="AA137" s="25" t="s">
        <v>152</v>
      </c>
      <c r="AB137" s="25" t="s">
        <v>55</v>
      </c>
      <c r="AC137" s="25" t="s">
        <v>55</v>
      </c>
      <c r="AD137" s="25" t="s">
        <v>118</v>
      </c>
      <c r="AE137" s="25" t="s">
        <v>97</v>
      </c>
      <c r="AF137" s="25" t="s">
        <v>477</v>
      </c>
      <c r="AG137" s="25" t="s">
        <v>55</v>
      </c>
      <c r="AH137" s="25" t="s">
        <v>55</v>
      </c>
      <c r="AI137" s="25" t="s">
        <v>55</v>
      </c>
      <c r="AJ137" s="25" t="s">
        <v>55</v>
      </c>
      <c r="AK137" s="25" t="s">
        <v>55</v>
      </c>
      <c r="AL137" s="25" t="s">
        <v>55</v>
      </c>
      <c r="AM137" s="25" t="s">
        <v>55</v>
      </c>
      <c r="AN137" s="25" t="s">
        <v>55</v>
      </c>
      <c r="AO137" s="25" t="s">
        <v>55</v>
      </c>
      <c r="AP137" s="25" t="s">
        <v>55</v>
      </c>
      <c r="AQ137" s="25" t="s">
        <v>55</v>
      </c>
      <c r="AR137" s="25" t="s">
        <v>55</v>
      </c>
      <c r="AS137" s="25" t="s">
        <v>55</v>
      </c>
      <c r="AT137" s="25" t="s">
        <v>55</v>
      </c>
      <c r="AU137" s="25" t="s">
        <v>55</v>
      </c>
      <c r="AV137" s="25" t="s">
        <v>55</v>
      </c>
      <c r="AW137" s="25" t="s">
        <v>55</v>
      </c>
      <c r="AX137" s="25" t="s">
        <v>55</v>
      </c>
      <c r="AY137" s="25" t="s">
        <v>1133</v>
      </c>
      <c r="AZ137" s="20">
        <f t="shared" si="5"/>
        <v>-9</v>
      </c>
      <c r="BA137" s="17" t="e">
        <f t="shared" si="6"/>
        <v>#N/A</v>
      </c>
      <c r="BB137" s="21" t="s">
        <v>335</v>
      </c>
    </row>
    <row r="138" spans="1:54" x14ac:dyDescent="0.35">
      <c r="A138" s="25" t="s">
        <v>1156</v>
      </c>
      <c r="B138" s="25" t="s">
        <v>347</v>
      </c>
      <c r="C138" s="25" t="s">
        <v>116</v>
      </c>
      <c r="D138" s="25" t="s">
        <v>465</v>
      </c>
      <c r="E138" s="25" t="s">
        <v>52</v>
      </c>
      <c r="F138" s="25" t="s">
        <v>1147</v>
      </c>
      <c r="G138" s="25" t="s">
        <v>54</v>
      </c>
      <c r="H138" s="25" t="s">
        <v>1713</v>
      </c>
      <c r="I138" s="25" t="s">
        <v>803</v>
      </c>
      <c r="J138" s="25" t="s">
        <v>815</v>
      </c>
      <c r="K138" s="25" t="s">
        <v>572</v>
      </c>
      <c r="L138" s="25" t="s">
        <v>55</v>
      </c>
      <c r="M138" s="25" t="s">
        <v>816</v>
      </c>
      <c r="N138" s="25" t="s">
        <v>55</v>
      </c>
      <c r="O138" s="25" t="s">
        <v>1148</v>
      </c>
      <c r="P138" s="25" t="s">
        <v>988</v>
      </c>
      <c r="Q138" s="25" t="s">
        <v>1157</v>
      </c>
      <c r="R138" s="25" t="s">
        <v>55</v>
      </c>
      <c r="S138" s="25" t="s">
        <v>55</v>
      </c>
      <c r="T138" s="25" t="s">
        <v>1151</v>
      </c>
      <c r="U138" s="25" t="s">
        <v>63</v>
      </c>
      <c r="V138" s="26">
        <v>45991</v>
      </c>
      <c r="W138" s="25" t="s">
        <v>55</v>
      </c>
      <c r="X138" s="25" t="s">
        <v>1152</v>
      </c>
      <c r="Y138" s="25" t="s">
        <v>65</v>
      </c>
      <c r="Z138" s="25" t="s">
        <v>55</v>
      </c>
      <c r="AA138" s="25" t="s">
        <v>152</v>
      </c>
      <c r="AB138" s="25" t="s">
        <v>55</v>
      </c>
      <c r="AC138" s="25" t="s">
        <v>55</v>
      </c>
      <c r="AD138" s="25" t="s">
        <v>118</v>
      </c>
      <c r="AE138" s="25" t="s">
        <v>97</v>
      </c>
      <c r="AF138" s="25" t="s">
        <v>69</v>
      </c>
      <c r="AG138" s="25" t="s">
        <v>55</v>
      </c>
      <c r="AH138" s="25" t="s">
        <v>55</v>
      </c>
      <c r="AI138" s="25" t="s">
        <v>55</v>
      </c>
      <c r="AJ138" s="25" t="s">
        <v>55</v>
      </c>
      <c r="AK138" s="25" t="s">
        <v>55</v>
      </c>
      <c r="AL138" s="25" t="s">
        <v>55</v>
      </c>
      <c r="AM138" s="25" t="s">
        <v>55</v>
      </c>
      <c r="AN138" s="25" t="s">
        <v>55</v>
      </c>
      <c r="AO138" s="25" t="s">
        <v>55</v>
      </c>
      <c r="AP138" s="25" t="s">
        <v>55</v>
      </c>
      <c r="AQ138" s="25" t="s">
        <v>55</v>
      </c>
      <c r="AR138" s="25" t="s">
        <v>55</v>
      </c>
      <c r="AS138" s="25" t="s">
        <v>55</v>
      </c>
      <c r="AT138" s="25" t="s">
        <v>55</v>
      </c>
      <c r="AU138" s="25" t="s">
        <v>55</v>
      </c>
      <c r="AV138" s="25" t="s">
        <v>55</v>
      </c>
      <c r="AW138" s="25" t="s">
        <v>55</v>
      </c>
      <c r="AX138" s="25" t="s">
        <v>55</v>
      </c>
      <c r="AY138" s="25" t="s">
        <v>1133</v>
      </c>
      <c r="AZ138" s="20">
        <f t="shared" si="5"/>
        <v>-9</v>
      </c>
      <c r="BA138" s="17" t="e">
        <f t="shared" si="6"/>
        <v>#N/A</v>
      </c>
      <c r="BB138" s="21" t="s">
        <v>335</v>
      </c>
    </row>
    <row r="139" spans="1:54" x14ac:dyDescent="0.35">
      <c r="A139" s="25" t="s">
        <v>1158</v>
      </c>
      <c r="B139" s="25" t="s">
        <v>347</v>
      </c>
      <c r="C139" s="25" t="s">
        <v>116</v>
      </c>
      <c r="D139" s="25" t="s">
        <v>465</v>
      </c>
      <c r="E139" s="25" t="s">
        <v>52</v>
      </c>
      <c r="F139" s="25" t="s">
        <v>1147</v>
      </c>
      <c r="G139" s="25" t="s">
        <v>54</v>
      </c>
      <c r="H139" s="25" t="s">
        <v>1713</v>
      </c>
      <c r="I139" s="25" t="s">
        <v>160</v>
      </c>
      <c r="J139" s="25" t="s">
        <v>1159</v>
      </c>
      <c r="K139" s="25" t="s">
        <v>558</v>
      </c>
      <c r="L139" s="25" t="s">
        <v>55</v>
      </c>
      <c r="M139" s="25" t="s">
        <v>1160</v>
      </c>
      <c r="N139" s="25" t="s">
        <v>55</v>
      </c>
      <c r="O139" s="25" t="s">
        <v>1148</v>
      </c>
      <c r="P139" s="25" t="s">
        <v>1161</v>
      </c>
      <c r="Q139" s="25" t="s">
        <v>1162</v>
      </c>
      <c r="R139" s="25" t="s">
        <v>55</v>
      </c>
      <c r="S139" s="25" t="s">
        <v>55</v>
      </c>
      <c r="T139" s="25" t="s">
        <v>1163</v>
      </c>
      <c r="U139" s="25" t="s">
        <v>63</v>
      </c>
      <c r="V139" s="26">
        <v>45961</v>
      </c>
      <c r="W139" s="25" t="s">
        <v>55</v>
      </c>
      <c r="X139" s="25" t="s">
        <v>1152</v>
      </c>
      <c r="Y139" s="25" t="s">
        <v>65</v>
      </c>
      <c r="Z139" s="25" t="s">
        <v>55</v>
      </c>
      <c r="AA139" s="25" t="s">
        <v>66</v>
      </c>
      <c r="AB139" s="25" t="s">
        <v>55</v>
      </c>
      <c r="AC139" s="25" t="s">
        <v>55</v>
      </c>
      <c r="AD139" s="25" t="s">
        <v>118</v>
      </c>
      <c r="AE139" s="25" t="s">
        <v>97</v>
      </c>
      <c r="AF139" s="25" t="s">
        <v>1164</v>
      </c>
      <c r="AG139" s="25" t="s">
        <v>55</v>
      </c>
      <c r="AH139" s="25" t="s">
        <v>55</v>
      </c>
      <c r="AI139" s="25" t="s">
        <v>55</v>
      </c>
      <c r="AJ139" s="25" t="s">
        <v>55</v>
      </c>
      <c r="AK139" s="25" t="s">
        <v>55</v>
      </c>
      <c r="AL139" s="25" t="s">
        <v>55</v>
      </c>
      <c r="AM139" s="25" t="s">
        <v>55</v>
      </c>
      <c r="AN139" s="25" t="s">
        <v>55</v>
      </c>
      <c r="AO139" s="25" t="s">
        <v>55</v>
      </c>
      <c r="AP139" s="25" t="s">
        <v>55</v>
      </c>
      <c r="AQ139" s="25" t="s">
        <v>55</v>
      </c>
      <c r="AR139" s="25" t="s">
        <v>55</v>
      </c>
      <c r="AS139" s="25" t="s">
        <v>55</v>
      </c>
      <c r="AT139" s="25" t="s">
        <v>55</v>
      </c>
      <c r="AU139" s="25" t="s">
        <v>55</v>
      </c>
      <c r="AV139" s="25" t="s">
        <v>55</v>
      </c>
      <c r="AW139" s="25" t="s">
        <v>55</v>
      </c>
      <c r="AX139" s="25" t="s">
        <v>55</v>
      </c>
      <c r="AY139" s="25" t="s">
        <v>1133</v>
      </c>
      <c r="AZ139" s="20">
        <f t="shared" si="5"/>
        <v>21</v>
      </c>
      <c r="BA139" s="17" t="str">
        <f t="shared" si="6"/>
        <v>&lt; 3 months</v>
      </c>
      <c r="BB139" s="21" t="s">
        <v>66</v>
      </c>
    </row>
    <row r="140" spans="1:54" x14ac:dyDescent="0.35">
      <c r="A140" s="25" t="s">
        <v>1165</v>
      </c>
      <c r="B140" s="25" t="s">
        <v>347</v>
      </c>
      <c r="C140" s="25" t="s">
        <v>116</v>
      </c>
      <c r="D140" s="25" t="s">
        <v>465</v>
      </c>
      <c r="E140" s="25" t="s">
        <v>52</v>
      </c>
      <c r="F140" s="25" t="s">
        <v>1147</v>
      </c>
      <c r="G140" s="25" t="s">
        <v>54</v>
      </c>
      <c r="H140" s="25" t="s">
        <v>1713</v>
      </c>
      <c r="I140" s="25" t="s">
        <v>160</v>
      </c>
      <c r="J140" s="25" t="s">
        <v>1159</v>
      </c>
      <c r="K140" s="25" t="s">
        <v>561</v>
      </c>
      <c r="L140" s="25" t="s">
        <v>55</v>
      </c>
      <c r="M140" s="25" t="s">
        <v>1166</v>
      </c>
      <c r="N140" s="25" t="s">
        <v>55</v>
      </c>
      <c r="O140" s="25" t="s">
        <v>1148</v>
      </c>
      <c r="P140" s="25" t="s">
        <v>1167</v>
      </c>
      <c r="Q140" s="25" t="s">
        <v>1168</v>
      </c>
      <c r="R140" s="25" t="s">
        <v>55</v>
      </c>
      <c r="S140" s="25" t="s">
        <v>55</v>
      </c>
      <c r="T140" s="25" t="s">
        <v>1169</v>
      </c>
      <c r="U140" s="25" t="s">
        <v>132</v>
      </c>
      <c r="V140" s="26">
        <v>45961</v>
      </c>
      <c r="W140" s="25" t="s">
        <v>55</v>
      </c>
      <c r="X140" s="25" t="s">
        <v>1170</v>
      </c>
      <c r="Y140" s="25" t="s">
        <v>65</v>
      </c>
      <c r="Z140" s="25" t="s">
        <v>55</v>
      </c>
      <c r="AA140" s="25" t="s">
        <v>66</v>
      </c>
      <c r="AB140" s="25" t="s">
        <v>55</v>
      </c>
      <c r="AC140" s="25" t="s">
        <v>55</v>
      </c>
      <c r="AD140" s="25" t="s">
        <v>118</v>
      </c>
      <c r="AE140" s="25" t="s">
        <v>97</v>
      </c>
      <c r="AF140" s="25" t="s">
        <v>391</v>
      </c>
      <c r="AG140" s="25" t="s">
        <v>55</v>
      </c>
      <c r="AH140" s="25" t="s">
        <v>55</v>
      </c>
      <c r="AI140" s="25" t="s">
        <v>55</v>
      </c>
      <c r="AJ140" s="25" t="s">
        <v>55</v>
      </c>
      <c r="AK140" s="25" t="s">
        <v>55</v>
      </c>
      <c r="AL140" s="25" t="s">
        <v>55</v>
      </c>
      <c r="AM140" s="25" t="s">
        <v>55</v>
      </c>
      <c r="AN140" s="25" t="s">
        <v>55</v>
      </c>
      <c r="AO140" s="25" t="s">
        <v>55</v>
      </c>
      <c r="AP140" s="25" t="s">
        <v>55</v>
      </c>
      <c r="AQ140" s="25" t="s">
        <v>55</v>
      </c>
      <c r="AR140" s="25" t="s">
        <v>55</v>
      </c>
      <c r="AS140" s="25" t="s">
        <v>55</v>
      </c>
      <c r="AT140" s="25" t="s">
        <v>55</v>
      </c>
      <c r="AU140" s="25" t="s">
        <v>55</v>
      </c>
      <c r="AV140" s="25" t="s">
        <v>55</v>
      </c>
      <c r="AW140" s="25" t="s">
        <v>55</v>
      </c>
      <c r="AX140" s="25" t="s">
        <v>55</v>
      </c>
      <c r="AY140" s="25" t="s">
        <v>1133</v>
      </c>
      <c r="AZ140" s="20">
        <f t="shared" si="5"/>
        <v>21</v>
      </c>
      <c r="BA140" s="17" t="str">
        <f t="shared" si="6"/>
        <v>&lt; 3 months</v>
      </c>
      <c r="BB140" s="21" t="s">
        <v>66</v>
      </c>
    </row>
    <row r="141" spans="1:54" x14ac:dyDescent="0.35">
      <c r="A141" s="25" t="s">
        <v>1171</v>
      </c>
      <c r="B141" s="25" t="s">
        <v>347</v>
      </c>
      <c r="C141" s="25" t="s">
        <v>116</v>
      </c>
      <c r="D141" s="25" t="s">
        <v>465</v>
      </c>
      <c r="E141" s="25" t="s">
        <v>52</v>
      </c>
      <c r="F141" s="25" t="s">
        <v>1147</v>
      </c>
      <c r="G141" s="25" t="s">
        <v>54</v>
      </c>
      <c r="H141" s="25" t="s">
        <v>1713</v>
      </c>
      <c r="I141" s="25" t="s">
        <v>121</v>
      </c>
      <c r="J141" s="25" t="s">
        <v>223</v>
      </c>
      <c r="K141" s="25" t="s">
        <v>564</v>
      </c>
      <c r="L141" s="25" t="s">
        <v>55</v>
      </c>
      <c r="M141" s="25" t="s">
        <v>154</v>
      </c>
      <c r="N141" s="25" t="s">
        <v>55</v>
      </c>
      <c r="O141" s="25" t="s">
        <v>1148</v>
      </c>
      <c r="P141" s="25" t="s">
        <v>1172</v>
      </c>
      <c r="Q141" s="25" t="s">
        <v>1173</v>
      </c>
      <c r="R141" s="25" t="s">
        <v>55</v>
      </c>
      <c r="S141" s="25" t="s">
        <v>55</v>
      </c>
      <c r="T141" s="25" t="s">
        <v>1174</v>
      </c>
      <c r="U141" s="25" t="s">
        <v>63</v>
      </c>
      <c r="V141" s="26">
        <v>45991</v>
      </c>
      <c r="W141" s="25" t="s">
        <v>55</v>
      </c>
      <c r="X141" s="25" t="s">
        <v>1175</v>
      </c>
      <c r="Y141" s="25" t="s">
        <v>65</v>
      </c>
      <c r="Z141" s="25" t="s">
        <v>55</v>
      </c>
      <c r="AA141" s="25" t="s">
        <v>152</v>
      </c>
      <c r="AB141" s="25" t="s">
        <v>55</v>
      </c>
      <c r="AC141" s="25" t="s">
        <v>55</v>
      </c>
      <c r="AD141" s="25" t="s">
        <v>118</v>
      </c>
      <c r="AE141" s="25" t="s">
        <v>97</v>
      </c>
      <c r="AF141" s="25" t="s">
        <v>156</v>
      </c>
      <c r="AG141" s="25" t="s">
        <v>55</v>
      </c>
      <c r="AH141" s="25" t="s">
        <v>55</v>
      </c>
      <c r="AI141" s="25" t="s">
        <v>55</v>
      </c>
      <c r="AJ141" s="25" t="s">
        <v>55</v>
      </c>
      <c r="AK141" s="25" t="s">
        <v>55</v>
      </c>
      <c r="AL141" s="25" t="s">
        <v>55</v>
      </c>
      <c r="AM141" s="25" t="s">
        <v>55</v>
      </c>
      <c r="AN141" s="25" t="s">
        <v>55</v>
      </c>
      <c r="AO141" s="25" t="s">
        <v>55</v>
      </c>
      <c r="AP141" s="25" t="s">
        <v>55</v>
      </c>
      <c r="AQ141" s="25" t="s">
        <v>55</v>
      </c>
      <c r="AR141" s="25" t="s">
        <v>55</v>
      </c>
      <c r="AS141" s="25" t="s">
        <v>55</v>
      </c>
      <c r="AT141" s="25" t="s">
        <v>55</v>
      </c>
      <c r="AU141" s="25" t="s">
        <v>55</v>
      </c>
      <c r="AV141" s="25" t="s">
        <v>55</v>
      </c>
      <c r="AW141" s="25" t="s">
        <v>55</v>
      </c>
      <c r="AX141" s="25" t="s">
        <v>55</v>
      </c>
      <c r="AY141" s="25" t="s">
        <v>1133</v>
      </c>
      <c r="AZ141" s="20">
        <f t="shared" si="5"/>
        <v>-9</v>
      </c>
      <c r="BA141" s="17" t="e">
        <f t="shared" si="6"/>
        <v>#N/A</v>
      </c>
      <c r="BB141" s="21" t="s">
        <v>335</v>
      </c>
    </row>
    <row r="142" spans="1:54" x14ac:dyDescent="0.35">
      <c r="A142" s="25" t="s">
        <v>1176</v>
      </c>
      <c r="B142" s="25" t="s">
        <v>347</v>
      </c>
      <c r="C142" s="25" t="s">
        <v>116</v>
      </c>
      <c r="D142" s="25" t="s">
        <v>465</v>
      </c>
      <c r="E142" s="25" t="s">
        <v>52</v>
      </c>
      <c r="F142" s="25" t="s">
        <v>1147</v>
      </c>
      <c r="G142" s="25" t="s">
        <v>54</v>
      </c>
      <c r="H142" s="25" t="s">
        <v>1713</v>
      </c>
      <c r="I142" s="25" t="s">
        <v>121</v>
      </c>
      <c r="J142" s="25" t="s">
        <v>562</v>
      </c>
      <c r="K142" s="25" t="s">
        <v>558</v>
      </c>
      <c r="L142" s="25" t="s">
        <v>55</v>
      </c>
      <c r="M142" s="25" t="s">
        <v>96</v>
      </c>
      <c r="N142" s="25" t="s">
        <v>55</v>
      </c>
      <c r="O142" s="25" t="s">
        <v>1148</v>
      </c>
      <c r="P142" s="25" t="s">
        <v>1177</v>
      </c>
      <c r="Q142" s="25" t="s">
        <v>1178</v>
      </c>
      <c r="R142" s="25" t="s">
        <v>55</v>
      </c>
      <c r="S142" s="25" t="s">
        <v>55</v>
      </c>
      <c r="T142" s="25" t="s">
        <v>1179</v>
      </c>
      <c r="U142" s="25" t="s">
        <v>63</v>
      </c>
      <c r="V142" s="26">
        <v>45991</v>
      </c>
      <c r="W142" s="25" t="s">
        <v>55</v>
      </c>
      <c r="X142" s="25" t="s">
        <v>1180</v>
      </c>
      <c r="Y142" s="25" t="s">
        <v>65</v>
      </c>
      <c r="Z142" s="25" t="s">
        <v>55</v>
      </c>
      <c r="AA142" s="25" t="s">
        <v>152</v>
      </c>
      <c r="AB142" s="25" t="s">
        <v>55</v>
      </c>
      <c r="AC142" s="25" t="s">
        <v>55</v>
      </c>
      <c r="AD142" s="25" t="s">
        <v>118</v>
      </c>
      <c r="AE142" s="25" t="s">
        <v>97</v>
      </c>
      <c r="AF142" s="25" t="s">
        <v>98</v>
      </c>
      <c r="AG142" s="25" t="s">
        <v>55</v>
      </c>
      <c r="AH142" s="25" t="s">
        <v>55</v>
      </c>
      <c r="AI142" s="25" t="s">
        <v>55</v>
      </c>
      <c r="AJ142" s="25" t="s">
        <v>55</v>
      </c>
      <c r="AK142" s="25" t="s">
        <v>55</v>
      </c>
      <c r="AL142" s="25" t="s">
        <v>55</v>
      </c>
      <c r="AM142" s="25" t="s">
        <v>55</v>
      </c>
      <c r="AN142" s="25" t="s">
        <v>55</v>
      </c>
      <c r="AO142" s="25" t="s">
        <v>55</v>
      </c>
      <c r="AP142" s="25" t="s">
        <v>55</v>
      </c>
      <c r="AQ142" s="25" t="s">
        <v>55</v>
      </c>
      <c r="AR142" s="25" t="s">
        <v>55</v>
      </c>
      <c r="AS142" s="25" t="s">
        <v>55</v>
      </c>
      <c r="AT142" s="25" t="s">
        <v>55</v>
      </c>
      <c r="AU142" s="25" t="s">
        <v>55</v>
      </c>
      <c r="AV142" s="25" t="s">
        <v>55</v>
      </c>
      <c r="AW142" s="25" t="s">
        <v>55</v>
      </c>
      <c r="AX142" s="25" t="s">
        <v>55</v>
      </c>
      <c r="AY142" s="25" t="s">
        <v>1133</v>
      </c>
      <c r="AZ142" s="20">
        <f t="shared" si="5"/>
        <v>-9</v>
      </c>
      <c r="BA142" s="17" t="e">
        <f t="shared" si="6"/>
        <v>#N/A</v>
      </c>
      <c r="BB142" s="21" t="s">
        <v>335</v>
      </c>
    </row>
    <row r="143" spans="1:54" x14ac:dyDescent="0.35">
      <c r="A143" s="25" t="s">
        <v>1181</v>
      </c>
      <c r="B143" s="25" t="s">
        <v>347</v>
      </c>
      <c r="C143" s="25" t="s">
        <v>116</v>
      </c>
      <c r="D143" s="25" t="s">
        <v>465</v>
      </c>
      <c r="E143" s="25" t="s">
        <v>52</v>
      </c>
      <c r="F143" s="25" t="s">
        <v>1147</v>
      </c>
      <c r="G143" s="25" t="s">
        <v>54</v>
      </c>
      <c r="H143" s="25" t="s">
        <v>1713</v>
      </c>
      <c r="I143" s="25" t="s">
        <v>121</v>
      </c>
      <c r="J143" s="25" t="s">
        <v>562</v>
      </c>
      <c r="K143" s="25" t="s">
        <v>558</v>
      </c>
      <c r="L143" s="25" t="s">
        <v>55</v>
      </c>
      <c r="M143" s="25" t="s">
        <v>1182</v>
      </c>
      <c r="N143" s="25" t="s">
        <v>55</v>
      </c>
      <c r="O143" s="25" t="s">
        <v>1148</v>
      </c>
      <c r="P143" s="25" t="s">
        <v>1183</v>
      </c>
      <c r="Q143" s="25" t="s">
        <v>1184</v>
      </c>
      <c r="R143" s="25" t="s">
        <v>55</v>
      </c>
      <c r="S143" s="25" t="s">
        <v>55</v>
      </c>
      <c r="T143" s="25" t="s">
        <v>1185</v>
      </c>
      <c r="U143" s="25" t="s">
        <v>63</v>
      </c>
      <c r="V143" s="26">
        <v>45991</v>
      </c>
      <c r="W143" s="25" t="s">
        <v>55</v>
      </c>
      <c r="X143" s="25" t="s">
        <v>1180</v>
      </c>
      <c r="Y143" s="25" t="s">
        <v>65</v>
      </c>
      <c r="Z143" s="25" t="s">
        <v>55</v>
      </c>
      <c r="AA143" s="25" t="s">
        <v>152</v>
      </c>
      <c r="AB143" s="25" t="s">
        <v>55</v>
      </c>
      <c r="AC143" s="25" t="s">
        <v>55</v>
      </c>
      <c r="AD143" s="25" t="s">
        <v>118</v>
      </c>
      <c r="AE143" s="25" t="s">
        <v>97</v>
      </c>
      <c r="AF143" s="25" t="s">
        <v>98</v>
      </c>
      <c r="AG143" s="25" t="s">
        <v>55</v>
      </c>
      <c r="AH143" s="25" t="s">
        <v>55</v>
      </c>
      <c r="AI143" s="25" t="s">
        <v>55</v>
      </c>
      <c r="AJ143" s="25" t="s">
        <v>55</v>
      </c>
      <c r="AK143" s="25" t="s">
        <v>55</v>
      </c>
      <c r="AL143" s="25" t="s">
        <v>55</v>
      </c>
      <c r="AM143" s="25" t="s">
        <v>55</v>
      </c>
      <c r="AN143" s="25" t="s">
        <v>55</v>
      </c>
      <c r="AO143" s="25" t="s">
        <v>55</v>
      </c>
      <c r="AP143" s="25" t="s">
        <v>55</v>
      </c>
      <c r="AQ143" s="25" t="s">
        <v>55</v>
      </c>
      <c r="AR143" s="25" t="s">
        <v>55</v>
      </c>
      <c r="AS143" s="25" t="s">
        <v>55</v>
      </c>
      <c r="AT143" s="25" t="s">
        <v>55</v>
      </c>
      <c r="AU143" s="25" t="s">
        <v>55</v>
      </c>
      <c r="AV143" s="25" t="s">
        <v>55</v>
      </c>
      <c r="AW143" s="25" t="s">
        <v>55</v>
      </c>
      <c r="AX143" s="25" t="s">
        <v>55</v>
      </c>
      <c r="AY143" s="25" t="s">
        <v>1133</v>
      </c>
      <c r="AZ143" s="20">
        <f t="shared" si="5"/>
        <v>-9</v>
      </c>
      <c r="BA143" s="17" t="e">
        <f t="shared" si="6"/>
        <v>#N/A</v>
      </c>
      <c r="BB143" s="21" t="s">
        <v>335</v>
      </c>
    </row>
    <row r="144" spans="1:54" x14ac:dyDescent="0.35">
      <c r="A144" s="25" t="s">
        <v>1186</v>
      </c>
      <c r="B144" s="25" t="s">
        <v>347</v>
      </c>
      <c r="C144" s="25" t="s">
        <v>116</v>
      </c>
      <c r="D144" s="25" t="s">
        <v>465</v>
      </c>
      <c r="E144" s="25" t="s">
        <v>52</v>
      </c>
      <c r="F144" s="25" t="s">
        <v>1147</v>
      </c>
      <c r="G144" s="25" t="s">
        <v>54</v>
      </c>
      <c r="H144" s="25" t="s">
        <v>1713</v>
      </c>
      <c r="I144" s="25" t="s">
        <v>121</v>
      </c>
      <c r="J144" s="25" t="s">
        <v>562</v>
      </c>
      <c r="K144" s="25" t="s">
        <v>559</v>
      </c>
      <c r="L144" s="25" t="s">
        <v>55</v>
      </c>
      <c r="M144" s="25" t="s">
        <v>1187</v>
      </c>
      <c r="N144" s="25" t="s">
        <v>55</v>
      </c>
      <c r="O144" s="25" t="s">
        <v>1148</v>
      </c>
      <c r="P144" s="25" t="s">
        <v>1188</v>
      </c>
      <c r="Q144" s="25" t="s">
        <v>1189</v>
      </c>
      <c r="R144" s="25" t="s">
        <v>55</v>
      </c>
      <c r="S144" s="25" t="s">
        <v>55</v>
      </c>
      <c r="T144" s="25" t="s">
        <v>1179</v>
      </c>
      <c r="U144" s="25" t="s">
        <v>63</v>
      </c>
      <c r="V144" s="26">
        <v>45960</v>
      </c>
      <c r="W144" s="25" t="s">
        <v>55</v>
      </c>
      <c r="X144" s="25" t="s">
        <v>1180</v>
      </c>
      <c r="Y144" s="25" t="s">
        <v>65</v>
      </c>
      <c r="Z144" s="25" t="s">
        <v>55</v>
      </c>
      <c r="AA144" s="25" t="s">
        <v>66</v>
      </c>
      <c r="AB144" s="25" t="s">
        <v>55</v>
      </c>
      <c r="AC144" s="25" t="s">
        <v>55</v>
      </c>
      <c r="AD144" s="25" t="s">
        <v>118</v>
      </c>
      <c r="AE144" s="25" t="s">
        <v>97</v>
      </c>
      <c r="AF144" s="25" t="s">
        <v>98</v>
      </c>
      <c r="AG144" s="25" t="s">
        <v>55</v>
      </c>
      <c r="AH144" s="25" t="s">
        <v>55</v>
      </c>
      <c r="AI144" s="25" t="s">
        <v>55</v>
      </c>
      <c r="AJ144" s="25" t="s">
        <v>55</v>
      </c>
      <c r="AK144" s="25" t="s">
        <v>55</v>
      </c>
      <c r="AL144" s="25" t="s">
        <v>55</v>
      </c>
      <c r="AM144" s="25" t="s">
        <v>55</v>
      </c>
      <c r="AN144" s="25" t="s">
        <v>55</v>
      </c>
      <c r="AO144" s="25" t="s">
        <v>55</v>
      </c>
      <c r="AP144" s="25" t="s">
        <v>55</v>
      </c>
      <c r="AQ144" s="25" t="s">
        <v>55</v>
      </c>
      <c r="AR144" s="25" t="s">
        <v>55</v>
      </c>
      <c r="AS144" s="25" t="s">
        <v>55</v>
      </c>
      <c r="AT144" s="25" t="s">
        <v>55</v>
      </c>
      <c r="AU144" s="25" t="s">
        <v>55</v>
      </c>
      <c r="AV144" s="25" t="s">
        <v>55</v>
      </c>
      <c r="AW144" s="25" t="s">
        <v>55</v>
      </c>
      <c r="AX144" s="25" t="s">
        <v>55</v>
      </c>
      <c r="AY144" s="25" t="s">
        <v>1133</v>
      </c>
      <c r="AZ144" s="20">
        <f t="shared" si="5"/>
        <v>22</v>
      </c>
      <c r="BA144" s="17" t="str">
        <f t="shared" si="6"/>
        <v>&lt; 3 months</v>
      </c>
      <c r="BB144" s="21" t="s">
        <v>66</v>
      </c>
    </row>
    <row r="145" spans="1:54" x14ac:dyDescent="0.35">
      <c r="A145" s="25" t="s">
        <v>1190</v>
      </c>
      <c r="B145" s="25" t="s">
        <v>347</v>
      </c>
      <c r="C145" s="25" t="s">
        <v>116</v>
      </c>
      <c r="D145" s="25" t="s">
        <v>465</v>
      </c>
      <c r="E145" s="25" t="s">
        <v>52</v>
      </c>
      <c r="F145" s="25" t="s">
        <v>1147</v>
      </c>
      <c r="G145" s="25" t="s">
        <v>54</v>
      </c>
      <c r="H145" s="25" t="s">
        <v>1713</v>
      </c>
      <c r="I145" s="25" t="s">
        <v>121</v>
      </c>
      <c r="J145" s="25" t="s">
        <v>562</v>
      </c>
      <c r="K145" s="25" t="s">
        <v>565</v>
      </c>
      <c r="L145" s="25" t="s">
        <v>55</v>
      </c>
      <c r="M145" s="25" t="s">
        <v>1191</v>
      </c>
      <c r="N145" s="25" t="s">
        <v>55</v>
      </c>
      <c r="O145" s="25" t="s">
        <v>1148</v>
      </c>
      <c r="P145" s="25" t="s">
        <v>1192</v>
      </c>
      <c r="Q145" s="25" t="s">
        <v>1193</v>
      </c>
      <c r="R145" s="25" t="s">
        <v>55</v>
      </c>
      <c r="S145" s="25" t="s">
        <v>55</v>
      </c>
      <c r="T145" s="25" t="s">
        <v>1194</v>
      </c>
      <c r="U145" s="25" t="s">
        <v>63</v>
      </c>
      <c r="V145" s="26">
        <v>46022</v>
      </c>
      <c r="W145" s="25" t="s">
        <v>55</v>
      </c>
      <c r="X145" s="25" t="s">
        <v>1195</v>
      </c>
      <c r="Y145" s="25" t="s">
        <v>65</v>
      </c>
      <c r="Z145" s="25" t="s">
        <v>55</v>
      </c>
      <c r="AA145" s="25" t="s">
        <v>221</v>
      </c>
      <c r="AB145" s="25" t="s">
        <v>55</v>
      </c>
      <c r="AC145" s="25" t="s">
        <v>55</v>
      </c>
      <c r="AD145" s="25" t="s">
        <v>118</v>
      </c>
      <c r="AE145" s="25" t="s">
        <v>97</v>
      </c>
      <c r="AF145" s="25" t="s">
        <v>98</v>
      </c>
      <c r="AG145" s="25" t="s">
        <v>55</v>
      </c>
      <c r="AH145" s="25" t="s">
        <v>55</v>
      </c>
      <c r="AI145" s="25" t="s">
        <v>55</v>
      </c>
      <c r="AJ145" s="25" t="s">
        <v>55</v>
      </c>
      <c r="AK145" s="25" t="s">
        <v>55</v>
      </c>
      <c r="AL145" s="25" t="s">
        <v>55</v>
      </c>
      <c r="AM145" s="25" t="s">
        <v>55</v>
      </c>
      <c r="AN145" s="25" t="s">
        <v>55</v>
      </c>
      <c r="AO145" s="25" t="s">
        <v>55</v>
      </c>
      <c r="AP145" s="25" t="s">
        <v>55</v>
      </c>
      <c r="AQ145" s="25" t="s">
        <v>55</v>
      </c>
      <c r="AR145" s="25" t="s">
        <v>55</v>
      </c>
      <c r="AS145" s="25" t="s">
        <v>55</v>
      </c>
      <c r="AT145" s="25" t="s">
        <v>55</v>
      </c>
      <c r="AU145" s="25" t="s">
        <v>55</v>
      </c>
      <c r="AV145" s="25" t="s">
        <v>55</v>
      </c>
      <c r="AW145" s="25" t="s">
        <v>55</v>
      </c>
      <c r="AX145" s="25" t="s">
        <v>55</v>
      </c>
      <c r="AY145" s="25" t="s">
        <v>1133</v>
      </c>
      <c r="AZ145" s="20">
        <f t="shared" si="5"/>
        <v>-40</v>
      </c>
      <c r="BA145" s="17" t="e">
        <f t="shared" si="6"/>
        <v>#N/A</v>
      </c>
      <c r="BB145" s="21" t="s">
        <v>335</v>
      </c>
    </row>
    <row r="146" spans="1:54" x14ac:dyDescent="0.35">
      <c r="A146" s="25" t="s">
        <v>1196</v>
      </c>
      <c r="B146" s="25" t="s">
        <v>347</v>
      </c>
      <c r="C146" s="25" t="s">
        <v>116</v>
      </c>
      <c r="D146" s="25" t="s">
        <v>465</v>
      </c>
      <c r="E146" s="25" t="s">
        <v>52</v>
      </c>
      <c r="F146" s="25" t="s">
        <v>1147</v>
      </c>
      <c r="G146" s="25" t="s">
        <v>54</v>
      </c>
      <c r="H146" s="25" t="s">
        <v>1713</v>
      </c>
      <c r="I146" s="25" t="s">
        <v>121</v>
      </c>
      <c r="J146" s="25" t="s">
        <v>1118</v>
      </c>
      <c r="K146" s="25" t="s">
        <v>1197</v>
      </c>
      <c r="L146" s="25" t="s">
        <v>55</v>
      </c>
      <c r="M146" s="25" t="s">
        <v>1198</v>
      </c>
      <c r="N146" s="25" t="s">
        <v>55</v>
      </c>
      <c r="O146" s="25" t="s">
        <v>1148</v>
      </c>
      <c r="P146" s="25" t="s">
        <v>1199</v>
      </c>
      <c r="Q146" s="25" t="s">
        <v>1200</v>
      </c>
      <c r="R146" s="25" t="s">
        <v>55</v>
      </c>
      <c r="S146" s="25" t="s">
        <v>55</v>
      </c>
      <c r="T146" s="25" t="s">
        <v>1201</v>
      </c>
      <c r="U146" s="25" t="s">
        <v>63</v>
      </c>
      <c r="V146" s="26">
        <v>45961</v>
      </c>
      <c r="W146" s="25" t="s">
        <v>55</v>
      </c>
      <c r="X146" s="25" t="s">
        <v>1202</v>
      </c>
      <c r="Y146" s="25" t="s">
        <v>65</v>
      </c>
      <c r="Z146" s="25" t="s">
        <v>55</v>
      </c>
      <c r="AA146" s="25" t="s">
        <v>66</v>
      </c>
      <c r="AB146" s="25" t="s">
        <v>55</v>
      </c>
      <c r="AC146" s="25" t="s">
        <v>55</v>
      </c>
      <c r="AD146" s="25" t="s">
        <v>118</v>
      </c>
      <c r="AE146" s="25" t="s">
        <v>97</v>
      </c>
      <c r="AF146" s="25" t="s">
        <v>1203</v>
      </c>
      <c r="AG146" s="25" t="s">
        <v>55</v>
      </c>
      <c r="AH146" s="25" t="s">
        <v>55</v>
      </c>
      <c r="AI146" s="25" t="s">
        <v>55</v>
      </c>
      <c r="AJ146" s="25" t="s">
        <v>55</v>
      </c>
      <c r="AK146" s="25" t="s">
        <v>55</v>
      </c>
      <c r="AL146" s="25" t="s">
        <v>55</v>
      </c>
      <c r="AM146" s="25" t="s">
        <v>55</v>
      </c>
      <c r="AN146" s="25" t="s">
        <v>55</v>
      </c>
      <c r="AO146" s="25" t="s">
        <v>55</v>
      </c>
      <c r="AP146" s="25" t="s">
        <v>55</v>
      </c>
      <c r="AQ146" s="25" t="s">
        <v>55</v>
      </c>
      <c r="AR146" s="25" t="s">
        <v>55</v>
      </c>
      <c r="AS146" s="25" t="s">
        <v>55</v>
      </c>
      <c r="AT146" s="25" t="s">
        <v>55</v>
      </c>
      <c r="AU146" s="25" t="s">
        <v>55</v>
      </c>
      <c r="AV146" s="25" t="s">
        <v>55</v>
      </c>
      <c r="AW146" s="25" t="s">
        <v>55</v>
      </c>
      <c r="AX146" s="25" t="s">
        <v>55</v>
      </c>
      <c r="AY146" s="25" t="s">
        <v>1133</v>
      </c>
      <c r="AZ146" s="20">
        <f t="shared" si="5"/>
        <v>21</v>
      </c>
      <c r="BA146" s="17" t="str">
        <f t="shared" si="6"/>
        <v>&lt; 3 months</v>
      </c>
      <c r="BB146" s="21" t="s">
        <v>66</v>
      </c>
    </row>
    <row r="147" spans="1:54" x14ac:dyDescent="0.35">
      <c r="A147" s="25" t="s">
        <v>1204</v>
      </c>
      <c r="B147" s="25" t="s">
        <v>347</v>
      </c>
      <c r="C147" s="25" t="s">
        <v>116</v>
      </c>
      <c r="D147" s="25" t="s">
        <v>465</v>
      </c>
      <c r="E147" s="25" t="s">
        <v>52</v>
      </c>
      <c r="F147" s="25" t="s">
        <v>1147</v>
      </c>
      <c r="G147" s="25" t="s">
        <v>54</v>
      </c>
      <c r="H147" s="25" t="s">
        <v>1713</v>
      </c>
      <c r="I147" s="25" t="s">
        <v>121</v>
      </c>
      <c r="J147" s="25" t="s">
        <v>223</v>
      </c>
      <c r="K147" s="25" t="s">
        <v>565</v>
      </c>
      <c r="L147" s="25" t="s">
        <v>55</v>
      </c>
      <c r="M147" s="25" t="s">
        <v>1205</v>
      </c>
      <c r="N147" s="25" t="s">
        <v>55</v>
      </c>
      <c r="O147" s="25" t="s">
        <v>1148</v>
      </c>
      <c r="P147" s="25" t="s">
        <v>1172</v>
      </c>
      <c r="Q147" s="25" t="s">
        <v>1206</v>
      </c>
      <c r="R147" s="25" t="s">
        <v>55</v>
      </c>
      <c r="S147" s="25" t="s">
        <v>55</v>
      </c>
      <c r="T147" s="25" t="s">
        <v>1207</v>
      </c>
      <c r="U147" s="25" t="s">
        <v>63</v>
      </c>
      <c r="V147" s="26">
        <v>45991</v>
      </c>
      <c r="W147" s="25" t="s">
        <v>55</v>
      </c>
      <c r="X147" s="25" t="s">
        <v>1202</v>
      </c>
      <c r="Y147" s="25" t="s">
        <v>65</v>
      </c>
      <c r="Z147" s="25" t="s">
        <v>55</v>
      </c>
      <c r="AA147" s="25" t="s">
        <v>152</v>
      </c>
      <c r="AB147" s="25" t="s">
        <v>55</v>
      </c>
      <c r="AC147" s="25" t="s">
        <v>55</v>
      </c>
      <c r="AD147" s="25" t="s">
        <v>118</v>
      </c>
      <c r="AE147" s="25" t="s">
        <v>97</v>
      </c>
      <c r="AF147" s="25" t="s">
        <v>123</v>
      </c>
      <c r="AG147" s="25" t="s">
        <v>55</v>
      </c>
      <c r="AH147" s="25" t="s">
        <v>55</v>
      </c>
      <c r="AI147" s="25" t="s">
        <v>55</v>
      </c>
      <c r="AJ147" s="25" t="s">
        <v>55</v>
      </c>
      <c r="AK147" s="25" t="s">
        <v>55</v>
      </c>
      <c r="AL147" s="25" t="s">
        <v>55</v>
      </c>
      <c r="AM147" s="25" t="s">
        <v>55</v>
      </c>
      <c r="AN147" s="25" t="s">
        <v>55</v>
      </c>
      <c r="AO147" s="25" t="s">
        <v>55</v>
      </c>
      <c r="AP147" s="25" t="s">
        <v>55</v>
      </c>
      <c r="AQ147" s="25" t="s">
        <v>55</v>
      </c>
      <c r="AR147" s="25" t="s">
        <v>55</v>
      </c>
      <c r="AS147" s="25" t="s">
        <v>55</v>
      </c>
      <c r="AT147" s="25" t="s">
        <v>55</v>
      </c>
      <c r="AU147" s="25" t="s">
        <v>55</v>
      </c>
      <c r="AV147" s="25" t="s">
        <v>55</v>
      </c>
      <c r="AW147" s="25" t="s">
        <v>55</v>
      </c>
      <c r="AX147" s="25" t="s">
        <v>55</v>
      </c>
      <c r="AY147" s="25" t="s">
        <v>1133</v>
      </c>
      <c r="AZ147" s="20">
        <f t="shared" si="5"/>
        <v>-9</v>
      </c>
      <c r="BA147" s="17" t="e">
        <f t="shared" si="6"/>
        <v>#N/A</v>
      </c>
      <c r="BB147" s="21" t="s">
        <v>335</v>
      </c>
    </row>
    <row r="148" spans="1:54" x14ac:dyDescent="0.35">
      <c r="A148" s="25" t="s">
        <v>1208</v>
      </c>
      <c r="B148" s="25" t="s">
        <v>347</v>
      </c>
      <c r="C148" s="25" t="s">
        <v>116</v>
      </c>
      <c r="D148" s="25" t="s">
        <v>465</v>
      </c>
      <c r="E148" s="25" t="s">
        <v>52</v>
      </c>
      <c r="F148" s="25" t="s">
        <v>1147</v>
      </c>
      <c r="G148" s="25" t="s">
        <v>54</v>
      </c>
      <c r="H148" s="25" t="s">
        <v>1713</v>
      </c>
      <c r="I148" s="25" t="s">
        <v>121</v>
      </c>
      <c r="J148" s="25" t="s">
        <v>223</v>
      </c>
      <c r="K148" s="25" t="s">
        <v>565</v>
      </c>
      <c r="L148" s="25" t="s">
        <v>55</v>
      </c>
      <c r="M148" s="25" t="s">
        <v>1209</v>
      </c>
      <c r="N148" s="25" t="s">
        <v>55</v>
      </c>
      <c r="O148" s="25" t="s">
        <v>1148</v>
      </c>
      <c r="P148" s="25" t="s">
        <v>1172</v>
      </c>
      <c r="Q148" s="25" t="s">
        <v>1210</v>
      </c>
      <c r="R148" s="25" t="s">
        <v>55</v>
      </c>
      <c r="S148" s="25" t="s">
        <v>55</v>
      </c>
      <c r="T148" s="25" t="s">
        <v>1207</v>
      </c>
      <c r="U148" s="25" t="s">
        <v>63</v>
      </c>
      <c r="V148" s="26">
        <v>45991</v>
      </c>
      <c r="W148" s="25" t="s">
        <v>55</v>
      </c>
      <c r="X148" s="25" t="s">
        <v>1202</v>
      </c>
      <c r="Y148" s="25" t="s">
        <v>65</v>
      </c>
      <c r="Z148" s="25" t="s">
        <v>55</v>
      </c>
      <c r="AA148" s="25" t="s">
        <v>152</v>
      </c>
      <c r="AB148" s="25" t="s">
        <v>55</v>
      </c>
      <c r="AC148" s="25" t="s">
        <v>55</v>
      </c>
      <c r="AD148" s="25" t="s">
        <v>118</v>
      </c>
      <c r="AE148" s="25" t="s">
        <v>97</v>
      </c>
      <c r="AF148" s="25" t="s">
        <v>123</v>
      </c>
      <c r="AG148" s="25" t="s">
        <v>55</v>
      </c>
      <c r="AH148" s="25" t="s">
        <v>55</v>
      </c>
      <c r="AI148" s="25" t="s">
        <v>55</v>
      </c>
      <c r="AJ148" s="25" t="s">
        <v>55</v>
      </c>
      <c r="AK148" s="25" t="s">
        <v>55</v>
      </c>
      <c r="AL148" s="25" t="s">
        <v>55</v>
      </c>
      <c r="AM148" s="25" t="s">
        <v>55</v>
      </c>
      <c r="AN148" s="25" t="s">
        <v>55</v>
      </c>
      <c r="AO148" s="25" t="s">
        <v>55</v>
      </c>
      <c r="AP148" s="25" t="s">
        <v>55</v>
      </c>
      <c r="AQ148" s="25" t="s">
        <v>55</v>
      </c>
      <c r="AR148" s="25" t="s">
        <v>55</v>
      </c>
      <c r="AS148" s="25" t="s">
        <v>55</v>
      </c>
      <c r="AT148" s="25" t="s">
        <v>55</v>
      </c>
      <c r="AU148" s="25" t="s">
        <v>55</v>
      </c>
      <c r="AV148" s="25" t="s">
        <v>55</v>
      </c>
      <c r="AW148" s="25" t="s">
        <v>55</v>
      </c>
      <c r="AX148" s="25" t="s">
        <v>55</v>
      </c>
      <c r="AY148" s="25" t="s">
        <v>1133</v>
      </c>
      <c r="AZ148" s="20">
        <f t="shared" si="5"/>
        <v>-9</v>
      </c>
      <c r="BA148" s="17" t="e">
        <f t="shared" si="6"/>
        <v>#N/A</v>
      </c>
      <c r="BB148" s="21" t="s">
        <v>335</v>
      </c>
    </row>
    <row r="149" spans="1:54" x14ac:dyDescent="0.35">
      <c r="A149" s="25" t="s">
        <v>1211</v>
      </c>
      <c r="B149" s="25" t="s">
        <v>347</v>
      </c>
      <c r="C149" s="25" t="s">
        <v>116</v>
      </c>
      <c r="D149" s="25" t="s">
        <v>465</v>
      </c>
      <c r="E149" s="25" t="s">
        <v>52</v>
      </c>
      <c r="F149" s="25" t="s">
        <v>1147</v>
      </c>
      <c r="G149" s="25" t="s">
        <v>54</v>
      </c>
      <c r="H149" s="25" t="s">
        <v>1713</v>
      </c>
      <c r="I149" s="25" t="s">
        <v>121</v>
      </c>
      <c r="J149" s="25" t="s">
        <v>223</v>
      </c>
      <c r="K149" s="25" t="s">
        <v>1212</v>
      </c>
      <c r="L149" s="25" t="s">
        <v>55</v>
      </c>
      <c r="M149" s="25" t="s">
        <v>1213</v>
      </c>
      <c r="N149" s="25" t="s">
        <v>55</v>
      </c>
      <c r="O149" s="25" t="s">
        <v>1148</v>
      </c>
      <c r="P149" s="25" t="s">
        <v>1214</v>
      </c>
      <c r="Q149" s="25" t="s">
        <v>1215</v>
      </c>
      <c r="R149" s="25" t="s">
        <v>55</v>
      </c>
      <c r="S149" s="25" t="s">
        <v>55</v>
      </c>
      <c r="T149" s="25" t="s">
        <v>1185</v>
      </c>
      <c r="U149" s="25" t="s">
        <v>63</v>
      </c>
      <c r="V149" s="26">
        <v>45991</v>
      </c>
      <c r="W149" s="25" t="s">
        <v>55</v>
      </c>
      <c r="X149" s="25" t="s">
        <v>1202</v>
      </c>
      <c r="Y149" s="25" t="s">
        <v>65</v>
      </c>
      <c r="Z149" s="25" t="s">
        <v>55</v>
      </c>
      <c r="AA149" s="25" t="s">
        <v>152</v>
      </c>
      <c r="AB149" s="25" t="s">
        <v>55</v>
      </c>
      <c r="AC149" s="25" t="s">
        <v>55</v>
      </c>
      <c r="AD149" s="25" t="s">
        <v>118</v>
      </c>
      <c r="AE149" s="25" t="s">
        <v>97</v>
      </c>
      <c r="AF149" s="25" t="s">
        <v>100</v>
      </c>
      <c r="AG149" s="25" t="s">
        <v>55</v>
      </c>
      <c r="AH149" s="25" t="s">
        <v>55</v>
      </c>
      <c r="AI149" s="25" t="s">
        <v>55</v>
      </c>
      <c r="AJ149" s="25" t="s">
        <v>55</v>
      </c>
      <c r="AK149" s="25" t="s">
        <v>55</v>
      </c>
      <c r="AL149" s="25" t="s">
        <v>55</v>
      </c>
      <c r="AM149" s="25" t="s">
        <v>55</v>
      </c>
      <c r="AN149" s="25" t="s">
        <v>55</v>
      </c>
      <c r="AO149" s="25" t="s">
        <v>55</v>
      </c>
      <c r="AP149" s="25" t="s">
        <v>55</v>
      </c>
      <c r="AQ149" s="25" t="s">
        <v>55</v>
      </c>
      <c r="AR149" s="25" t="s">
        <v>55</v>
      </c>
      <c r="AS149" s="25" t="s">
        <v>55</v>
      </c>
      <c r="AT149" s="25" t="s">
        <v>55</v>
      </c>
      <c r="AU149" s="25" t="s">
        <v>55</v>
      </c>
      <c r="AV149" s="25" t="s">
        <v>55</v>
      </c>
      <c r="AW149" s="25" t="s">
        <v>55</v>
      </c>
      <c r="AX149" s="25" t="s">
        <v>55</v>
      </c>
      <c r="AY149" s="25" t="s">
        <v>1133</v>
      </c>
      <c r="AZ149" s="20">
        <f t="shared" si="5"/>
        <v>-9</v>
      </c>
      <c r="BA149" s="17" t="e">
        <f t="shared" si="6"/>
        <v>#N/A</v>
      </c>
      <c r="BB149" s="21" t="s">
        <v>335</v>
      </c>
    </row>
    <row r="150" spans="1:54" x14ac:dyDescent="0.35">
      <c r="A150" s="25" t="s">
        <v>1216</v>
      </c>
      <c r="B150" s="25" t="s">
        <v>347</v>
      </c>
      <c r="C150" s="25" t="s">
        <v>116</v>
      </c>
      <c r="D150" s="25" t="s">
        <v>465</v>
      </c>
      <c r="E150" s="25" t="s">
        <v>52</v>
      </c>
      <c r="F150" s="25" t="s">
        <v>1147</v>
      </c>
      <c r="G150" s="25" t="s">
        <v>54</v>
      </c>
      <c r="H150" s="25" t="s">
        <v>1713</v>
      </c>
      <c r="I150" s="25" t="s">
        <v>121</v>
      </c>
      <c r="J150" s="25" t="s">
        <v>223</v>
      </c>
      <c r="K150" s="25" t="s">
        <v>565</v>
      </c>
      <c r="L150" s="25" t="s">
        <v>55</v>
      </c>
      <c r="M150" s="25" t="s">
        <v>224</v>
      </c>
      <c r="N150" s="25" t="s">
        <v>55</v>
      </c>
      <c r="O150" s="25" t="s">
        <v>1148</v>
      </c>
      <c r="P150" s="25" t="s">
        <v>1172</v>
      </c>
      <c r="Q150" s="25" t="s">
        <v>1217</v>
      </c>
      <c r="R150" s="25" t="s">
        <v>55</v>
      </c>
      <c r="S150" s="25" t="s">
        <v>55</v>
      </c>
      <c r="T150" s="25" t="s">
        <v>1207</v>
      </c>
      <c r="U150" s="25" t="s">
        <v>63</v>
      </c>
      <c r="V150" s="26">
        <v>45991</v>
      </c>
      <c r="W150" s="25" t="s">
        <v>55</v>
      </c>
      <c r="X150" s="25" t="s">
        <v>1202</v>
      </c>
      <c r="Y150" s="25" t="s">
        <v>65</v>
      </c>
      <c r="Z150" s="25" t="s">
        <v>55</v>
      </c>
      <c r="AA150" s="25" t="s">
        <v>152</v>
      </c>
      <c r="AB150" s="25" t="s">
        <v>55</v>
      </c>
      <c r="AC150" s="25" t="s">
        <v>55</v>
      </c>
      <c r="AD150" s="25" t="s">
        <v>118</v>
      </c>
      <c r="AE150" s="25" t="s">
        <v>97</v>
      </c>
      <c r="AF150" s="25" t="s">
        <v>226</v>
      </c>
      <c r="AG150" s="25" t="s">
        <v>55</v>
      </c>
      <c r="AH150" s="25" t="s">
        <v>55</v>
      </c>
      <c r="AI150" s="25" t="s">
        <v>55</v>
      </c>
      <c r="AJ150" s="25" t="s">
        <v>55</v>
      </c>
      <c r="AK150" s="25" t="s">
        <v>55</v>
      </c>
      <c r="AL150" s="25" t="s">
        <v>55</v>
      </c>
      <c r="AM150" s="25" t="s">
        <v>55</v>
      </c>
      <c r="AN150" s="25" t="s">
        <v>55</v>
      </c>
      <c r="AO150" s="25" t="s">
        <v>55</v>
      </c>
      <c r="AP150" s="25" t="s">
        <v>55</v>
      </c>
      <c r="AQ150" s="25" t="s">
        <v>55</v>
      </c>
      <c r="AR150" s="25" t="s">
        <v>55</v>
      </c>
      <c r="AS150" s="25" t="s">
        <v>55</v>
      </c>
      <c r="AT150" s="25" t="s">
        <v>55</v>
      </c>
      <c r="AU150" s="25" t="s">
        <v>55</v>
      </c>
      <c r="AV150" s="25" t="s">
        <v>55</v>
      </c>
      <c r="AW150" s="25" t="s">
        <v>55</v>
      </c>
      <c r="AX150" s="25" t="s">
        <v>55</v>
      </c>
      <c r="AY150" s="25" t="s">
        <v>1133</v>
      </c>
      <c r="AZ150" s="20">
        <f t="shared" ref="AZ150:AZ213" si="7">$AZ$2-V150</f>
        <v>-9</v>
      </c>
      <c r="BA150" s="17" t="e">
        <f t="shared" ref="BA150:BA213" si="8">VLOOKUP(AZ150,$BE$2:$BF$7,2,TRUE)</f>
        <v>#N/A</v>
      </c>
      <c r="BB150" s="21" t="s">
        <v>335</v>
      </c>
    </row>
    <row r="151" spans="1:54" x14ac:dyDescent="0.35">
      <c r="A151" s="25" t="s">
        <v>1218</v>
      </c>
      <c r="B151" s="25" t="s">
        <v>347</v>
      </c>
      <c r="C151" s="25" t="s">
        <v>116</v>
      </c>
      <c r="D151" s="25" t="s">
        <v>465</v>
      </c>
      <c r="E151" s="25" t="s">
        <v>52</v>
      </c>
      <c r="F151" s="25" t="s">
        <v>1147</v>
      </c>
      <c r="G151" s="25" t="s">
        <v>54</v>
      </c>
      <c r="H151" s="25" t="s">
        <v>1713</v>
      </c>
      <c r="I151" s="25" t="s">
        <v>121</v>
      </c>
      <c r="J151" s="25" t="s">
        <v>223</v>
      </c>
      <c r="K151" s="25" t="s">
        <v>565</v>
      </c>
      <c r="L151" s="25" t="s">
        <v>55</v>
      </c>
      <c r="M151" s="25" t="s">
        <v>258</v>
      </c>
      <c r="N151" s="25" t="s">
        <v>55</v>
      </c>
      <c r="O151" s="25" t="s">
        <v>1148</v>
      </c>
      <c r="P151" s="25" t="s">
        <v>1172</v>
      </c>
      <c r="Q151" s="25" t="s">
        <v>1206</v>
      </c>
      <c r="R151" s="25" t="s">
        <v>55</v>
      </c>
      <c r="S151" s="25" t="s">
        <v>55</v>
      </c>
      <c r="T151" s="25" t="s">
        <v>1207</v>
      </c>
      <c r="U151" s="25" t="s">
        <v>63</v>
      </c>
      <c r="V151" s="26">
        <v>45991</v>
      </c>
      <c r="W151" s="25" t="s">
        <v>55</v>
      </c>
      <c r="X151" s="25" t="s">
        <v>1202</v>
      </c>
      <c r="Y151" s="25" t="s">
        <v>65</v>
      </c>
      <c r="Z151" s="25" t="s">
        <v>55</v>
      </c>
      <c r="AA151" s="25" t="s">
        <v>152</v>
      </c>
      <c r="AB151" s="25" t="s">
        <v>55</v>
      </c>
      <c r="AC151" s="25" t="s">
        <v>55</v>
      </c>
      <c r="AD151" s="25" t="s">
        <v>118</v>
      </c>
      <c r="AE151" s="25" t="s">
        <v>97</v>
      </c>
      <c r="AF151" s="25" t="s">
        <v>226</v>
      </c>
      <c r="AG151" s="25" t="s">
        <v>55</v>
      </c>
      <c r="AH151" s="25" t="s">
        <v>55</v>
      </c>
      <c r="AI151" s="25" t="s">
        <v>55</v>
      </c>
      <c r="AJ151" s="25" t="s">
        <v>55</v>
      </c>
      <c r="AK151" s="25" t="s">
        <v>55</v>
      </c>
      <c r="AL151" s="25" t="s">
        <v>55</v>
      </c>
      <c r="AM151" s="25" t="s">
        <v>55</v>
      </c>
      <c r="AN151" s="25" t="s">
        <v>55</v>
      </c>
      <c r="AO151" s="25" t="s">
        <v>55</v>
      </c>
      <c r="AP151" s="25" t="s">
        <v>55</v>
      </c>
      <c r="AQ151" s="25" t="s">
        <v>55</v>
      </c>
      <c r="AR151" s="25" t="s">
        <v>55</v>
      </c>
      <c r="AS151" s="25" t="s">
        <v>55</v>
      </c>
      <c r="AT151" s="25" t="s">
        <v>55</v>
      </c>
      <c r="AU151" s="25" t="s">
        <v>55</v>
      </c>
      <c r="AV151" s="25" t="s">
        <v>55</v>
      </c>
      <c r="AW151" s="25" t="s">
        <v>55</v>
      </c>
      <c r="AX151" s="25" t="s">
        <v>55</v>
      </c>
      <c r="AY151" s="25" t="s">
        <v>1133</v>
      </c>
      <c r="AZ151" s="20">
        <f t="shared" si="7"/>
        <v>-9</v>
      </c>
      <c r="BA151" s="17" t="e">
        <f t="shared" si="8"/>
        <v>#N/A</v>
      </c>
      <c r="BB151" s="21" t="s">
        <v>335</v>
      </c>
    </row>
    <row r="152" spans="1:54" x14ac:dyDescent="0.35">
      <c r="A152" s="25" t="s">
        <v>1219</v>
      </c>
      <c r="B152" s="25" t="s">
        <v>347</v>
      </c>
      <c r="C152" s="25" t="s">
        <v>116</v>
      </c>
      <c r="D152" s="25" t="s">
        <v>465</v>
      </c>
      <c r="E152" s="25" t="s">
        <v>52</v>
      </c>
      <c r="F152" s="25" t="s">
        <v>1220</v>
      </c>
      <c r="G152" s="25" t="s">
        <v>54</v>
      </c>
      <c r="H152" s="25" t="s">
        <v>1728</v>
      </c>
      <c r="I152" s="25" t="s">
        <v>121</v>
      </c>
      <c r="J152" s="25" t="s">
        <v>223</v>
      </c>
      <c r="K152" s="25" t="s">
        <v>564</v>
      </c>
      <c r="L152" s="25" t="s">
        <v>55</v>
      </c>
      <c r="M152" s="25" t="s">
        <v>154</v>
      </c>
      <c r="N152" s="25" t="s">
        <v>55</v>
      </c>
      <c r="O152" s="25" t="s">
        <v>1221</v>
      </c>
      <c r="P152" s="25" t="s">
        <v>1222</v>
      </c>
      <c r="Q152" s="25" t="s">
        <v>1223</v>
      </c>
      <c r="R152" s="25" t="s">
        <v>55</v>
      </c>
      <c r="S152" s="25" t="s">
        <v>55</v>
      </c>
      <c r="T152" s="25" t="s">
        <v>1224</v>
      </c>
      <c r="U152" s="25" t="s">
        <v>63</v>
      </c>
      <c r="V152" s="26">
        <v>45961</v>
      </c>
      <c r="W152" s="25" t="s">
        <v>55</v>
      </c>
      <c r="X152" s="25" t="s">
        <v>1225</v>
      </c>
      <c r="Y152" s="25" t="s">
        <v>65</v>
      </c>
      <c r="Z152" s="25" t="s">
        <v>55</v>
      </c>
      <c r="AA152" s="25" t="s">
        <v>66</v>
      </c>
      <c r="AB152" s="25" t="s">
        <v>55</v>
      </c>
      <c r="AC152" s="25" t="s">
        <v>55</v>
      </c>
      <c r="AD152" s="25" t="s">
        <v>118</v>
      </c>
      <c r="AE152" s="25" t="s">
        <v>97</v>
      </c>
      <c r="AF152" s="25" t="s">
        <v>156</v>
      </c>
      <c r="AG152" s="25" t="s">
        <v>55</v>
      </c>
      <c r="AH152" s="25" t="s">
        <v>55</v>
      </c>
      <c r="AI152" s="25" t="s">
        <v>55</v>
      </c>
      <c r="AJ152" s="25" t="s">
        <v>55</v>
      </c>
      <c r="AK152" s="25" t="s">
        <v>55</v>
      </c>
      <c r="AL152" s="25" t="s">
        <v>55</v>
      </c>
      <c r="AM152" s="25" t="s">
        <v>55</v>
      </c>
      <c r="AN152" s="25" t="s">
        <v>55</v>
      </c>
      <c r="AO152" s="25" t="s">
        <v>55</v>
      </c>
      <c r="AP152" s="25" t="s">
        <v>55</v>
      </c>
      <c r="AQ152" s="25" t="s">
        <v>55</v>
      </c>
      <c r="AR152" s="25" t="s">
        <v>55</v>
      </c>
      <c r="AS152" s="25" t="s">
        <v>55</v>
      </c>
      <c r="AT152" s="25" t="s">
        <v>55</v>
      </c>
      <c r="AU152" s="25" t="s">
        <v>55</v>
      </c>
      <c r="AV152" s="25" t="s">
        <v>55</v>
      </c>
      <c r="AW152" s="25" t="s">
        <v>55</v>
      </c>
      <c r="AX152" s="25" t="s">
        <v>55</v>
      </c>
      <c r="AY152" s="25" t="s">
        <v>1133</v>
      </c>
      <c r="AZ152" s="20">
        <f t="shared" si="7"/>
        <v>21</v>
      </c>
      <c r="BA152" s="17" t="str">
        <f t="shared" si="8"/>
        <v>&lt; 3 months</v>
      </c>
      <c r="BB152" s="21" t="s">
        <v>66</v>
      </c>
    </row>
    <row r="153" spans="1:54" x14ac:dyDescent="0.35">
      <c r="A153" s="25" t="s">
        <v>1226</v>
      </c>
      <c r="B153" s="25" t="s">
        <v>347</v>
      </c>
      <c r="C153" s="25" t="s">
        <v>116</v>
      </c>
      <c r="D153" s="25" t="s">
        <v>465</v>
      </c>
      <c r="E153" s="25" t="s">
        <v>52</v>
      </c>
      <c r="F153" s="25" t="s">
        <v>1227</v>
      </c>
      <c r="G153" s="25" t="s">
        <v>126</v>
      </c>
      <c r="H153" s="25" t="s">
        <v>127</v>
      </c>
      <c r="I153" s="25" t="s">
        <v>117</v>
      </c>
      <c r="J153" s="25" t="s">
        <v>842</v>
      </c>
      <c r="K153" s="25" t="s">
        <v>584</v>
      </c>
      <c r="L153" s="25" t="s">
        <v>55</v>
      </c>
      <c r="M153" s="25" t="s">
        <v>128</v>
      </c>
      <c r="N153" s="25" t="s">
        <v>55</v>
      </c>
      <c r="O153" s="25" t="s">
        <v>1228</v>
      </c>
      <c r="P153" s="25" t="s">
        <v>1229</v>
      </c>
      <c r="Q153" s="25" t="s">
        <v>1230</v>
      </c>
      <c r="R153" s="25" t="s">
        <v>55</v>
      </c>
      <c r="S153" s="25" t="s">
        <v>55</v>
      </c>
      <c r="T153" s="25" t="s">
        <v>1231</v>
      </c>
      <c r="U153" s="25" t="s">
        <v>132</v>
      </c>
      <c r="V153" s="26">
        <v>46022</v>
      </c>
      <c r="W153" s="25" t="s">
        <v>55</v>
      </c>
      <c r="X153" s="25" t="s">
        <v>1110</v>
      </c>
      <c r="Y153" s="25" t="s">
        <v>65</v>
      </c>
      <c r="Z153" s="25" t="s">
        <v>55</v>
      </c>
      <c r="AA153" s="25" t="s">
        <v>221</v>
      </c>
      <c r="AB153" s="25" t="s">
        <v>55</v>
      </c>
      <c r="AC153" s="25" t="s">
        <v>55</v>
      </c>
      <c r="AD153" s="25" t="s">
        <v>118</v>
      </c>
      <c r="AE153" s="25" t="s">
        <v>97</v>
      </c>
      <c r="AF153" s="25" t="s">
        <v>69</v>
      </c>
      <c r="AG153" s="25" t="s">
        <v>55</v>
      </c>
      <c r="AH153" s="25" t="s">
        <v>55</v>
      </c>
      <c r="AI153" s="25" t="s">
        <v>55</v>
      </c>
      <c r="AJ153" s="25" t="s">
        <v>55</v>
      </c>
      <c r="AK153" s="25" t="s">
        <v>55</v>
      </c>
      <c r="AL153" s="25" t="s">
        <v>55</v>
      </c>
      <c r="AM153" s="25" t="s">
        <v>55</v>
      </c>
      <c r="AN153" s="25" t="s">
        <v>55</v>
      </c>
      <c r="AO153" s="25" t="s">
        <v>55</v>
      </c>
      <c r="AP153" s="25" t="s">
        <v>55</v>
      </c>
      <c r="AQ153" s="25" t="s">
        <v>55</v>
      </c>
      <c r="AR153" s="25" t="s">
        <v>55</v>
      </c>
      <c r="AS153" s="25" t="s">
        <v>55</v>
      </c>
      <c r="AT153" s="25" t="s">
        <v>55</v>
      </c>
      <c r="AU153" s="25" t="s">
        <v>55</v>
      </c>
      <c r="AV153" s="25" t="s">
        <v>55</v>
      </c>
      <c r="AW153" s="25" t="s">
        <v>55</v>
      </c>
      <c r="AX153" s="25" t="s">
        <v>55</v>
      </c>
      <c r="AY153" s="25" t="s">
        <v>1133</v>
      </c>
      <c r="AZ153" s="20">
        <f t="shared" si="7"/>
        <v>-40</v>
      </c>
      <c r="BA153" s="17" t="e">
        <f t="shared" si="8"/>
        <v>#N/A</v>
      </c>
      <c r="BB153" s="21" t="s">
        <v>335</v>
      </c>
    </row>
    <row r="154" spans="1:54" x14ac:dyDescent="0.35">
      <c r="A154" s="25" t="s">
        <v>1232</v>
      </c>
      <c r="B154" s="25" t="s">
        <v>347</v>
      </c>
      <c r="C154" s="25" t="s">
        <v>116</v>
      </c>
      <c r="D154" s="25" t="s">
        <v>465</v>
      </c>
      <c r="E154" s="25" t="s">
        <v>52</v>
      </c>
      <c r="F154" s="25" t="s">
        <v>1227</v>
      </c>
      <c r="G154" s="25" t="s">
        <v>126</v>
      </c>
      <c r="H154" s="25" t="s">
        <v>127</v>
      </c>
      <c r="I154" s="25" t="s">
        <v>121</v>
      </c>
      <c r="J154" s="25" t="s">
        <v>223</v>
      </c>
      <c r="K154" s="25" t="s">
        <v>868</v>
      </c>
      <c r="L154" s="25" t="s">
        <v>55</v>
      </c>
      <c r="M154" s="25" t="s">
        <v>1233</v>
      </c>
      <c r="N154" s="25" t="s">
        <v>55</v>
      </c>
      <c r="O154" s="25" t="s">
        <v>1228</v>
      </c>
      <c r="P154" s="25" t="s">
        <v>1234</v>
      </c>
      <c r="Q154" s="25" t="s">
        <v>1235</v>
      </c>
      <c r="R154" s="25" t="s">
        <v>55</v>
      </c>
      <c r="S154" s="25" t="s">
        <v>55</v>
      </c>
      <c r="T154" s="25" t="s">
        <v>1236</v>
      </c>
      <c r="U154" s="25" t="s">
        <v>63</v>
      </c>
      <c r="V154" s="26">
        <v>45961</v>
      </c>
      <c r="W154" s="25" t="s">
        <v>55</v>
      </c>
      <c r="X154" s="25" t="s">
        <v>1237</v>
      </c>
      <c r="Y154" s="25" t="s">
        <v>65</v>
      </c>
      <c r="Z154" s="25" t="s">
        <v>55</v>
      </c>
      <c r="AA154" s="25" t="s">
        <v>66</v>
      </c>
      <c r="AB154" s="25" t="s">
        <v>55</v>
      </c>
      <c r="AC154" s="25" t="s">
        <v>55</v>
      </c>
      <c r="AD154" s="25" t="s">
        <v>118</v>
      </c>
      <c r="AE154" s="25" t="s">
        <v>97</v>
      </c>
      <c r="AF154" s="25" t="s">
        <v>1238</v>
      </c>
      <c r="AG154" s="25" t="s">
        <v>55</v>
      </c>
      <c r="AH154" s="25" t="s">
        <v>55</v>
      </c>
      <c r="AI154" s="25" t="s">
        <v>55</v>
      </c>
      <c r="AJ154" s="25" t="s">
        <v>55</v>
      </c>
      <c r="AK154" s="25" t="s">
        <v>55</v>
      </c>
      <c r="AL154" s="25" t="s">
        <v>55</v>
      </c>
      <c r="AM154" s="25" t="s">
        <v>55</v>
      </c>
      <c r="AN154" s="25" t="s">
        <v>55</v>
      </c>
      <c r="AO154" s="25" t="s">
        <v>55</v>
      </c>
      <c r="AP154" s="25" t="s">
        <v>55</v>
      </c>
      <c r="AQ154" s="25" t="s">
        <v>55</v>
      </c>
      <c r="AR154" s="25" t="s">
        <v>55</v>
      </c>
      <c r="AS154" s="25" t="s">
        <v>55</v>
      </c>
      <c r="AT154" s="25" t="s">
        <v>55</v>
      </c>
      <c r="AU154" s="25" t="s">
        <v>55</v>
      </c>
      <c r="AV154" s="25" t="s">
        <v>55</v>
      </c>
      <c r="AW154" s="25" t="s">
        <v>55</v>
      </c>
      <c r="AX154" s="25" t="s">
        <v>55</v>
      </c>
      <c r="AY154" s="25" t="s">
        <v>1133</v>
      </c>
      <c r="AZ154" s="20">
        <f t="shared" si="7"/>
        <v>21</v>
      </c>
      <c r="BA154" s="17" t="str">
        <f t="shared" si="8"/>
        <v>&lt; 3 months</v>
      </c>
      <c r="BB154" s="21" t="s">
        <v>66</v>
      </c>
    </row>
    <row r="155" spans="1:54" x14ac:dyDescent="0.35">
      <c r="A155" s="25" t="s">
        <v>1239</v>
      </c>
      <c r="B155" s="25" t="s">
        <v>347</v>
      </c>
      <c r="C155" s="25" t="s">
        <v>116</v>
      </c>
      <c r="D155" s="25" t="s">
        <v>465</v>
      </c>
      <c r="E155" s="25" t="s">
        <v>52</v>
      </c>
      <c r="F155" s="25" t="s">
        <v>1240</v>
      </c>
      <c r="G155" s="25" t="s">
        <v>54</v>
      </c>
      <c r="H155" s="25" t="s">
        <v>1714</v>
      </c>
      <c r="I155" s="25" t="s">
        <v>121</v>
      </c>
      <c r="J155" s="25" t="s">
        <v>223</v>
      </c>
      <c r="K155" s="25" t="s">
        <v>572</v>
      </c>
      <c r="L155" s="25" t="s">
        <v>55</v>
      </c>
      <c r="M155" s="25" t="s">
        <v>614</v>
      </c>
      <c r="N155" s="25" t="s">
        <v>55</v>
      </c>
      <c r="O155" s="25" t="s">
        <v>1241</v>
      </c>
      <c r="P155" s="25" t="s">
        <v>1242</v>
      </c>
      <c r="Q155" s="25" t="s">
        <v>1243</v>
      </c>
      <c r="R155" s="25" t="s">
        <v>55</v>
      </c>
      <c r="S155" s="25" t="s">
        <v>55</v>
      </c>
      <c r="T155" s="25" t="s">
        <v>1244</v>
      </c>
      <c r="U155" s="25" t="s">
        <v>63</v>
      </c>
      <c r="V155" s="26">
        <v>46022</v>
      </c>
      <c r="W155" s="25" t="s">
        <v>55</v>
      </c>
      <c r="X155" s="25" t="s">
        <v>1245</v>
      </c>
      <c r="Y155" s="25" t="s">
        <v>65</v>
      </c>
      <c r="Z155" s="25" t="s">
        <v>55</v>
      </c>
      <c r="AA155" s="25" t="s">
        <v>221</v>
      </c>
      <c r="AB155" s="25" t="s">
        <v>55</v>
      </c>
      <c r="AC155" s="25" t="s">
        <v>55</v>
      </c>
      <c r="AD155" s="25" t="s">
        <v>118</v>
      </c>
      <c r="AE155" s="25" t="s">
        <v>97</v>
      </c>
      <c r="AF155" s="25" t="s">
        <v>69</v>
      </c>
      <c r="AG155" s="25" t="s">
        <v>55</v>
      </c>
      <c r="AH155" s="25" t="s">
        <v>55</v>
      </c>
      <c r="AI155" s="25" t="s">
        <v>55</v>
      </c>
      <c r="AJ155" s="25" t="s">
        <v>55</v>
      </c>
      <c r="AK155" s="25" t="s">
        <v>55</v>
      </c>
      <c r="AL155" s="25" t="s">
        <v>55</v>
      </c>
      <c r="AM155" s="25" t="s">
        <v>55</v>
      </c>
      <c r="AN155" s="25" t="s">
        <v>55</v>
      </c>
      <c r="AO155" s="25" t="s">
        <v>55</v>
      </c>
      <c r="AP155" s="25" t="s">
        <v>55</v>
      </c>
      <c r="AQ155" s="25" t="s">
        <v>55</v>
      </c>
      <c r="AR155" s="25" t="s">
        <v>55</v>
      </c>
      <c r="AS155" s="25" t="s">
        <v>55</v>
      </c>
      <c r="AT155" s="25" t="s">
        <v>55</v>
      </c>
      <c r="AU155" s="25" t="s">
        <v>55</v>
      </c>
      <c r="AV155" s="25" t="s">
        <v>55</v>
      </c>
      <c r="AW155" s="25" t="s">
        <v>55</v>
      </c>
      <c r="AX155" s="25" t="s">
        <v>55</v>
      </c>
      <c r="AY155" s="25" t="s">
        <v>1133</v>
      </c>
      <c r="AZ155" s="20">
        <f t="shared" si="7"/>
        <v>-40</v>
      </c>
      <c r="BA155" s="17" t="e">
        <f t="shared" si="8"/>
        <v>#N/A</v>
      </c>
      <c r="BB155" s="21" t="s">
        <v>335</v>
      </c>
    </row>
    <row r="156" spans="1:54" x14ac:dyDescent="0.35">
      <c r="A156" s="25" t="s">
        <v>1246</v>
      </c>
      <c r="B156" s="25" t="s">
        <v>347</v>
      </c>
      <c r="C156" s="25" t="s">
        <v>116</v>
      </c>
      <c r="D156" s="25" t="s">
        <v>465</v>
      </c>
      <c r="E156" s="25" t="s">
        <v>52</v>
      </c>
      <c r="F156" s="25" t="s">
        <v>1240</v>
      </c>
      <c r="G156" s="25" t="s">
        <v>54</v>
      </c>
      <c r="H156" s="25" t="s">
        <v>1714</v>
      </c>
      <c r="I156" s="25" t="s">
        <v>121</v>
      </c>
      <c r="J156" s="25" t="s">
        <v>843</v>
      </c>
      <c r="K156" s="25" t="s">
        <v>867</v>
      </c>
      <c r="L156" s="25" t="s">
        <v>55</v>
      </c>
      <c r="M156" s="25" t="s">
        <v>998</v>
      </c>
      <c r="N156" s="25" t="s">
        <v>55</v>
      </c>
      <c r="O156" s="25" t="s">
        <v>1241</v>
      </c>
      <c r="P156" s="25" t="s">
        <v>1247</v>
      </c>
      <c r="Q156" s="25" t="s">
        <v>1248</v>
      </c>
      <c r="R156" s="25" t="s">
        <v>55</v>
      </c>
      <c r="S156" s="25" t="s">
        <v>55</v>
      </c>
      <c r="T156" s="25" t="s">
        <v>1249</v>
      </c>
      <c r="U156" s="25" t="s">
        <v>63</v>
      </c>
      <c r="V156" s="26">
        <v>46022</v>
      </c>
      <c r="W156" s="25" t="s">
        <v>55</v>
      </c>
      <c r="X156" s="25" t="s">
        <v>1250</v>
      </c>
      <c r="Y156" s="25" t="s">
        <v>65</v>
      </c>
      <c r="Z156" s="25" t="s">
        <v>55</v>
      </c>
      <c r="AA156" s="25" t="s">
        <v>221</v>
      </c>
      <c r="AB156" s="25" t="s">
        <v>55</v>
      </c>
      <c r="AC156" s="25" t="s">
        <v>55</v>
      </c>
      <c r="AD156" s="25" t="s">
        <v>118</v>
      </c>
      <c r="AE156" s="25" t="s">
        <v>97</v>
      </c>
      <c r="AF156" s="25" t="s">
        <v>1004</v>
      </c>
      <c r="AG156" s="25" t="s">
        <v>55</v>
      </c>
      <c r="AH156" s="25" t="s">
        <v>55</v>
      </c>
      <c r="AI156" s="25" t="s">
        <v>55</v>
      </c>
      <c r="AJ156" s="25" t="s">
        <v>55</v>
      </c>
      <c r="AK156" s="25" t="s">
        <v>55</v>
      </c>
      <c r="AL156" s="25" t="s">
        <v>55</v>
      </c>
      <c r="AM156" s="25" t="s">
        <v>55</v>
      </c>
      <c r="AN156" s="25" t="s">
        <v>55</v>
      </c>
      <c r="AO156" s="25" t="s">
        <v>55</v>
      </c>
      <c r="AP156" s="25" t="s">
        <v>55</v>
      </c>
      <c r="AQ156" s="25" t="s">
        <v>55</v>
      </c>
      <c r="AR156" s="25" t="s">
        <v>55</v>
      </c>
      <c r="AS156" s="25" t="s">
        <v>55</v>
      </c>
      <c r="AT156" s="25" t="s">
        <v>55</v>
      </c>
      <c r="AU156" s="25" t="s">
        <v>55</v>
      </c>
      <c r="AV156" s="25" t="s">
        <v>55</v>
      </c>
      <c r="AW156" s="25" t="s">
        <v>55</v>
      </c>
      <c r="AX156" s="25" t="s">
        <v>55</v>
      </c>
      <c r="AY156" s="25" t="s">
        <v>1133</v>
      </c>
      <c r="AZ156" s="20">
        <f t="shared" si="7"/>
        <v>-40</v>
      </c>
      <c r="BA156" s="17" t="e">
        <f t="shared" si="8"/>
        <v>#N/A</v>
      </c>
      <c r="BB156" s="21" t="s">
        <v>335</v>
      </c>
    </row>
    <row r="157" spans="1:54" x14ac:dyDescent="0.35">
      <c r="A157" s="25" t="s">
        <v>1251</v>
      </c>
      <c r="B157" s="25" t="s">
        <v>347</v>
      </c>
      <c r="C157" s="25" t="s">
        <v>116</v>
      </c>
      <c r="D157" s="25" t="s">
        <v>465</v>
      </c>
      <c r="E157" s="25" t="s">
        <v>52</v>
      </c>
      <c r="F157" s="25" t="s">
        <v>1240</v>
      </c>
      <c r="G157" s="25" t="s">
        <v>54</v>
      </c>
      <c r="H157" s="25" t="s">
        <v>1714</v>
      </c>
      <c r="I157" s="25" t="s">
        <v>361</v>
      </c>
      <c r="J157" s="25" t="s">
        <v>253</v>
      </c>
      <c r="K157" s="25" t="s">
        <v>604</v>
      </c>
      <c r="L157" s="25" t="s">
        <v>55</v>
      </c>
      <c r="M157" s="25" t="s">
        <v>1252</v>
      </c>
      <c r="N157" s="25" t="s">
        <v>55</v>
      </c>
      <c r="O157" s="25" t="s">
        <v>1241</v>
      </c>
      <c r="P157" s="25" t="s">
        <v>1253</v>
      </c>
      <c r="Q157" s="25" t="s">
        <v>1254</v>
      </c>
      <c r="R157" s="25" t="s">
        <v>55</v>
      </c>
      <c r="S157" s="25" t="s">
        <v>55</v>
      </c>
      <c r="T157" s="25" t="s">
        <v>1255</v>
      </c>
      <c r="U157" s="25" t="s">
        <v>132</v>
      </c>
      <c r="V157" s="26">
        <v>46022</v>
      </c>
      <c r="W157" s="25" t="s">
        <v>55</v>
      </c>
      <c r="X157" s="25" t="s">
        <v>1256</v>
      </c>
      <c r="Y157" s="25" t="s">
        <v>65</v>
      </c>
      <c r="Z157" s="25" t="s">
        <v>55</v>
      </c>
      <c r="AA157" s="25" t="s">
        <v>221</v>
      </c>
      <c r="AB157" s="25" t="s">
        <v>55</v>
      </c>
      <c r="AC157" s="25" t="s">
        <v>55</v>
      </c>
      <c r="AD157" s="25" t="s">
        <v>118</v>
      </c>
      <c r="AE157" s="25" t="s">
        <v>97</v>
      </c>
      <c r="AF157" s="25" t="s">
        <v>1257</v>
      </c>
      <c r="AG157" s="25" t="s">
        <v>55</v>
      </c>
      <c r="AH157" s="25" t="s">
        <v>55</v>
      </c>
      <c r="AI157" s="25" t="s">
        <v>55</v>
      </c>
      <c r="AJ157" s="25" t="s">
        <v>55</v>
      </c>
      <c r="AK157" s="25" t="s">
        <v>55</v>
      </c>
      <c r="AL157" s="25" t="s">
        <v>55</v>
      </c>
      <c r="AM157" s="25" t="s">
        <v>55</v>
      </c>
      <c r="AN157" s="25" t="s">
        <v>55</v>
      </c>
      <c r="AO157" s="25" t="s">
        <v>55</v>
      </c>
      <c r="AP157" s="25" t="s">
        <v>55</v>
      </c>
      <c r="AQ157" s="25" t="s">
        <v>55</v>
      </c>
      <c r="AR157" s="25" t="s">
        <v>55</v>
      </c>
      <c r="AS157" s="25" t="s">
        <v>55</v>
      </c>
      <c r="AT157" s="25" t="s">
        <v>55</v>
      </c>
      <c r="AU157" s="25" t="s">
        <v>55</v>
      </c>
      <c r="AV157" s="25" t="s">
        <v>55</v>
      </c>
      <c r="AW157" s="25" t="s">
        <v>55</v>
      </c>
      <c r="AX157" s="25" t="s">
        <v>55</v>
      </c>
      <c r="AY157" s="25" t="s">
        <v>1133</v>
      </c>
      <c r="AZ157" s="20">
        <f t="shared" si="7"/>
        <v>-40</v>
      </c>
      <c r="BA157" s="17" t="e">
        <f t="shared" si="8"/>
        <v>#N/A</v>
      </c>
      <c r="BB157" s="21" t="s">
        <v>335</v>
      </c>
    </row>
    <row r="158" spans="1:54" x14ac:dyDescent="0.35">
      <c r="A158" s="25" t="s">
        <v>1258</v>
      </c>
      <c r="B158" s="25" t="s">
        <v>347</v>
      </c>
      <c r="C158" s="25" t="s">
        <v>116</v>
      </c>
      <c r="D158" s="25" t="s">
        <v>465</v>
      </c>
      <c r="E158" s="25" t="s">
        <v>52</v>
      </c>
      <c r="F158" s="25" t="s">
        <v>1259</v>
      </c>
      <c r="G158" s="25" t="s">
        <v>126</v>
      </c>
      <c r="H158" s="25" t="s">
        <v>127</v>
      </c>
      <c r="I158" s="25" t="s">
        <v>803</v>
      </c>
      <c r="J158" s="25" t="s">
        <v>815</v>
      </c>
      <c r="K158" s="25" t="s">
        <v>572</v>
      </c>
      <c r="L158" s="25" t="s">
        <v>55</v>
      </c>
      <c r="M158" s="25" t="s">
        <v>816</v>
      </c>
      <c r="N158" s="25" t="s">
        <v>55</v>
      </c>
      <c r="O158" s="25" t="s">
        <v>1260</v>
      </c>
      <c r="P158" s="25" t="s">
        <v>1261</v>
      </c>
      <c r="Q158" s="25" t="s">
        <v>1261</v>
      </c>
      <c r="R158" s="25" t="s">
        <v>55</v>
      </c>
      <c r="S158" s="25" t="s">
        <v>55</v>
      </c>
      <c r="T158" s="25" t="s">
        <v>1262</v>
      </c>
      <c r="U158" s="25" t="s">
        <v>63</v>
      </c>
      <c r="V158" s="26">
        <v>46022</v>
      </c>
      <c r="W158" s="25" t="s">
        <v>55</v>
      </c>
      <c r="X158" s="25" t="s">
        <v>1263</v>
      </c>
      <c r="Y158" s="25" t="s">
        <v>65</v>
      </c>
      <c r="Z158" s="25" t="s">
        <v>55</v>
      </c>
      <c r="AA158" s="25" t="s">
        <v>221</v>
      </c>
      <c r="AB158" s="25" t="s">
        <v>55</v>
      </c>
      <c r="AC158" s="25" t="s">
        <v>55</v>
      </c>
      <c r="AD158" s="25" t="s">
        <v>118</v>
      </c>
      <c r="AE158" s="25" t="s">
        <v>97</v>
      </c>
      <c r="AF158" s="25" t="s">
        <v>69</v>
      </c>
      <c r="AG158" s="25" t="s">
        <v>55</v>
      </c>
      <c r="AH158" s="25" t="s">
        <v>55</v>
      </c>
      <c r="AI158" s="25" t="s">
        <v>55</v>
      </c>
      <c r="AJ158" s="25" t="s">
        <v>55</v>
      </c>
      <c r="AK158" s="25" t="s">
        <v>55</v>
      </c>
      <c r="AL158" s="25" t="s">
        <v>55</v>
      </c>
      <c r="AM158" s="25" t="s">
        <v>55</v>
      </c>
      <c r="AN158" s="25" t="s">
        <v>55</v>
      </c>
      <c r="AO158" s="25" t="s">
        <v>55</v>
      </c>
      <c r="AP158" s="25" t="s">
        <v>55</v>
      </c>
      <c r="AQ158" s="25" t="s">
        <v>55</v>
      </c>
      <c r="AR158" s="25" t="s">
        <v>55</v>
      </c>
      <c r="AS158" s="25" t="s">
        <v>55</v>
      </c>
      <c r="AT158" s="25" t="s">
        <v>55</v>
      </c>
      <c r="AU158" s="25" t="s">
        <v>55</v>
      </c>
      <c r="AV158" s="25" t="s">
        <v>55</v>
      </c>
      <c r="AW158" s="25" t="s">
        <v>55</v>
      </c>
      <c r="AX158" s="25" t="s">
        <v>55</v>
      </c>
      <c r="AY158" s="25" t="s">
        <v>1133</v>
      </c>
      <c r="AZ158" s="20">
        <f t="shared" si="7"/>
        <v>-40</v>
      </c>
      <c r="BA158" s="17" t="e">
        <f t="shared" si="8"/>
        <v>#N/A</v>
      </c>
      <c r="BB158" s="21" t="s">
        <v>335</v>
      </c>
    </row>
    <row r="159" spans="1:54" x14ac:dyDescent="0.35">
      <c r="A159" s="25" t="s">
        <v>1264</v>
      </c>
      <c r="B159" s="25" t="s">
        <v>347</v>
      </c>
      <c r="C159" s="25" t="s">
        <v>116</v>
      </c>
      <c r="D159" s="25" t="s">
        <v>465</v>
      </c>
      <c r="E159" s="25" t="s">
        <v>52</v>
      </c>
      <c r="F159" s="25" t="s">
        <v>1259</v>
      </c>
      <c r="G159" s="25" t="s">
        <v>126</v>
      </c>
      <c r="H159" s="25" t="s">
        <v>127</v>
      </c>
      <c r="I159" s="25" t="s">
        <v>117</v>
      </c>
      <c r="J159" s="25" t="s">
        <v>819</v>
      </c>
      <c r="K159" s="25" t="s">
        <v>605</v>
      </c>
      <c r="L159" s="25" t="s">
        <v>55</v>
      </c>
      <c r="M159" s="25" t="s">
        <v>577</v>
      </c>
      <c r="N159" s="25" t="s">
        <v>55</v>
      </c>
      <c r="O159" s="25" t="s">
        <v>1260</v>
      </c>
      <c r="P159" s="25" t="s">
        <v>1265</v>
      </c>
      <c r="Q159" s="25" t="s">
        <v>1266</v>
      </c>
      <c r="R159" s="25" t="s">
        <v>55</v>
      </c>
      <c r="S159" s="25" t="s">
        <v>55</v>
      </c>
      <c r="T159" s="25" t="s">
        <v>1267</v>
      </c>
      <c r="U159" s="25" t="s">
        <v>63</v>
      </c>
      <c r="V159" s="26">
        <v>46022</v>
      </c>
      <c r="W159" s="25" t="s">
        <v>55</v>
      </c>
      <c r="X159" s="25" t="s">
        <v>1263</v>
      </c>
      <c r="Y159" s="25" t="s">
        <v>65</v>
      </c>
      <c r="Z159" s="25" t="s">
        <v>55</v>
      </c>
      <c r="AA159" s="25" t="s">
        <v>221</v>
      </c>
      <c r="AB159" s="25" t="s">
        <v>55</v>
      </c>
      <c r="AC159" s="25" t="s">
        <v>55</v>
      </c>
      <c r="AD159" s="25" t="s">
        <v>118</v>
      </c>
      <c r="AE159" s="25" t="s">
        <v>97</v>
      </c>
      <c r="AF159" s="25" t="s">
        <v>583</v>
      </c>
      <c r="AG159" s="25" t="s">
        <v>55</v>
      </c>
      <c r="AH159" s="25" t="s">
        <v>55</v>
      </c>
      <c r="AI159" s="25" t="s">
        <v>55</v>
      </c>
      <c r="AJ159" s="25" t="s">
        <v>55</v>
      </c>
      <c r="AK159" s="25" t="s">
        <v>55</v>
      </c>
      <c r="AL159" s="25" t="s">
        <v>55</v>
      </c>
      <c r="AM159" s="25" t="s">
        <v>55</v>
      </c>
      <c r="AN159" s="25" t="s">
        <v>55</v>
      </c>
      <c r="AO159" s="25" t="s">
        <v>55</v>
      </c>
      <c r="AP159" s="25" t="s">
        <v>55</v>
      </c>
      <c r="AQ159" s="25" t="s">
        <v>55</v>
      </c>
      <c r="AR159" s="25" t="s">
        <v>55</v>
      </c>
      <c r="AS159" s="25" t="s">
        <v>55</v>
      </c>
      <c r="AT159" s="25" t="s">
        <v>55</v>
      </c>
      <c r="AU159" s="25" t="s">
        <v>55</v>
      </c>
      <c r="AV159" s="25" t="s">
        <v>55</v>
      </c>
      <c r="AW159" s="25" t="s">
        <v>55</v>
      </c>
      <c r="AX159" s="25" t="s">
        <v>55</v>
      </c>
      <c r="AY159" s="25" t="s">
        <v>1133</v>
      </c>
      <c r="AZ159" s="20">
        <f t="shared" si="7"/>
        <v>-40</v>
      </c>
      <c r="BA159" s="17" t="e">
        <f t="shared" si="8"/>
        <v>#N/A</v>
      </c>
      <c r="BB159" s="21" t="s">
        <v>335</v>
      </c>
    </row>
    <row r="160" spans="1:54" x14ac:dyDescent="0.35">
      <c r="A160" s="25" t="s">
        <v>1268</v>
      </c>
      <c r="B160" s="25" t="s">
        <v>347</v>
      </c>
      <c r="C160" s="25" t="s">
        <v>116</v>
      </c>
      <c r="D160" s="25" t="s">
        <v>465</v>
      </c>
      <c r="E160" s="25" t="s">
        <v>52</v>
      </c>
      <c r="F160" s="25" t="s">
        <v>254</v>
      </c>
      <c r="G160" s="25" t="s">
        <v>126</v>
      </c>
      <c r="H160" s="25" t="s">
        <v>127</v>
      </c>
      <c r="I160" s="25" t="s">
        <v>117</v>
      </c>
      <c r="J160" s="25" t="s">
        <v>819</v>
      </c>
      <c r="K160" s="25" t="s">
        <v>605</v>
      </c>
      <c r="L160" s="25" t="s">
        <v>55</v>
      </c>
      <c r="M160" s="25" t="s">
        <v>577</v>
      </c>
      <c r="N160" s="25" t="s">
        <v>55</v>
      </c>
      <c r="O160" s="25" t="s">
        <v>1269</v>
      </c>
      <c r="P160" s="25" t="s">
        <v>1265</v>
      </c>
      <c r="Q160" s="25" t="s">
        <v>1270</v>
      </c>
      <c r="R160" s="25" t="s">
        <v>55</v>
      </c>
      <c r="S160" s="25" t="s">
        <v>55</v>
      </c>
      <c r="T160" s="25" t="s">
        <v>1271</v>
      </c>
      <c r="U160" s="25" t="s">
        <v>63</v>
      </c>
      <c r="V160" s="26">
        <v>46022</v>
      </c>
      <c r="W160" s="25" t="s">
        <v>55</v>
      </c>
      <c r="X160" s="25" t="s">
        <v>1272</v>
      </c>
      <c r="Y160" s="25" t="s">
        <v>65</v>
      </c>
      <c r="Z160" s="25" t="s">
        <v>55</v>
      </c>
      <c r="AA160" s="25" t="s">
        <v>221</v>
      </c>
      <c r="AB160" s="25" t="s">
        <v>55</v>
      </c>
      <c r="AC160" s="25" t="s">
        <v>55</v>
      </c>
      <c r="AD160" s="25" t="s">
        <v>118</v>
      </c>
      <c r="AE160" s="25" t="s">
        <v>97</v>
      </c>
      <c r="AF160" s="25" t="s">
        <v>583</v>
      </c>
      <c r="AG160" s="25" t="s">
        <v>55</v>
      </c>
      <c r="AH160" s="25" t="s">
        <v>55</v>
      </c>
      <c r="AI160" s="25" t="s">
        <v>55</v>
      </c>
      <c r="AJ160" s="25" t="s">
        <v>55</v>
      </c>
      <c r="AK160" s="25" t="s">
        <v>55</v>
      </c>
      <c r="AL160" s="25" t="s">
        <v>55</v>
      </c>
      <c r="AM160" s="25" t="s">
        <v>55</v>
      </c>
      <c r="AN160" s="25" t="s">
        <v>55</v>
      </c>
      <c r="AO160" s="25" t="s">
        <v>55</v>
      </c>
      <c r="AP160" s="25" t="s">
        <v>55</v>
      </c>
      <c r="AQ160" s="25" t="s">
        <v>55</v>
      </c>
      <c r="AR160" s="25" t="s">
        <v>55</v>
      </c>
      <c r="AS160" s="25" t="s">
        <v>55</v>
      </c>
      <c r="AT160" s="25" t="s">
        <v>55</v>
      </c>
      <c r="AU160" s="25" t="s">
        <v>55</v>
      </c>
      <c r="AV160" s="25" t="s">
        <v>55</v>
      </c>
      <c r="AW160" s="25" t="s">
        <v>55</v>
      </c>
      <c r="AX160" s="25" t="s">
        <v>55</v>
      </c>
      <c r="AY160" s="25" t="s">
        <v>1133</v>
      </c>
      <c r="AZ160" s="20">
        <f t="shared" si="7"/>
        <v>-40</v>
      </c>
      <c r="BA160" s="17" t="e">
        <f t="shared" si="8"/>
        <v>#N/A</v>
      </c>
      <c r="BB160" s="21" t="s">
        <v>335</v>
      </c>
    </row>
    <row r="161" spans="1:54" x14ac:dyDescent="0.35">
      <c r="A161" s="25" t="s">
        <v>1273</v>
      </c>
      <c r="B161" s="25" t="s">
        <v>347</v>
      </c>
      <c r="C161" s="25" t="s">
        <v>116</v>
      </c>
      <c r="D161" s="25" t="s">
        <v>465</v>
      </c>
      <c r="E161" s="25" t="s">
        <v>52</v>
      </c>
      <c r="F161" s="25" t="s">
        <v>254</v>
      </c>
      <c r="G161" s="25" t="s">
        <v>126</v>
      </c>
      <c r="H161" s="25" t="s">
        <v>127</v>
      </c>
      <c r="I161" s="25" t="s">
        <v>117</v>
      </c>
      <c r="J161" s="25" t="s">
        <v>842</v>
      </c>
      <c r="K161" s="25" t="s">
        <v>594</v>
      </c>
      <c r="L161" s="25" t="s">
        <v>55</v>
      </c>
      <c r="M161" s="25" t="s">
        <v>128</v>
      </c>
      <c r="N161" s="25" t="s">
        <v>55</v>
      </c>
      <c r="O161" s="25" t="s">
        <v>1269</v>
      </c>
      <c r="P161" s="25" t="s">
        <v>1274</v>
      </c>
      <c r="Q161" s="25" t="s">
        <v>1274</v>
      </c>
      <c r="R161" s="25" t="s">
        <v>55</v>
      </c>
      <c r="S161" s="25" t="s">
        <v>55</v>
      </c>
      <c r="T161" s="25" t="s">
        <v>1275</v>
      </c>
      <c r="U161" s="25" t="s">
        <v>132</v>
      </c>
      <c r="V161" s="26">
        <v>46022</v>
      </c>
      <c r="W161" s="25" t="s">
        <v>55</v>
      </c>
      <c r="X161" s="25" t="s">
        <v>1276</v>
      </c>
      <c r="Y161" s="25" t="s">
        <v>65</v>
      </c>
      <c r="Z161" s="25" t="s">
        <v>55</v>
      </c>
      <c r="AA161" s="25" t="s">
        <v>221</v>
      </c>
      <c r="AB161" s="25" t="s">
        <v>55</v>
      </c>
      <c r="AC161" s="25" t="s">
        <v>55</v>
      </c>
      <c r="AD161" s="25" t="s">
        <v>118</v>
      </c>
      <c r="AE161" s="25" t="s">
        <v>97</v>
      </c>
      <c r="AF161" s="25" t="s">
        <v>69</v>
      </c>
      <c r="AG161" s="25" t="s">
        <v>55</v>
      </c>
      <c r="AH161" s="25" t="s">
        <v>55</v>
      </c>
      <c r="AI161" s="25" t="s">
        <v>55</v>
      </c>
      <c r="AJ161" s="25" t="s">
        <v>55</v>
      </c>
      <c r="AK161" s="25" t="s">
        <v>55</v>
      </c>
      <c r="AL161" s="25" t="s">
        <v>55</v>
      </c>
      <c r="AM161" s="25" t="s">
        <v>55</v>
      </c>
      <c r="AN161" s="25" t="s">
        <v>55</v>
      </c>
      <c r="AO161" s="25" t="s">
        <v>55</v>
      </c>
      <c r="AP161" s="25" t="s">
        <v>55</v>
      </c>
      <c r="AQ161" s="25" t="s">
        <v>55</v>
      </c>
      <c r="AR161" s="25" t="s">
        <v>55</v>
      </c>
      <c r="AS161" s="25" t="s">
        <v>55</v>
      </c>
      <c r="AT161" s="25" t="s">
        <v>55</v>
      </c>
      <c r="AU161" s="25" t="s">
        <v>55</v>
      </c>
      <c r="AV161" s="25" t="s">
        <v>55</v>
      </c>
      <c r="AW161" s="25" t="s">
        <v>55</v>
      </c>
      <c r="AX161" s="25" t="s">
        <v>55</v>
      </c>
      <c r="AY161" s="25" t="s">
        <v>1133</v>
      </c>
      <c r="AZ161" s="20">
        <f t="shared" si="7"/>
        <v>-40</v>
      </c>
      <c r="BA161" s="17" t="e">
        <f t="shared" si="8"/>
        <v>#N/A</v>
      </c>
      <c r="BB161" s="21" t="s">
        <v>335</v>
      </c>
    </row>
    <row r="162" spans="1:54" x14ac:dyDescent="0.35">
      <c r="A162" s="25" t="s">
        <v>1277</v>
      </c>
      <c r="B162" s="25" t="s">
        <v>347</v>
      </c>
      <c r="C162" s="25" t="s">
        <v>116</v>
      </c>
      <c r="D162" s="25" t="s">
        <v>465</v>
      </c>
      <c r="E162" s="25" t="s">
        <v>52</v>
      </c>
      <c r="F162" s="25" t="s">
        <v>425</v>
      </c>
      <c r="G162" s="25" t="s">
        <v>371</v>
      </c>
      <c r="H162" s="25" t="s">
        <v>372</v>
      </c>
      <c r="I162" s="25" t="s">
        <v>361</v>
      </c>
      <c r="J162" s="25" t="s">
        <v>1045</v>
      </c>
      <c r="K162" s="25" t="s">
        <v>584</v>
      </c>
      <c r="L162" s="25" t="s">
        <v>55</v>
      </c>
      <c r="M162" s="25" t="s">
        <v>1046</v>
      </c>
      <c r="N162" s="25" t="s">
        <v>55</v>
      </c>
      <c r="O162" s="25" t="s">
        <v>1278</v>
      </c>
      <c r="P162" s="25" t="s">
        <v>1279</v>
      </c>
      <c r="Q162" s="25" t="s">
        <v>1280</v>
      </c>
      <c r="R162" s="25" t="s">
        <v>55</v>
      </c>
      <c r="S162" s="25" t="s">
        <v>55</v>
      </c>
      <c r="T162" s="25" t="s">
        <v>1281</v>
      </c>
      <c r="U162" s="25" t="s">
        <v>63</v>
      </c>
      <c r="V162" s="26">
        <v>46022</v>
      </c>
      <c r="W162" s="25" t="s">
        <v>55</v>
      </c>
      <c r="X162" s="25" t="s">
        <v>1282</v>
      </c>
      <c r="Y162" s="25" t="s">
        <v>65</v>
      </c>
      <c r="Z162" s="25" t="s">
        <v>55</v>
      </c>
      <c r="AA162" s="25" t="s">
        <v>221</v>
      </c>
      <c r="AB162" s="25" t="s">
        <v>55</v>
      </c>
      <c r="AC162" s="25" t="s">
        <v>55</v>
      </c>
      <c r="AD162" s="25" t="s">
        <v>118</v>
      </c>
      <c r="AE162" s="25" t="s">
        <v>97</v>
      </c>
      <c r="AF162" s="25" t="s">
        <v>1052</v>
      </c>
      <c r="AG162" s="25" t="s">
        <v>55</v>
      </c>
      <c r="AH162" s="25" t="s">
        <v>55</v>
      </c>
      <c r="AI162" s="25" t="s">
        <v>55</v>
      </c>
      <c r="AJ162" s="25" t="s">
        <v>55</v>
      </c>
      <c r="AK162" s="25" t="s">
        <v>55</v>
      </c>
      <c r="AL162" s="25" t="s">
        <v>55</v>
      </c>
      <c r="AM162" s="25" t="s">
        <v>55</v>
      </c>
      <c r="AN162" s="25" t="s">
        <v>55</v>
      </c>
      <c r="AO162" s="25" t="s">
        <v>55</v>
      </c>
      <c r="AP162" s="25" t="s">
        <v>55</v>
      </c>
      <c r="AQ162" s="25" t="s">
        <v>55</v>
      </c>
      <c r="AR162" s="25" t="s">
        <v>55</v>
      </c>
      <c r="AS162" s="25" t="s">
        <v>55</v>
      </c>
      <c r="AT162" s="25" t="s">
        <v>55</v>
      </c>
      <c r="AU162" s="25" t="s">
        <v>55</v>
      </c>
      <c r="AV162" s="25" t="s">
        <v>55</v>
      </c>
      <c r="AW162" s="25" t="s">
        <v>55</v>
      </c>
      <c r="AX162" s="25" t="s">
        <v>55</v>
      </c>
      <c r="AY162" s="25" t="s">
        <v>1133</v>
      </c>
      <c r="AZ162" s="20">
        <f t="shared" si="7"/>
        <v>-40</v>
      </c>
      <c r="BA162" s="17" t="e">
        <f t="shared" si="8"/>
        <v>#N/A</v>
      </c>
      <c r="BB162" s="21" t="s">
        <v>335</v>
      </c>
    </row>
    <row r="163" spans="1:54" x14ac:dyDescent="0.35">
      <c r="A163" s="25" t="s">
        <v>1283</v>
      </c>
      <c r="B163" s="25" t="s">
        <v>347</v>
      </c>
      <c r="C163" s="25" t="s">
        <v>116</v>
      </c>
      <c r="D163" s="25" t="s">
        <v>465</v>
      </c>
      <c r="E163" s="25" t="s">
        <v>52</v>
      </c>
      <c r="F163" s="25" t="s">
        <v>425</v>
      </c>
      <c r="G163" s="25" t="s">
        <v>371</v>
      </c>
      <c r="H163" s="25" t="s">
        <v>372</v>
      </c>
      <c r="I163" s="25" t="s">
        <v>361</v>
      </c>
      <c r="J163" s="25" t="s">
        <v>253</v>
      </c>
      <c r="K163" s="25" t="s">
        <v>868</v>
      </c>
      <c r="L163" s="25" t="s">
        <v>55</v>
      </c>
      <c r="M163" s="25" t="s">
        <v>1059</v>
      </c>
      <c r="N163" s="25" t="s">
        <v>55</v>
      </c>
      <c r="O163" s="25" t="s">
        <v>1278</v>
      </c>
      <c r="P163" s="25" t="s">
        <v>1284</v>
      </c>
      <c r="Q163" s="25" t="s">
        <v>1285</v>
      </c>
      <c r="R163" s="25" t="s">
        <v>55</v>
      </c>
      <c r="S163" s="25" t="s">
        <v>55</v>
      </c>
      <c r="T163" s="25" t="s">
        <v>1286</v>
      </c>
      <c r="U163" s="25" t="s">
        <v>63</v>
      </c>
      <c r="V163" s="26">
        <v>46037</v>
      </c>
      <c r="W163" s="25" t="s">
        <v>55</v>
      </c>
      <c r="X163" s="25" t="s">
        <v>1287</v>
      </c>
      <c r="Y163" s="25" t="s">
        <v>65</v>
      </c>
      <c r="Z163" s="25" t="s">
        <v>55</v>
      </c>
      <c r="AA163" s="25" t="s">
        <v>221</v>
      </c>
      <c r="AB163" s="25" t="s">
        <v>55</v>
      </c>
      <c r="AC163" s="25" t="s">
        <v>55</v>
      </c>
      <c r="AD163" s="25" t="s">
        <v>118</v>
      </c>
      <c r="AE163" s="25" t="s">
        <v>97</v>
      </c>
      <c r="AF163" s="25" t="s">
        <v>98</v>
      </c>
      <c r="AG163" s="25" t="s">
        <v>55</v>
      </c>
      <c r="AH163" s="25" t="s">
        <v>55</v>
      </c>
      <c r="AI163" s="25" t="s">
        <v>55</v>
      </c>
      <c r="AJ163" s="25" t="s">
        <v>55</v>
      </c>
      <c r="AK163" s="25" t="s">
        <v>55</v>
      </c>
      <c r="AL163" s="25" t="s">
        <v>55</v>
      </c>
      <c r="AM163" s="25" t="s">
        <v>55</v>
      </c>
      <c r="AN163" s="25" t="s">
        <v>55</v>
      </c>
      <c r="AO163" s="25" t="s">
        <v>55</v>
      </c>
      <c r="AP163" s="25" t="s">
        <v>55</v>
      </c>
      <c r="AQ163" s="25" t="s">
        <v>55</v>
      </c>
      <c r="AR163" s="25" t="s">
        <v>55</v>
      </c>
      <c r="AS163" s="25" t="s">
        <v>55</v>
      </c>
      <c r="AT163" s="25" t="s">
        <v>55</v>
      </c>
      <c r="AU163" s="25" t="s">
        <v>55</v>
      </c>
      <c r="AV163" s="25" t="s">
        <v>55</v>
      </c>
      <c r="AW163" s="25" t="s">
        <v>55</v>
      </c>
      <c r="AX163" s="25" t="s">
        <v>55</v>
      </c>
      <c r="AY163" s="25" t="s">
        <v>1133</v>
      </c>
      <c r="AZ163" s="20">
        <f t="shared" si="7"/>
        <v>-55</v>
      </c>
      <c r="BA163" s="17" t="e">
        <f t="shared" si="8"/>
        <v>#N/A</v>
      </c>
      <c r="BB163" s="21" t="s">
        <v>335</v>
      </c>
    </row>
    <row r="164" spans="1:54" x14ac:dyDescent="0.35">
      <c r="A164" s="25" t="s">
        <v>1288</v>
      </c>
      <c r="B164" s="25" t="s">
        <v>347</v>
      </c>
      <c r="C164" s="25" t="s">
        <v>116</v>
      </c>
      <c r="D164" s="25" t="s">
        <v>465</v>
      </c>
      <c r="E164" s="25" t="s">
        <v>52</v>
      </c>
      <c r="F164" s="25" t="s">
        <v>1289</v>
      </c>
      <c r="G164" s="25" t="s">
        <v>606</v>
      </c>
      <c r="H164" s="25" t="s">
        <v>607</v>
      </c>
      <c r="I164" s="25" t="s">
        <v>526</v>
      </c>
      <c r="J164" s="25" t="s">
        <v>993</v>
      </c>
      <c r="K164" s="25" t="s">
        <v>868</v>
      </c>
      <c r="L164" s="25" t="s">
        <v>55</v>
      </c>
      <c r="M164" s="25" t="s">
        <v>1082</v>
      </c>
      <c r="N164" s="25" t="s">
        <v>55</v>
      </c>
      <c r="O164" s="25" t="s">
        <v>1290</v>
      </c>
      <c r="P164" s="25" t="s">
        <v>1291</v>
      </c>
      <c r="Q164" s="25" t="s">
        <v>1292</v>
      </c>
      <c r="R164" s="25" t="s">
        <v>55</v>
      </c>
      <c r="S164" s="25" t="s">
        <v>55</v>
      </c>
      <c r="T164" s="25" t="s">
        <v>1293</v>
      </c>
      <c r="U164" s="25" t="s">
        <v>63</v>
      </c>
      <c r="V164" s="26">
        <v>45991</v>
      </c>
      <c r="W164" s="25" t="s">
        <v>55</v>
      </c>
      <c r="X164" s="25" t="s">
        <v>1294</v>
      </c>
      <c r="Y164" s="25" t="s">
        <v>65</v>
      </c>
      <c r="Z164" s="25" t="s">
        <v>55</v>
      </c>
      <c r="AA164" s="25" t="s">
        <v>152</v>
      </c>
      <c r="AB164" s="25" t="s">
        <v>55</v>
      </c>
      <c r="AC164" s="25" t="s">
        <v>55</v>
      </c>
      <c r="AD164" s="25" t="s">
        <v>118</v>
      </c>
      <c r="AE164" s="25" t="s">
        <v>97</v>
      </c>
      <c r="AF164" s="25" t="s">
        <v>123</v>
      </c>
      <c r="AG164" s="25" t="s">
        <v>55</v>
      </c>
      <c r="AH164" s="25" t="s">
        <v>55</v>
      </c>
      <c r="AI164" s="25" t="s">
        <v>55</v>
      </c>
      <c r="AJ164" s="25" t="s">
        <v>55</v>
      </c>
      <c r="AK164" s="25" t="s">
        <v>55</v>
      </c>
      <c r="AL164" s="25" t="s">
        <v>55</v>
      </c>
      <c r="AM164" s="25" t="s">
        <v>55</v>
      </c>
      <c r="AN164" s="25" t="s">
        <v>55</v>
      </c>
      <c r="AO164" s="25" t="s">
        <v>55</v>
      </c>
      <c r="AP164" s="25" t="s">
        <v>55</v>
      </c>
      <c r="AQ164" s="25" t="s">
        <v>55</v>
      </c>
      <c r="AR164" s="25" t="s">
        <v>55</v>
      </c>
      <c r="AS164" s="25" t="s">
        <v>55</v>
      </c>
      <c r="AT164" s="25" t="s">
        <v>55</v>
      </c>
      <c r="AU164" s="25" t="s">
        <v>55</v>
      </c>
      <c r="AV164" s="25" t="s">
        <v>55</v>
      </c>
      <c r="AW164" s="25" t="s">
        <v>55</v>
      </c>
      <c r="AX164" s="25" t="s">
        <v>55</v>
      </c>
      <c r="AY164" s="25" t="s">
        <v>1133</v>
      </c>
      <c r="AZ164" s="20">
        <f t="shared" si="7"/>
        <v>-9</v>
      </c>
      <c r="BA164" s="17" t="e">
        <f t="shared" si="8"/>
        <v>#N/A</v>
      </c>
      <c r="BB164" s="21" t="s">
        <v>335</v>
      </c>
    </row>
    <row r="165" spans="1:54" x14ac:dyDescent="0.35">
      <c r="A165" s="25" t="s">
        <v>1295</v>
      </c>
      <c r="B165" s="25" t="s">
        <v>347</v>
      </c>
      <c r="C165" s="25" t="s">
        <v>116</v>
      </c>
      <c r="D165" s="25" t="s">
        <v>465</v>
      </c>
      <c r="E165" s="25" t="s">
        <v>52</v>
      </c>
      <c r="F165" s="25" t="s">
        <v>425</v>
      </c>
      <c r="G165" s="25" t="s">
        <v>371</v>
      </c>
      <c r="H165" s="25" t="s">
        <v>372</v>
      </c>
      <c r="I165" s="25" t="s">
        <v>361</v>
      </c>
      <c r="J165" s="25" t="s">
        <v>253</v>
      </c>
      <c r="K165" s="25" t="s">
        <v>584</v>
      </c>
      <c r="L165" s="25" t="s">
        <v>55</v>
      </c>
      <c r="M165" s="25" t="s">
        <v>136</v>
      </c>
      <c r="N165" s="25" t="s">
        <v>55</v>
      </c>
      <c r="O165" s="25" t="s">
        <v>1278</v>
      </c>
      <c r="P165" s="25" t="s">
        <v>1296</v>
      </c>
      <c r="Q165" s="25" t="s">
        <v>1297</v>
      </c>
      <c r="R165" s="25" t="s">
        <v>55</v>
      </c>
      <c r="S165" s="25" t="s">
        <v>55</v>
      </c>
      <c r="T165" s="25" t="s">
        <v>1298</v>
      </c>
      <c r="U165" s="25" t="s">
        <v>63</v>
      </c>
      <c r="V165" s="26">
        <v>46022</v>
      </c>
      <c r="W165" s="25" t="s">
        <v>55</v>
      </c>
      <c r="X165" s="25" t="s">
        <v>1299</v>
      </c>
      <c r="Y165" s="25" t="s">
        <v>65</v>
      </c>
      <c r="Z165" s="25" t="s">
        <v>55</v>
      </c>
      <c r="AA165" s="25" t="s">
        <v>221</v>
      </c>
      <c r="AB165" s="25" t="s">
        <v>55</v>
      </c>
      <c r="AC165" s="25" t="s">
        <v>55</v>
      </c>
      <c r="AD165" s="25" t="s">
        <v>118</v>
      </c>
      <c r="AE165" s="25" t="s">
        <v>97</v>
      </c>
      <c r="AF165" s="25" t="s">
        <v>98</v>
      </c>
      <c r="AG165" s="25" t="s">
        <v>55</v>
      </c>
      <c r="AH165" s="25" t="s">
        <v>55</v>
      </c>
      <c r="AI165" s="25" t="s">
        <v>55</v>
      </c>
      <c r="AJ165" s="25" t="s">
        <v>55</v>
      </c>
      <c r="AK165" s="25" t="s">
        <v>55</v>
      </c>
      <c r="AL165" s="25" t="s">
        <v>55</v>
      </c>
      <c r="AM165" s="25" t="s">
        <v>55</v>
      </c>
      <c r="AN165" s="25" t="s">
        <v>55</v>
      </c>
      <c r="AO165" s="25" t="s">
        <v>55</v>
      </c>
      <c r="AP165" s="25" t="s">
        <v>55</v>
      </c>
      <c r="AQ165" s="25" t="s">
        <v>55</v>
      </c>
      <c r="AR165" s="25" t="s">
        <v>55</v>
      </c>
      <c r="AS165" s="25" t="s">
        <v>55</v>
      </c>
      <c r="AT165" s="25" t="s">
        <v>55</v>
      </c>
      <c r="AU165" s="25" t="s">
        <v>55</v>
      </c>
      <c r="AV165" s="25" t="s">
        <v>55</v>
      </c>
      <c r="AW165" s="25" t="s">
        <v>55</v>
      </c>
      <c r="AX165" s="25" t="s">
        <v>55</v>
      </c>
      <c r="AY165" s="25" t="s">
        <v>1133</v>
      </c>
      <c r="AZ165" s="20">
        <f t="shared" si="7"/>
        <v>-40</v>
      </c>
      <c r="BA165" s="17" t="e">
        <f t="shared" si="8"/>
        <v>#N/A</v>
      </c>
      <c r="BB165" s="21" t="s">
        <v>335</v>
      </c>
    </row>
    <row r="166" spans="1:54" x14ac:dyDescent="0.35">
      <c r="A166" s="25" t="s">
        <v>1300</v>
      </c>
      <c r="B166" s="25" t="s">
        <v>347</v>
      </c>
      <c r="C166" s="25" t="s">
        <v>116</v>
      </c>
      <c r="D166" s="25" t="s">
        <v>465</v>
      </c>
      <c r="E166" s="25" t="s">
        <v>52</v>
      </c>
      <c r="F166" s="25" t="s">
        <v>1220</v>
      </c>
      <c r="G166" s="25" t="s">
        <v>54</v>
      </c>
      <c r="H166" s="25" t="s">
        <v>1728</v>
      </c>
      <c r="I166" s="25" t="s">
        <v>803</v>
      </c>
      <c r="J166" s="25" t="s">
        <v>815</v>
      </c>
      <c r="K166" s="25" t="s">
        <v>584</v>
      </c>
      <c r="L166" s="25" t="s">
        <v>55</v>
      </c>
      <c r="M166" s="25" t="s">
        <v>816</v>
      </c>
      <c r="N166" s="25" t="s">
        <v>55</v>
      </c>
      <c r="O166" s="25" t="s">
        <v>1301</v>
      </c>
      <c r="P166" s="25" t="s">
        <v>1302</v>
      </c>
      <c r="Q166" s="25" t="s">
        <v>1303</v>
      </c>
      <c r="R166" s="25" t="s">
        <v>55</v>
      </c>
      <c r="S166" s="25" t="s">
        <v>55</v>
      </c>
      <c r="T166" s="25" t="s">
        <v>1304</v>
      </c>
      <c r="U166" s="25" t="s">
        <v>63</v>
      </c>
      <c r="V166" s="26">
        <v>45961</v>
      </c>
      <c r="W166" s="25" t="s">
        <v>55</v>
      </c>
      <c r="X166" s="25" t="s">
        <v>1305</v>
      </c>
      <c r="Y166" s="25" t="s">
        <v>65</v>
      </c>
      <c r="Z166" s="25" t="s">
        <v>55</v>
      </c>
      <c r="AA166" s="25" t="s">
        <v>66</v>
      </c>
      <c r="AB166" s="25" t="s">
        <v>55</v>
      </c>
      <c r="AC166" s="25" t="s">
        <v>55</v>
      </c>
      <c r="AD166" s="25" t="s">
        <v>118</v>
      </c>
      <c r="AE166" s="25" t="s">
        <v>97</v>
      </c>
      <c r="AF166" s="25" t="s">
        <v>69</v>
      </c>
      <c r="AG166" s="25" t="s">
        <v>55</v>
      </c>
      <c r="AH166" s="25" t="s">
        <v>55</v>
      </c>
      <c r="AI166" s="25" t="s">
        <v>55</v>
      </c>
      <c r="AJ166" s="25" t="s">
        <v>55</v>
      </c>
      <c r="AK166" s="25" t="s">
        <v>55</v>
      </c>
      <c r="AL166" s="25" t="s">
        <v>55</v>
      </c>
      <c r="AM166" s="25" t="s">
        <v>55</v>
      </c>
      <c r="AN166" s="25" t="s">
        <v>55</v>
      </c>
      <c r="AO166" s="25" t="s">
        <v>55</v>
      </c>
      <c r="AP166" s="25" t="s">
        <v>55</v>
      </c>
      <c r="AQ166" s="25" t="s">
        <v>55</v>
      </c>
      <c r="AR166" s="25" t="s">
        <v>55</v>
      </c>
      <c r="AS166" s="25" t="s">
        <v>55</v>
      </c>
      <c r="AT166" s="25" t="s">
        <v>55</v>
      </c>
      <c r="AU166" s="25" t="s">
        <v>55</v>
      </c>
      <c r="AV166" s="25" t="s">
        <v>55</v>
      </c>
      <c r="AW166" s="25" t="s">
        <v>55</v>
      </c>
      <c r="AX166" s="25" t="s">
        <v>55</v>
      </c>
      <c r="AY166" s="25" t="s">
        <v>1133</v>
      </c>
      <c r="AZ166" s="20">
        <f t="shared" si="7"/>
        <v>21</v>
      </c>
      <c r="BA166" s="17" t="str">
        <f t="shared" si="8"/>
        <v>&lt; 3 months</v>
      </c>
      <c r="BB166" s="21" t="s">
        <v>66</v>
      </c>
    </row>
    <row r="167" spans="1:54" x14ac:dyDescent="0.35">
      <c r="A167" s="25" t="s">
        <v>1309</v>
      </c>
      <c r="B167" s="25" t="s">
        <v>347</v>
      </c>
      <c r="C167" s="25" t="s">
        <v>116</v>
      </c>
      <c r="D167" s="25" t="s">
        <v>465</v>
      </c>
      <c r="E167" s="25" t="s">
        <v>52</v>
      </c>
      <c r="F167" s="25" t="s">
        <v>1306</v>
      </c>
      <c r="G167" s="25" t="s">
        <v>126</v>
      </c>
      <c r="H167" s="25" t="s">
        <v>127</v>
      </c>
      <c r="I167" s="25" t="s">
        <v>117</v>
      </c>
      <c r="J167" s="25" t="s">
        <v>842</v>
      </c>
      <c r="K167" s="25" t="s">
        <v>594</v>
      </c>
      <c r="L167" s="25" t="s">
        <v>55</v>
      </c>
      <c r="M167" s="25" t="s">
        <v>128</v>
      </c>
      <c r="N167" s="25" t="s">
        <v>55</v>
      </c>
      <c r="O167" s="25" t="s">
        <v>1307</v>
      </c>
      <c r="P167" s="25" t="s">
        <v>1310</v>
      </c>
      <c r="Q167" s="25" t="s">
        <v>1230</v>
      </c>
      <c r="R167" s="25" t="s">
        <v>55</v>
      </c>
      <c r="S167" s="25" t="s">
        <v>55</v>
      </c>
      <c r="T167" s="25" t="s">
        <v>1311</v>
      </c>
      <c r="U167" s="25" t="s">
        <v>132</v>
      </c>
      <c r="V167" s="26">
        <v>46022</v>
      </c>
      <c r="W167" s="25" t="s">
        <v>55</v>
      </c>
      <c r="X167" s="25" t="s">
        <v>1110</v>
      </c>
      <c r="Y167" s="25" t="s">
        <v>65</v>
      </c>
      <c r="Z167" s="25" t="s">
        <v>55</v>
      </c>
      <c r="AA167" s="25" t="s">
        <v>221</v>
      </c>
      <c r="AB167" s="25" t="s">
        <v>55</v>
      </c>
      <c r="AC167" s="25" t="s">
        <v>55</v>
      </c>
      <c r="AD167" s="25" t="s">
        <v>118</v>
      </c>
      <c r="AE167" s="25" t="s">
        <v>97</v>
      </c>
      <c r="AF167" s="25" t="s">
        <v>69</v>
      </c>
      <c r="AG167" s="25" t="s">
        <v>55</v>
      </c>
      <c r="AH167" s="25" t="s">
        <v>55</v>
      </c>
      <c r="AI167" s="25" t="s">
        <v>55</v>
      </c>
      <c r="AJ167" s="25" t="s">
        <v>55</v>
      </c>
      <c r="AK167" s="25" t="s">
        <v>55</v>
      </c>
      <c r="AL167" s="25" t="s">
        <v>55</v>
      </c>
      <c r="AM167" s="25" t="s">
        <v>55</v>
      </c>
      <c r="AN167" s="25" t="s">
        <v>55</v>
      </c>
      <c r="AO167" s="25" t="s">
        <v>55</v>
      </c>
      <c r="AP167" s="25" t="s">
        <v>55</v>
      </c>
      <c r="AQ167" s="25" t="s">
        <v>55</v>
      </c>
      <c r="AR167" s="25" t="s">
        <v>55</v>
      </c>
      <c r="AS167" s="25" t="s">
        <v>55</v>
      </c>
      <c r="AT167" s="25" t="s">
        <v>55</v>
      </c>
      <c r="AU167" s="25" t="s">
        <v>55</v>
      </c>
      <c r="AV167" s="25" t="s">
        <v>55</v>
      </c>
      <c r="AW167" s="25" t="s">
        <v>55</v>
      </c>
      <c r="AX167" s="25" t="s">
        <v>55</v>
      </c>
      <c r="AY167" s="25" t="s">
        <v>1133</v>
      </c>
      <c r="AZ167" s="20">
        <f t="shared" si="7"/>
        <v>-40</v>
      </c>
      <c r="BA167" s="17" t="e">
        <f t="shared" si="8"/>
        <v>#N/A</v>
      </c>
      <c r="BB167" s="21" t="s">
        <v>335</v>
      </c>
    </row>
    <row r="168" spans="1:54" x14ac:dyDescent="0.35">
      <c r="A168" s="25" t="s">
        <v>1312</v>
      </c>
      <c r="B168" s="25" t="s">
        <v>347</v>
      </c>
      <c r="C168" s="25" t="s">
        <v>116</v>
      </c>
      <c r="D168" s="25" t="s">
        <v>465</v>
      </c>
      <c r="E168" s="25" t="s">
        <v>52</v>
      </c>
      <c r="F168" s="25" t="s">
        <v>1306</v>
      </c>
      <c r="G168" s="25" t="s">
        <v>126</v>
      </c>
      <c r="H168" s="25" t="s">
        <v>127</v>
      </c>
      <c r="I168" s="25" t="s">
        <v>117</v>
      </c>
      <c r="J168" s="25" t="s">
        <v>842</v>
      </c>
      <c r="K168" s="25" t="s">
        <v>594</v>
      </c>
      <c r="L168" s="25" t="s">
        <v>55</v>
      </c>
      <c r="M168" s="25" t="s">
        <v>703</v>
      </c>
      <c r="N168" s="25" t="s">
        <v>55</v>
      </c>
      <c r="O168" s="25" t="s">
        <v>1307</v>
      </c>
      <c r="P168" s="25" t="s">
        <v>1313</v>
      </c>
      <c r="Q168" s="25" t="s">
        <v>1314</v>
      </c>
      <c r="R168" s="25" t="s">
        <v>55</v>
      </c>
      <c r="S168" s="25" t="s">
        <v>55</v>
      </c>
      <c r="T168" s="25" t="s">
        <v>1315</v>
      </c>
      <c r="U168" s="25" t="s">
        <v>132</v>
      </c>
      <c r="V168" s="26">
        <v>46112</v>
      </c>
      <c r="W168" s="25" t="s">
        <v>55</v>
      </c>
      <c r="X168" s="25" t="s">
        <v>1308</v>
      </c>
      <c r="Y168" s="25" t="s">
        <v>65</v>
      </c>
      <c r="Z168" s="25" t="s">
        <v>55</v>
      </c>
      <c r="AA168" s="25" t="s">
        <v>155</v>
      </c>
      <c r="AB168" s="25" t="s">
        <v>55</v>
      </c>
      <c r="AC168" s="25" t="s">
        <v>55</v>
      </c>
      <c r="AD168" s="25" t="s">
        <v>118</v>
      </c>
      <c r="AE168" s="25" t="s">
        <v>97</v>
      </c>
      <c r="AF168" s="25" t="s">
        <v>98</v>
      </c>
      <c r="AG168" s="25" t="s">
        <v>55</v>
      </c>
      <c r="AH168" s="25" t="s">
        <v>55</v>
      </c>
      <c r="AI168" s="25" t="s">
        <v>55</v>
      </c>
      <c r="AJ168" s="25" t="s">
        <v>55</v>
      </c>
      <c r="AK168" s="25" t="s">
        <v>55</v>
      </c>
      <c r="AL168" s="25" t="s">
        <v>55</v>
      </c>
      <c r="AM168" s="25" t="s">
        <v>55</v>
      </c>
      <c r="AN168" s="25" t="s">
        <v>55</v>
      </c>
      <c r="AO168" s="25" t="s">
        <v>55</v>
      </c>
      <c r="AP168" s="25" t="s">
        <v>55</v>
      </c>
      <c r="AQ168" s="25" t="s">
        <v>55</v>
      </c>
      <c r="AR168" s="25" t="s">
        <v>55</v>
      </c>
      <c r="AS168" s="25" t="s">
        <v>55</v>
      </c>
      <c r="AT168" s="25" t="s">
        <v>55</v>
      </c>
      <c r="AU168" s="25" t="s">
        <v>55</v>
      </c>
      <c r="AV168" s="25" t="s">
        <v>55</v>
      </c>
      <c r="AW168" s="25" t="s">
        <v>55</v>
      </c>
      <c r="AX168" s="25" t="s">
        <v>55</v>
      </c>
      <c r="AY168" s="25" t="s">
        <v>1133</v>
      </c>
      <c r="AZ168" s="20">
        <f t="shared" si="7"/>
        <v>-130</v>
      </c>
      <c r="BA168" s="17" t="e">
        <f t="shared" si="8"/>
        <v>#N/A</v>
      </c>
      <c r="BB168" s="21" t="s">
        <v>335</v>
      </c>
    </row>
    <row r="169" spans="1:54" x14ac:dyDescent="0.35">
      <c r="A169" s="25" t="s">
        <v>1319</v>
      </c>
      <c r="B169" s="25" t="s">
        <v>347</v>
      </c>
      <c r="C169" s="25" t="s">
        <v>116</v>
      </c>
      <c r="D169" s="25" t="s">
        <v>465</v>
      </c>
      <c r="E169" s="25" t="s">
        <v>52</v>
      </c>
      <c r="F169" s="25" t="s">
        <v>1317</v>
      </c>
      <c r="G169" s="25" t="s">
        <v>126</v>
      </c>
      <c r="H169" s="25" t="s">
        <v>127</v>
      </c>
      <c r="I169" s="25" t="s">
        <v>117</v>
      </c>
      <c r="J169" s="25" t="s">
        <v>842</v>
      </c>
      <c r="K169" s="25" t="s">
        <v>594</v>
      </c>
      <c r="L169" s="25" t="s">
        <v>55</v>
      </c>
      <c r="M169" s="25" t="s">
        <v>128</v>
      </c>
      <c r="N169" s="25" t="s">
        <v>55</v>
      </c>
      <c r="O169" s="25" t="s">
        <v>1318</v>
      </c>
      <c r="P169" s="25" t="s">
        <v>1310</v>
      </c>
      <c r="Q169" s="25" t="s">
        <v>1230</v>
      </c>
      <c r="R169" s="25" t="s">
        <v>55</v>
      </c>
      <c r="S169" s="25" t="s">
        <v>55</v>
      </c>
      <c r="T169" s="25" t="s">
        <v>1320</v>
      </c>
      <c r="U169" s="25" t="s">
        <v>132</v>
      </c>
      <c r="V169" s="26">
        <v>46022</v>
      </c>
      <c r="W169" s="25" t="s">
        <v>55</v>
      </c>
      <c r="X169" s="25" t="s">
        <v>1110</v>
      </c>
      <c r="Y169" s="25" t="s">
        <v>65</v>
      </c>
      <c r="Z169" s="25" t="s">
        <v>55</v>
      </c>
      <c r="AA169" s="25" t="s">
        <v>221</v>
      </c>
      <c r="AB169" s="25" t="s">
        <v>55</v>
      </c>
      <c r="AC169" s="25" t="s">
        <v>55</v>
      </c>
      <c r="AD169" s="25" t="s">
        <v>118</v>
      </c>
      <c r="AE169" s="25" t="s">
        <v>97</v>
      </c>
      <c r="AF169" s="25" t="s">
        <v>69</v>
      </c>
      <c r="AG169" s="25" t="s">
        <v>55</v>
      </c>
      <c r="AH169" s="25" t="s">
        <v>55</v>
      </c>
      <c r="AI169" s="25" t="s">
        <v>55</v>
      </c>
      <c r="AJ169" s="25" t="s">
        <v>55</v>
      </c>
      <c r="AK169" s="25" t="s">
        <v>55</v>
      </c>
      <c r="AL169" s="25" t="s">
        <v>55</v>
      </c>
      <c r="AM169" s="25" t="s">
        <v>55</v>
      </c>
      <c r="AN169" s="25" t="s">
        <v>55</v>
      </c>
      <c r="AO169" s="25" t="s">
        <v>55</v>
      </c>
      <c r="AP169" s="25" t="s">
        <v>55</v>
      </c>
      <c r="AQ169" s="25" t="s">
        <v>55</v>
      </c>
      <c r="AR169" s="25" t="s">
        <v>55</v>
      </c>
      <c r="AS169" s="25" t="s">
        <v>55</v>
      </c>
      <c r="AT169" s="25" t="s">
        <v>55</v>
      </c>
      <c r="AU169" s="25" t="s">
        <v>55</v>
      </c>
      <c r="AV169" s="25" t="s">
        <v>55</v>
      </c>
      <c r="AW169" s="25" t="s">
        <v>55</v>
      </c>
      <c r="AX169" s="25" t="s">
        <v>55</v>
      </c>
      <c r="AY169" s="25" t="s">
        <v>1133</v>
      </c>
      <c r="AZ169" s="20">
        <f t="shared" si="7"/>
        <v>-40</v>
      </c>
      <c r="BA169" s="17" t="e">
        <f t="shared" si="8"/>
        <v>#N/A</v>
      </c>
      <c r="BB169" s="21" t="s">
        <v>335</v>
      </c>
    </row>
    <row r="170" spans="1:54" x14ac:dyDescent="0.35">
      <c r="A170" s="25" t="s">
        <v>1321</v>
      </c>
      <c r="B170" s="25" t="s">
        <v>347</v>
      </c>
      <c r="C170" s="25" t="s">
        <v>116</v>
      </c>
      <c r="D170" s="25" t="s">
        <v>465</v>
      </c>
      <c r="E170" s="25" t="s">
        <v>52</v>
      </c>
      <c r="F170" s="25" t="s">
        <v>1317</v>
      </c>
      <c r="G170" s="25" t="s">
        <v>126</v>
      </c>
      <c r="H170" s="25" t="s">
        <v>127</v>
      </c>
      <c r="I170" s="25" t="s">
        <v>117</v>
      </c>
      <c r="J170" s="25" t="s">
        <v>842</v>
      </c>
      <c r="K170" s="25" t="s">
        <v>594</v>
      </c>
      <c r="L170" s="25" t="s">
        <v>55</v>
      </c>
      <c r="M170" s="25" t="s">
        <v>703</v>
      </c>
      <c r="N170" s="25" t="s">
        <v>55</v>
      </c>
      <c r="O170" s="25" t="s">
        <v>1318</v>
      </c>
      <c r="P170" s="25" t="s">
        <v>1313</v>
      </c>
      <c r="Q170" s="25" t="s">
        <v>1314</v>
      </c>
      <c r="R170" s="25" t="s">
        <v>55</v>
      </c>
      <c r="S170" s="25" t="s">
        <v>55</v>
      </c>
      <c r="T170" s="25" t="s">
        <v>1315</v>
      </c>
      <c r="U170" s="25" t="s">
        <v>132</v>
      </c>
      <c r="V170" s="26">
        <v>46112</v>
      </c>
      <c r="W170" s="25" t="s">
        <v>55</v>
      </c>
      <c r="X170" s="25" t="s">
        <v>1308</v>
      </c>
      <c r="Y170" s="25" t="s">
        <v>65</v>
      </c>
      <c r="Z170" s="25" t="s">
        <v>55</v>
      </c>
      <c r="AA170" s="25" t="s">
        <v>155</v>
      </c>
      <c r="AB170" s="25" t="s">
        <v>55</v>
      </c>
      <c r="AC170" s="25" t="s">
        <v>55</v>
      </c>
      <c r="AD170" s="25" t="s">
        <v>118</v>
      </c>
      <c r="AE170" s="25" t="s">
        <v>97</v>
      </c>
      <c r="AF170" s="25" t="s">
        <v>98</v>
      </c>
      <c r="AG170" s="25" t="s">
        <v>55</v>
      </c>
      <c r="AH170" s="25" t="s">
        <v>55</v>
      </c>
      <c r="AI170" s="25" t="s">
        <v>55</v>
      </c>
      <c r="AJ170" s="25" t="s">
        <v>55</v>
      </c>
      <c r="AK170" s="25" t="s">
        <v>55</v>
      </c>
      <c r="AL170" s="25" t="s">
        <v>55</v>
      </c>
      <c r="AM170" s="25" t="s">
        <v>55</v>
      </c>
      <c r="AN170" s="25" t="s">
        <v>55</v>
      </c>
      <c r="AO170" s="25" t="s">
        <v>55</v>
      </c>
      <c r="AP170" s="25" t="s">
        <v>55</v>
      </c>
      <c r="AQ170" s="25" t="s">
        <v>55</v>
      </c>
      <c r="AR170" s="25" t="s">
        <v>55</v>
      </c>
      <c r="AS170" s="25" t="s">
        <v>55</v>
      </c>
      <c r="AT170" s="25" t="s">
        <v>55</v>
      </c>
      <c r="AU170" s="25" t="s">
        <v>55</v>
      </c>
      <c r="AV170" s="25" t="s">
        <v>55</v>
      </c>
      <c r="AW170" s="25" t="s">
        <v>55</v>
      </c>
      <c r="AX170" s="25" t="s">
        <v>55</v>
      </c>
      <c r="AY170" s="25" t="s">
        <v>1133</v>
      </c>
      <c r="AZ170" s="20">
        <f t="shared" si="7"/>
        <v>-130</v>
      </c>
      <c r="BA170" s="17" t="e">
        <f t="shared" si="8"/>
        <v>#N/A</v>
      </c>
      <c r="BB170" s="21" t="s">
        <v>335</v>
      </c>
    </row>
    <row r="171" spans="1:54" x14ac:dyDescent="0.35">
      <c r="A171" s="25" t="s">
        <v>1324</v>
      </c>
      <c r="B171" s="25" t="s">
        <v>347</v>
      </c>
      <c r="C171" s="25" t="s">
        <v>116</v>
      </c>
      <c r="D171" s="25" t="s">
        <v>465</v>
      </c>
      <c r="E171" s="25" t="s">
        <v>52</v>
      </c>
      <c r="F171" s="25" t="s">
        <v>1322</v>
      </c>
      <c r="G171" s="25" t="s">
        <v>126</v>
      </c>
      <c r="H171" s="25" t="s">
        <v>127</v>
      </c>
      <c r="I171" s="25" t="s">
        <v>117</v>
      </c>
      <c r="J171" s="25" t="s">
        <v>842</v>
      </c>
      <c r="K171" s="25" t="s">
        <v>594</v>
      </c>
      <c r="L171" s="25" t="s">
        <v>55</v>
      </c>
      <c r="M171" s="25" t="s">
        <v>128</v>
      </c>
      <c r="N171" s="25" t="s">
        <v>55</v>
      </c>
      <c r="O171" s="25" t="s">
        <v>1323</v>
      </c>
      <c r="P171" s="25" t="s">
        <v>1310</v>
      </c>
      <c r="Q171" s="25" t="s">
        <v>1230</v>
      </c>
      <c r="R171" s="25" t="s">
        <v>55</v>
      </c>
      <c r="S171" s="25" t="s">
        <v>55</v>
      </c>
      <c r="T171" s="25" t="s">
        <v>1311</v>
      </c>
      <c r="U171" s="25" t="s">
        <v>132</v>
      </c>
      <c r="V171" s="26">
        <v>46022</v>
      </c>
      <c r="W171" s="25" t="s">
        <v>55</v>
      </c>
      <c r="X171" s="25" t="s">
        <v>1110</v>
      </c>
      <c r="Y171" s="25" t="s">
        <v>65</v>
      </c>
      <c r="Z171" s="25" t="s">
        <v>55</v>
      </c>
      <c r="AA171" s="25" t="s">
        <v>221</v>
      </c>
      <c r="AB171" s="25" t="s">
        <v>55</v>
      </c>
      <c r="AC171" s="25" t="s">
        <v>55</v>
      </c>
      <c r="AD171" s="25" t="s">
        <v>118</v>
      </c>
      <c r="AE171" s="25" t="s">
        <v>97</v>
      </c>
      <c r="AF171" s="25" t="s">
        <v>69</v>
      </c>
      <c r="AG171" s="25" t="s">
        <v>55</v>
      </c>
      <c r="AH171" s="25" t="s">
        <v>55</v>
      </c>
      <c r="AI171" s="25" t="s">
        <v>55</v>
      </c>
      <c r="AJ171" s="25" t="s">
        <v>55</v>
      </c>
      <c r="AK171" s="25" t="s">
        <v>55</v>
      </c>
      <c r="AL171" s="25" t="s">
        <v>55</v>
      </c>
      <c r="AM171" s="25" t="s">
        <v>55</v>
      </c>
      <c r="AN171" s="25" t="s">
        <v>55</v>
      </c>
      <c r="AO171" s="25" t="s">
        <v>55</v>
      </c>
      <c r="AP171" s="25" t="s">
        <v>55</v>
      </c>
      <c r="AQ171" s="25" t="s">
        <v>55</v>
      </c>
      <c r="AR171" s="25" t="s">
        <v>55</v>
      </c>
      <c r="AS171" s="25" t="s">
        <v>55</v>
      </c>
      <c r="AT171" s="25" t="s">
        <v>55</v>
      </c>
      <c r="AU171" s="25" t="s">
        <v>55</v>
      </c>
      <c r="AV171" s="25" t="s">
        <v>55</v>
      </c>
      <c r="AW171" s="25" t="s">
        <v>55</v>
      </c>
      <c r="AX171" s="25" t="s">
        <v>55</v>
      </c>
      <c r="AY171" s="25" t="s">
        <v>1133</v>
      </c>
      <c r="AZ171" s="20">
        <f t="shared" si="7"/>
        <v>-40</v>
      </c>
      <c r="BA171" s="17" t="e">
        <f t="shared" si="8"/>
        <v>#N/A</v>
      </c>
      <c r="BB171" s="21" t="s">
        <v>335</v>
      </c>
    </row>
    <row r="172" spans="1:54" x14ac:dyDescent="0.35">
      <c r="A172" s="25" t="s">
        <v>1325</v>
      </c>
      <c r="B172" s="25" t="s">
        <v>347</v>
      </c>
      <c r="C172" s="25" t="s">
        <v>116</v>
      </c>
      <c r="D172" s="25" t="s">
        <v>465</v>
      </c>
      <c r="E172" s="25" t="s">
        <v>52</v>
      </c>
      <c r="F172" s="25" t="s">
        <v>1322</v>
      </c>
      <c r="G172" s="25" t="s">
        <v>126</v>
      </c>
      <c r="H172" s="25" t="s">
        <v>127</v>
      </c>
      <c r="I172" s="25" t="s">
        <v>117</v>
      </c>
      <c r="J172" s="25" t="s">
        <v>842</v>
      </c>
      <c r="K172" s="25" t="s">
        <v>594</v>
      </c>
      <c r="L172" s="25" t="s">
        <v>55</v>
      </c>
      <c r="M172" s="25" t="s">
        <v>703</v>
      </c>
      <c r="N172" s="25" t="s">
        <v>55</v>
      </c>
      <c r="O172" s="25" t="s">
        <v>1323</v>
      </c>
      <c r="P172" s="25" t="s">
        <v>1313</v>
      </c>
      <c r="Q172" s="25" t="s">
        <v>1314</v>
      </c>
      <c r="R172" s="25" t="s">
        <v>55</v>
      </c>
      <c r="S172" s="25" t="s">
        <v>55</v>
      </c>
      <c r="T172" s="25" t="s">
        <v>1315</v>
      </c>
      <c r="U172" s="25" t="s">
        <v>132</v>
      </c>
      <c r="V172" s="26">
        <v>46112</v>
      </c>
      <c r="W172" s="25" t="s">
        <v>55</v>
      </c>
      <c r="X172" s="25" t="s">
        <v>1308</v>
      </c>
      <c r="Y172" s="25" t="s">
        <v>65</v>
      </c>
      <c r="Z172" s="25" t="s">
        <v>55</v>
      </c>
      <c r="AA172" s="25" t="s">
        <v>155</v>
      </c>
      <c r="AB172" s="25" t="s">
        <v>55</v>
      </c>
      <c r="AC172" s="25" t="s">
        <v>55</v>
      </c>
      <c r="AD172" s="25" t="s">
        <v>118</v>
      </c>
      <c r="AE172" s="25" t="s">
        <v>97</v>
      </c>
      <c r="AF172" s="25" t="s">
        <v>98</v>
      </c>
      <c r="AG172" s="25" t="s">
        <v>55</v>
      </c>
      <c r="AH172" s="25" t="s">
        <v>55</v>
      </c>
      <c r="AI172" s="25" t="s">
        <v>55</v>
      </c>
      <c r="AJ172" s="25" t="s">
        <v>55</v>
      </c>
      <c r="AK172" s="25" t="s">
        <v>55</v>
      </c>
      <c r="AL172" s="25" t="s">
        <v>55</v>
      </c>
      <c r="AM172" s="25" t="s">
        <v>55</v>
      </c>
      <c r="AN172" s="25" t="s">
        <v>55</v>
      </c>
      <c r="AO172" s="25" t="s">
        <v>55</v>
      </c>
      <c r="AP172" s="25" t="s">
        <v>55</v>
      </c>
      <c r="AQ172" s="25" t="s">
        <v>55</v>
      </c>
      <c r="AR172" s="25" t="s">
        <v>55</v>
      </c>
      <c r="AS172" s="25" t="s">
        <v>55</v>
      </c>
      <c r="AT172" s="25" t="s">
        <v>55</v>
      </c>
      <c r="AU172" s="25" t="s">
        <v>55</v>
      </c>
      <c r="AV172" s="25" t="s">
        <v>55</v>
      </c>
      <c r="AW172" s="25" t="s">
        <v>55</v>
      </c>
      <c r="AX172" s="25" t="s">
        <v>55</v>
      </c>
      <c r="AY172" s="25" t="s">
        <v>1133</v>
      </c>
      <c r="AZ172" s="20">
        <f t="shared" si="7"/>
        <v>-130</v>
      </c>
      <c r="BA172" s="17" t="e">
        <f t="shared" si="8"/>
        <v>#N/A</v>
      </c>
      <c r="BB172" s="21" t="s">
        <v>335</v>
      </c>
    </row>
    <row r="173" spans="1:54" x14ac:dyDescent="0.35">
      <c r="A173" s="25" t="s">
        <v>1326</v>
      </c>
      <c r="B173" s="25" t="s">
        <v>347</v>
      </c>
      <c r="C173" s="25" t="s">
        <v>116</v>
      </c>
      <c r="D173" s="25" t="s">
        <v>465</v>
      </c>
      <c r="E173" s="25" t="s">
        <v>52</v>
      </c>
      <c r="F173" s="25" t="s">
        <v>1327</v>
      </c>
      <c r="G173" s="25" t="s">
        <v>126</v>
      </c>
      <c r="H173" s="25" t="s">
        <v>138</v>
      </c>
      <c r="I173" s="25" t="s">
        <v>160</v>
      </c>
      <c r="J173" s="25" t="s">
        <v>857</v>
      </c>
      <c r="K173" s="25" t="s">
        <v>572</v>
      </c>
      <c r="L173" s="25" t="s">
        <v>55</v>
      </c>
      <c r="M173" s="25" t="s">
        <v>1328</v>
      </c>
      <c r="N173" s="25" t="s">
        <v>55</v>
      </c>
      <c r="O173" s="25" t="s">
        <v>1329</v>
      </c>
      <c r="P173" s="25" t="s">
        <v>1330</v>
      </c>
      <c r="Q173" s="25" t="s">
        <v>1331</v>
      </c>
      <c r="R173" s="25" t="s">
        <v>55</v>
      </c>
      <c r="S173" s="25" t="s">
        <v>55</v>
      </c>
      <c r="T173" s="25" t="s">
        <v>1332</v>
      </c>
      <c r="U173" s="25" t="s">
        <v>132</v>
      </c>
      <c r="V173" s="26">
        <v>45961</v>
      </c>
      <c r="W173" s="25" t="s">
        <v>55</v>
      </c>
      <c r="X173" s="25" t="s">
        <v>1333</v>
      </c>
      <c r="Y173" s="25" t="s">
        <v>65</v>
      </c>
      <c r="Z173" s="25" t="s">
        <v>55</v>
      </c>
      <c r="AA173" s="25" t="s">
        <v>66</v>
      </c>
      <c r="AB173" s="25" t="s">
        <v>55</v>
      </c>
      <c r="AC173" s="25" t="s">
        <v>55</v>
      </c>
      <c r="AD173" s="25" t="s">
        <v>118</v>
      </c>
      <c r="AE173" s="25" t="s">
        <v>97</v>
      </c>
      <c r="AF173" s="25" t="s">
        <v>779</v>
      </c>
      <c r="AG173" s="25" t="s">
        <v>55</v>
      </c>
      <c r="AH173" s="25" t="s">
        <v>55</v>
      </c>
      <c r="AI173" s="25" t="s">
        <v>55</v>
      </c>
      <c r="AJ173" s="25" t="s">
        <v>55</v>
      </c>
      <c r="AK173" s="25" t="s">
        <v>55</v>
      </c>
      <c r="AL173" s="25" t="s">
        <v>55</v>
      </c>
      <c r="AM173" s="25" t="s">
        <v>55</v>
      </c>
      <c r="AN173" s="25" t="s">
        <v>55</v>
      </c>
      <c r="AO173" s="25" t="s">
        <v>55</v>
      </c>
      <c r="AP173" s="25" t="s">
        <v>55</v>
      </c>
      <c r="AQ173" s="25" t="s">
        <v>55</v>
      </c>
      <c r="AR173" s="25" t="s">
        <v>55</v>
      </c>
      <c r="AS173" s="25" t="s">
        <v>55</v>
      </c>
      <c r="AT173" s="25" t="s">
        <v>55</v>
      </c>
      <c r="AU173" s="25" t="s">
        <v>55</v>
      </c>
      <c r="AV173" s="25" t="s">
        <v>55</v>
      </c>
      <c r="AW173" s="25" t="s">
        <v>55</v>
      </c>
      <c r="AX173" s="25" t="s">
        <v>55</v>
      </c>
      <c r="AY173" s="25" t="s">
        <v>1133</v>
      </c>
      <c r="AZ173" s="20">
        <f t="shared" si="7"/>
        <v>21</v>
      </c>
      <c r="BA173" s="17" t="str">
        <f t="shared" si="8"/>
        <v>&lt; 3 months</v>
      </c>
      <c r="BB173" s="21" t="s">
        <v>66</v>
      </c>
    </row>
    <row r="174" spans="1:54" x14ac:dyDescent="0.35">
      <c r="A174" s="25" t="s">
        <v>1334</v>
      </c>
      <c r="B174" s="25" t="s">
        <v>347</v>
      </c>
      <c r="C174" s="25" t="s">
        <v>116</v>
      </c>
      <c r="D174" s="25" t="s">
        <v>465</v>
      </c>
      <c r="E174" s="25" t="s">
        <v>52</v>
      </c>
      <c r="F174" s="25" t="s">
        <v>1327</v>
      </c>
      <c r="G174" s="25" t="s">
        <v>126</v>
      </c>
      <c r="H174" s="25" t="s">
        <v>138</v>
      </c>
      <c r="I174" s="25" t="s">
        <v>160</v>
      </c>
      <c r="J174" s="25" t="s">
        <v>857</v>
      </c>
      <c r="K174" s="25" t="s">
        <v>572</v>
      </c>
      <c r="L174" s="25" t="s">
        <v>55</v>
      </c>
      <c r="M174" s="25" t="s">
        <v>161</v>
      </c>
      <c r="N174" s="25" t="s">
        <v>55</v>
      </c>
      <c r="O174" s="25" t="s">
        <v>1329</v>
      </c>
      <c r="P174" s="25" t="s">
        <v>1330</v>
      </c>
      <c r="Q174" s="25" t="s">
        <v>1331</v>
      </c>
      <c r="R174" s="25" t="s">
        <v>55</v>
      </c>
      <c r="S174" s="25" t="s">
        <v>55</v>
      </c>
      <c r="T174" s="25" t="s">
        <v>1335</v>
      </c>
      <c r="U174" s="25" t="s">
        <v>132</v>
      </c>
      <c r="V174" s="26">
        <v>45961</v>
      </c>
      <c r="W174" s="25" t="s">
        <v>55</v>
      </c>
      <c r="X174" s="25" t="s">
        <v>1333</v>
      </c>
      <c r="Y174" s="25" t="s">
        <v>65</v>
      </c>
      <c r="Z174" s="25" t="s">
        <v>55</v>
      </c>
      <c r="AA174" s="25" t="s">
        <v>66</v>
      </c>
      <c r="AB174" s="25" t="s">
        <v>55</v>
      </c>
      <c r="AC174" s="25" t="s">
        <v>55</v>
      </c>
      <c r="AD174" s="25" t="s">
        <v>118</v>
      </c>
      <c r="AE174" s="25" t="s">
        <v>97</v>
      </c>
      <c r="AF174" s="25" t="s">
        <v>69</v>
      </c>
      <c r="AG174" s="25" t="s">
        <v>55</v>
      </c>
      <c r="AH174" s="25" t="s">
        <v>55</v>
      </c>
      <c r="AI174" s="25" t="s">
        <v>55</v>
      </c>
      <c r="AJ174" s="25" t="s">
        <v>55</v>
      </c>
      <c r="AK174" s="25" t="s">
        <v>55</v>
      </c>
      <c r="AL174" s="25" t="s">
        <v>55</v>
      </c>
      <c r="AM174" s="25" t="s">
        <v>55</v>
      </c>
      <c r="AN174" s="25" t="s">
        <v>55</v>
      </c>
      <c r="AO174" s="25" t="s">
        <v>55</v>
      </c>
      <c r="AP174" s="25" t="s">
        <v>55</v>
      </c>
      <c r="AQ174" s="25" t="s">
        <v>55</v>
      </c>
      <c r="AR174" s="25" t="s">
        <v>55</v>
      </c>
      <c r="AS174" s="25" t="s">
        <v>55</v>
      </c>
      <c r="AT174" s="25" t="s">
        <v>55</v>
      </c>
      <c r="AU174" s="25" t="s">
        <v>55</v>
      </c>
      <c r="AV174" s="25" t="s">
        <v>55</v>
      </c>
      <c r="AW174" s="25" t="s">
        <v>55</v>
      </c>
      <c r="AX174" s="25" t="s">
        <v>55</v>
      </c>
      <c r="AY174" s="25" t="s">
        <v>1133</v>
      </c>
      <c r="AZ174" s="20">
        <f t="shared" si="7"/>
        <v>21</v>
      </c>
      <c r="BA174" s="17" t="str">
        <f t="shared" si="8"/>
        <v>&lt; 3 months</v>
      </c>
      <c r="BB174" s="21" t="s">
        <v>66</v>
      </c>
    </row>
    <row r="175" spans="1:54" x14ac:dyDescent="0.35">
      <c r="A175" s="25" t="s">
        <v>1336</v>
      </c>
      <c r="B175" s="25" t="s">
        <v>347</v>
      </c>
      <c r="C175" s="25" t="s">
        <v>116</v>
      </c>
      <c r="D175" s="25" t="s">
        <v>465</v>
      </c>
      <c r="E175" s="25" t="s">
        <v>52</v>
      </c>
      <c r="F175" s="25" t="s">
        <v>1327</v>
      </c>
      <c r="G175" s="25" t="s">
        <v>126</v>
      </c>
      <c r="H175" s="25" t="s">
        <v>138</v>
      </c>
      <c r="I175" s="25" t="s">
        <v>117</v>
      </c>
      <c r="J175" s="25" t="s">
        <v>1023</v>
      </c>
      <c r="K175" s="25" t="s">
        <v>572</v>
      </c>
      <c r="L175" s="25" t="s">
        <v>55</v>
      </c>
      <c r="M175" s="25" t="s">
        <v>1024</v>
      </c>
      <c r="N175" s="25" t="s">
        <v>55</v>
      </c>
      <c r="O175" s="25" t="s">
        <v>1329</v>
      </c>
      <c r="P175" s="25" t="s">
        <v>1330</v>
      </c>
      <c r="Q175" s="25" t="s">
        <v>1337</v>
      </c>
      <c r="R175" s="25" t="s">
        <v>55</v>
      </c>
      <c r="S175" s="25" t="s">
        <v>55</v>
      </c>
      <c r="T175" s="25" t="s">
        <v>1338</v>
      </c>
      <c r="U175" s="25" t="s">
        <v>63</v>
      </c>
      <c r="V175" s="26">
        <v>45961</v>
      </c>
      <c r="W175" s="25" t="s">
        <v>55</v>
      </c>
      <c r="X175" s="25" t="s">
        <v>1333</v>
      </c>
      <c r="Y175" s="25" t="s">
        <v>65</v>
      </c>
      <c r="Z175" s="25" t="s">
        <v>55</v>
      </c>
      <c r="AA175" s="25" t="s">
        <v>66</v>
      </c>
      <c r="AB175" s="25" t="s">
        <v>55</v>
      </c>
      <c r="AC175" s="25" t="s">
        <v>55</v>
      </c>
      <c r="AD175" s="25" t="s">
        <v>118</v>
      </c>
      <c r="AE175" s="25" t="s">
        <v>97</v>
      </c>
      <c r="AF175" s="25" t="s">
        <v>1025</v>
      </c>
      <c r="AG175" s="25" t="s">
        <v>55</v>
      </c>
      <c r="AH175" s="25" t="s">
        <v>55</v>
      </c>
      <c r="AI175" s="25" t="s">
        <v>55</v>
      </c>
      <c r="AJ175" s="25" t="s">
        <v>55</v>
      </c>
      <c r="AK175" s="25" t="s">
        <v>55</v>
      </c>
      <c r="AL175" s="25" t="s">
        <v>55</v>
      </c>
      <c r="AM175" s="25" t="s">
        <v>55</v>
      </c>
      <c r="AN175" s="25" t="s">
        <v>55</v>
      </c>
      <c r="AO175" s="25" t="s">
        <v>55</v>
      </c>
      <c r="AP175" s="25" t="s">
        <v>55</v>
      </c>
      <c r="AQ175" s="25" t="s">
        <v>55</v>
      </c>
      <c r="AR175" s="25" t="s">
        <v>55</v>
      </c>
      <c r="AS175" s="25" t="s">
        <v>55</v>
      </c>
      <c r="AT175" s="25" t="s">
        <v>55</v>
      </c>
      <c r="AU175" s="25" t="s">
        <v>55</v>
      </c>
      <c r="AV175" s="25" t="s">
        <v>55</v>
      </c>
      <c r="AW175" s="25" t="s">
        <v>55</v>
      </c>
      <c r="AX175" s="25" t="s">
        <v>55</v>
      </c>
      <c r="AY175" s="25" t="s">
        <v>1133</v>
      </c>
      <c r="AZ175" s="20">
        <f t="shared" si="7"/>
        <v>21</v>
      </c>
      <c r="BA175" s="17" t="str">
        <f t="shared" si="8"/>
        <v>&lt; 3 months</v>
      </c>
      <c r="BB175" s="21" t="s">
        <v>66</v>
      </c>
    </row>
    <row r="176" spans="1:54" x14ac:dyDescent="0.35">
      <c r="A176" s="25" t="s">
        <v>1339</v>
      </c>
      <c r="B176" s="25" t="s">
        <v>347</v>
      </c>
      <c r="C176" s="25" t="s">
        <v>116</v>
      </c>
      <c r="D176" s="25" t="s">
        <v>465</v>
      </c>
      <c r="E176" s="25" t="s">
        <v>52</v>
      </c>
      <c r="F176" s="25" t="s">
        <v>1327</v>
      </c>
      <c r="G176" s="25" t="s">
        <v>126</v>
      </c>
      <c r="H176" s="25" t="s">
        <v>138</v>
      </c>
      <c r="I176" s="25" t="s">
        <v>117</v>
      </c>
      <c r="J176" s="25" t="s">
        <v>842</v>
      </c>
      <c r="K176" s="25" t="s">
        <v>572</v>
      </c>
      <c r="L176" s="25" t="s">
        <v>55</v>
      </c>
      <c r="M176" s="25" t="s">
        <v>128</v>
      </c>
      <c r="N176" s="25" t="s">
        <v>55</v>
      </c>
      <c r="O176" s="25" t="s">
        <v>1329</v>
      </c>
      <c r="P176" s="25" t="s">
        <v>1330</v>
      </c>
      <c r="Q176" s="25" t="s">
        <v>1340</v>
      </c>
      <c r="R176" s="25" t="s">
        <v>55</v>
      </c>
      <c r="S176" s="25" t="s">
        <v>55</v>
      </c>
      <c r="T176" s="25" t="s">
        <v>1341</v>
      </c>
      <c r="U176" s="25" t="s">
        <v>132</v>
      </c>
      <c r="V176" s="26">
        <v>45961</v>
      </c>
      <c r="W176" s="25" t="s">
        <v>55</v>
      </c>
      <c r="X176" s="25" t="s">
        <v>1333</v>
      </c>
      <c r="Y176" s="25" t="s">
        <v>65</v>
      </c>
      <c r="Z176" s="25" t="s">
        <v>55</v>
      </c>
      <c r="AA176" s="25" t="s">
        <v>66</v>
      </c>
      <c r="AB176" s="25" t="s">
        <v>55</v>
      </c>
      <c r="AC176" s="25" t="s">
        <v>55</v>
      </c>
      <c r="AD176" s="25" t="s">
        <v>118</v>
      </c>
      <c r="AE176" s="25" t="s">
        <v>97</v>
      </c>
      <c r="AF176" s="25" t="s">
        <v>69</v>
      </c>
      <c r="AG176" s="25" t="s">
        <v>55</v>
      </c>
      <c r="AH176" s="25" t="s">
        <v>55</v>
      </c>
      <c r="AI176" s="25" t="s">
        <v>55</v>
      </c>
      <c r="AJ176" s="25" t="s">
        <v>55</v>
      </c>
      <c r="AK176" s="25" t="s">
        <v>55</v>
      </c>
      <c r="AL176" s="25" t="s">
        <v>55</v>
      </c>
      <c r="AM176" s="25" t="s">
        <v>55</v>
      </c>
      <c r="AN176" s="25" t="s">
        <v>55</v>
      </c>
      <c r="AO176" s="25" t="s">
        <v>55</v>
      </c>
      <c r="AP176" s="25" t="s">
        <v>55</v>
      </c>
      <c r="AQ176" s="25" t="s">
        <v>55</v>
      </c>
      <c r="AR176" s="25" t="s">
        <v>55</v>
      </c>
      <c r="AS176" s="25" t="s">
        <v>55</v>
      </c>
      <c r="AT176" s="25" t="s">
        <v>55</v>
      </c>
      <c r="AU176" s="25" t="s">
        <v>55</v>
      </c>
      <c r="AV176" s="25" t="s">
        <v>55</v>
      </c>
      <c r="AW176" s="25" t="s">
        <v>55</v>
      </c>
      <c r="AX176" s="25" t="s">
        <v>55</v>
      </c>
      <c r="AY176" s="25" t="s">
        <v>1133</v>
      </c>
      <c r="AZ176" s="20">
        <f t="shared" si="7"/>
        <v>21</v>
      </c>
      <c r="BA176" s="17" t="str">
        <f t="shared" si="8"/>
        <v>&lt; 3 months</v>
      </c>
      <c r="BB176" s="21" t="s">
        <v>66</v>
      </c>
    </row>
    <row r="177" spans="1:54" x14ac:dyDescent="0.35">
      <c r="A177" s="25" t="s">
        <v>1342</v>
      </c>
      <c r="B177" s="25" t="s">
        <v>347</v>
      </c>
      <c r="C177" s="25" t="s">
        <v>116</v>
      </c>
      <c r="D177" s="25" t="s">
        <v>465</v>
      </c>
      <c r="E177" s="25" t="s">
        <v>52</v>
      </c>
      <c r="F177" s="25" t="s">
        <v>1327</v>
      </c>
      <c r="G177" s="25" t="s">
        <v>126</v>
      </c>
      <c r="H177" s="25" t="s">
        <v>138</v>
      </c>
      <c r="I177" s="25" t="s">
        <v>526</v>
      </c>
      <c r="J177" s="25" t="s">
        <v>1343</v>
      </c>
      <c r="K177" s="25" t="s">
        <v>868</v>
      </c>
      <c r="L177" s="25" t="s">
        <v>55</v>
      </c>
      <c r="M177" s="25" t="s">
        <v>1344</v>
      </c>
      <c r="N177" s="25" t="s">
        <v>55</v>
      </c>
      <c r="O177" s="25" t="s">
        <v>1329</v>
      </c>
      <c r="P177" s="25" t="s">
        <v>1345</v>
      </c>
      <c r="Q177" s="25" t="s">
        <v>1346</v>
      </c>
      <c r="R177" s="25" t="s">
        <v>55</v>
      </c>
      <c r="S177" s="25" t="s">
        <v>55</v>
      </c>
      <c r="T177" s="25" t="s">
        <v>1347</v>
      </c>
      <c r="U177" s="25" t="s">
        <v>63</v>
      </c>
      <c r="V177" s="26">
        <v>45961</v>
      </c>
      <c r="W177" s="25" t="s">
        <v>55</v>
      </c>
      <c r="X177" s="25" t="s">
        <v>1333</v>
      </c>
      <c r="Y177" s="25" t="s">
        <v>65</v>
      </c>
      <c r="Z177" s="25" t="s">
        <v>55</v>
      </c>
      <c r="AA177" s="25" t="s">
        <v>66</v>
      </c>
      <c r="AB177" s="25" t="s">
        <v>55</v>
      </c>
      <c r="AC177" s="25" t="s">
        <v>55</v>
      </c>
      <c r="AD177" s="25" t="s">
        <v>118</v>
      </c>
      <c r="AE177" s="25" t="s">
        <v>97</v>
      </c>
      <c r="AF177" s="25" t="s">
        <v>55</v>
      </c>
      <c r="AG177" s="25" t="s">
        <v>55</v>
      </c>
      <c r="AH177" s="25" t="s">
        <v>55</v>
      </c>
      <c r="AI177" s="25" t="s">
        <v>55</v>
      </c>
      <c r="AJ177" s="25" t="s">
        <v>55</v>
      </c>
      <c r="AK177" s="25" t="s">
        <v>55</v>
      </c>
      <c r="AL177" s="25" t="s">
        <v>55</v>
      </c>
      <c r="AM177" s="25" t="s">
        <v>55</v>
      </c>
      <c r="AN177" s="25" t="s">
        <v>55</v>
      </c>
      <c r="AO177" s="25" t="s">
        <v>55</v>
      </c>
      <c r="AP177" s="25" t="s">
        <v>55</v>
      </c>
      <c r="AQ177" s="25" t="s">
        <v>55</v>
      </c>
      <c r="AR177" s="25" t="s">
        <v>55</v>
      </c>
      <c r="AS177" s="25" t="s">
        <v>55</v>
      </c>
      <c r="AT177" s="25" t="s">
        <v>55</v>
      </c>
      <c r="AU177" s="25" t="s">
        <v>55</v>
      </c>
      <c r="AV177" s="25" t="s">
        <v>55</v>
      </c>
      <c r="AW177" s="25" t="s">
        <v>55</v>
      </c>
      <c r="AX177" s="25" t="s">
        <v>55</v>
      </c>
      <c r="AY177" s="25" t="s">
        <v>1133</v>
      </c>
      <c r="AZ177" s="20">
        <f t="shared" si="7"/>
        <v>21</v>
      </c>
      <c r="BA177" s="17" t="str">
        <f t="shared" si="8"/>
        <v>&lt; 3 months</v>
      </c>
      <c r="BB177" s="21" t="s">
        <v>66</v>
      </c>
    </row>
    <row r="178" spans="1:54" x14ac:dyDescent="0.35">
      <c r="A178" s="25" t="s">
        <v>1348</v>
      </c>
      <c r="B178" s="25" t="s">
        <v>347</v>
      </c>
      <c r="C178" s="25" t="s">
        <v>116</v>
      </c>
      <c r="D178" s="25" t="s">
        <v>465</v>
      </c>
      <c r="E178" s="25" t="s">
        <v>52</v>
      </c>
      <c r="F178" s="25" t="s">
        <v>1327</v>
      </c>
      <c r="G178" s="25" t="s">
        <v>126</v>
      </c>
      <c r="H178" s="25" t="s">
        <v>138</v>
      </c>
      <c r="I178" s="25" t="s">
        <v>526</v>
      </c>
      <c r="J178" s="25" t="s">
        <v>1343</v>
      </c>
      <c r="K178" s="25" t="s">
        <v>584</v>
      </c>
      <c r="L178" s="25" t="s">
        <v>55</v>
      </c>
      <c r="M178" s="25" t="s">
        <v>1349</v>
      </c>
      <c r="N178" s="25" t="s">
        <v>55</v>
      </c>
      <c r="O178" s="25" t="s">
        <v>1329</v>
      </c>
      <c r="P178" s="25" t="s">
        <v>1330</v>
      </c>
      <c r="Q178" s="25" t="s">
        <v>1350</v>
      </c>
      <c r="R178" s="25" t="s">
        <v>55</v>
      </c>
      <c r="S178" s="25" t="s">
        <v>55</v>
      </c>
      <c r="T178" s="25" t="s">
        <v>1351</v>
      </c>
      <c r="U178" s="25" t="s">
        <v>132</v>
      </c>
      <c r="V178" s="26">
        <v>45961</v>
      </c>
      <c r="W178" s="25" t="s">
        <v>55</v>
      </c>
      <c r="X178" s="25" t="s">
        <v>1333</v>
      </c>
      <c r="Y178" s="25" t="s">
        <v>65</v>
      </c>
      <c r="Z178" s="25" t="s">
        <v>55</v>
      </c>
      <c r="AA178" s="25" t="s">
        <v>66</v>
      </c>
      <c r="AB178" s="25" t="s">
        <v>55</v>
      </c>
      <c r="AC178" s="25" t="s">
        <v>55</v>
      </c>
      <c r="AD178" s="25" t="s">
        <v>118</v>
      </c>
      <c r="AE178" s="25" t="s">
        <v>97</v>
      </c>
      <c r="AF178" s="25" t="s">
        <v>1352</v>
      </c>
      <c r="AG178" s="25" t="s">
        <v>55</v>
      </c>
      <c r="AH178" s="25" t="s">
        <v>55</v>
      </c>
      <c r="AI178" s="25" t="s">
        <v>55</v>
      </c>
      <c r="AJ178" s="25" t="s">
        <v>55</v>
      </c>
      <c r="AK178" s="25" t="s">
        <v>55</v>
      </c>
      <c r="AL178" s="25" t="s">
        <v>55</v>
      </c>
      <c r="AM178" s="25" t="s">
        <v>55</v>
      </c>
      <c r="AN178" s="25" t="s">
        <v>55</v>
      </c>
      <c r="AO178" s="25" t="s">
        <v>55</v>
      </c>
      <c r="AP178" s="25" t="s">
        <v>55</v>
      </c>
      <c r="AQ178" s="25" t="s">
        <v>55</v>
      </c>
      <c r="AR178" s="25" t="s">
        <v>55</v>
      </c>
      <c r="AS178" s="25" t="s">
        <v>55</v>
      </c>
      <c r="AT178" s="25" t="s">
        <v>55</v>
      </c>
      <c r="AU178" s="25" t="s">
        <v>55</v>
      </c>
      <c r="AV178" s="25" t="s">
        <v>55</v>
      </c>
      <c r="AW178" s="25" t="s">
        <v>55</v>
      </c>
      <c r="AX178" s="25" t="s">
        <v>55</v>
      </c>
      <c r="AY178" s="25" t="s">
        <v>1133</v>
      </c>
      <c r="AZ178" s="20">
        <f t="shared" si="7"/>
        <v>21</v>
      </c>
      <c r="BA178" s="17" t="str">
        <f t="shared" si="8"/>
        <v>&lt; 3 months</v>
      </c>
      <c r="BB178" s="21" t="s">
        <v>66</v>
      </c>
    </row>
    <row r="179" spans="1:54" x14ac:dyDescent="0.35">
      <c r="A179" s="25" t="s">
        <v>1353</v>
      </c>
      <c r="B179" s="25" t="s">
        <v>347</v>
      </c>
      <c r="C179" s="25" t="s">
        <v>116</v>
      </c>
      <c r="D179" s="25" t="s">
        <v>465</v>
      </c>
      <c r="E179" s="25" t="s">
        <v>52</v>
      </c>
      <c r="F179" s="25" t="s">
        <v>1327</v>
      </c>
      <c r="G179" s="25" t="s">
        <v>126</v>
      </c>
      <c r="H179" s="25" t="s">
        <v>138</v>
      </c>
      <c r="I179" s="25" t="s">
        <v>526</v>
      </c>
      <c r="J179" s="25" t="s">
        <v>822</v>
      </c>
      <c r="K179" s="25" t="s">
        <v>572</v>
      </c>
      <c r="L179" s="25" t="s">
        <v>55</v>
      </c>
      <c r="M179" s="25" t="s">
        <v>252</v>
      </c>
      <c r="N179" s="25" t="s">
        <v>55</v>
      </c>
      <c r="O179" s="25" t="s">
        <v>1329</v>
      </c>
      <c r="P179" s="25" t="s">
        <v>1330</v>
      </c>
      <c r="Q179" s="25" t="s">
        <v>1354</v>
      </c>
      <c r="R179" s="25" t="s">
        <v>55</v>
      </c>
      <c r="S179" s="25" t="s">
        <v>55</v>
      </c>
      <c r="T179" s="25" t="s">
        <v>1355</v>
      </c>
      <c r="U179" s="25" t="s">
        <v>63</v>
      </c>
      <c r="V179" s="26">
        <v>45961</v>
      </c>
      <c r="W179" s="25" t="s">
        <v>55</v>
      </c>
      <c r="X179" s="25" t="s">
        <v>1333</v>
      </c>
      <c r="Y179" s="25" t="s">
        <v>65</v>
      </c>
      <c r="Z179" s="25" t="s">
        <v>55</v>
      </c>
      <c r="AA179" s="25" t="s">
        <v>66</v>
      </c>
      <c r="AB179" s="25" t="s">
        <v>55</v>
      </c>
      <c r="AC179" s="25" t="s">
        <v>55</v>
      </c>
      <c r="AD179" s="25" t="s">
        <v>118</v>
      </c>
      <c r="AE179" s="25" t="s">
        <v>97</v>
      </c>
      <c r="AF179" s="25" t="s">
        <v>98</v>
      </c>
      <c r="AG179" s="25" t="s">
        <v>55</v>
      </c>
      <c r="AH179" s="25" t="s">
        <v>55</v>
      </c>
      <c r="AI179" s="25" t="s">
        <v>55</v>
      </c>
      <c r="AJ179" s="25" t="s">
        <v>55</v>
      </c>
      <c r="AK179" s="25" t="s">
        <v>55</v>
      </c>
      <c r="AL179" s="25" t="s">
        <v>55</v>
      </c>
      <c r="AM179" s="25" t="s">
        <v>55</v>
      </c>
      <c r="AN179" s="25" t="s">
        <v>55</v>
      </c>
      <c r="AO179" s="25" t="s">
        <v>55</v>
      </c>
      <c r="AP179" s="25" t="s">
        <v>55</v>
      </c>
      <c r="AQ179" s="25" t="s">
        <v>55</v>
      </c>
      <c r="AR179" s="25" t="s">
        <v>55</v>
      </c>
      <c r="AS179" s="25" t="s">
        <v>55</v>
      </c>
      <c r="AT179" s="25" t="s">
        <v>55</v>
      </c>
      <c r="AU179" s="25" t="s">
        <v>55</v>
      </c>
      <c r="AV179" s="25" t="s">
        <v>55</v>
      </c>
      <c r="AW179" s="25" t="s">
        <v>55</v>
      </c>
      <c r="AX179" s="25" t="s">
        <v>55</v>
      </c>
      <c r="AY179" s="25" t="s">
        <v>1133</v>
      </c>
      <c r="AZ179" s="20">
        <f t="shared" si="7"/>
        <v>21</v>
      </c>
      <c r="BA179" s="17" t="str">
        <f t="shared" si="8"/>
        <v>&lt; 3 months</v>
      </c>
      <c r="BB179" s="21" t="s">
        <v>66</v>
      </c>
    </row>
    <row r="180" spans="1:54" x14ac:dyDescent="0.35">
      <c r="A180" s="25" t="s">
        <v>1356</v>
      </c>
      <c r="B180" s="25" t="s">
        <v>347</v>
      </c>
      <c r="C180" s="25" t="s">
        <v>116</v>
      </c>
      <c r="D180" s="25" t="s">
        <v>465</v>
      </c>
      <c r="E180" s="25" t="s">
        <v>52</v>
      </c>
      <c r="F180" s="25" t="s">
        <v>1327</v>
      </c>
      <c r="G180" s="25" t="s">
        <v>126</v>
      </c>
      <c r="H180" s="25" t="s">
        <v>138</v>
      </c>
      <c r="I180" s="25" t="s">
        <v>526</v>
      </c>
      <c r="J180" s="25" t="s">
        <v>993</v>
      </c>
      <c r="K180" s="25" t="s">
        <v>868</v>
      </c>
      <c r="L180" s="25" t="s">
        <v>55</v>
      </c>
      <c r="M180" s="25" t="s">
        <v>777</v>
      </c>
      <c r="N180" s="25" t="s">
        <v>55</v>
      </c>
      <c r="O180" s="25" t="s">
        <v>1329</v>
      </c>
      <c r="P180" s="25" t="s">
        <v>1345</v>
      </c>
      <c r="Q180" s="25" t="s">
        <v>1357</v>
      </c>
      <c r="R180" s="25" t="s">
        <v>55</v>
      </c>
      <c r="S180" s="25" t="s">
        <v>55</v>
      </c>
      <c r="T180" s="25" t="s">
        <v>1358</v>
      </c>
      <c r="U180" s="25" t="s">
        <v>63</v>
      </c>
      <c r="V180" s="26">
        <v>45961</v>
      </c>
      <c r="W180" s="25" t="s">
        <v>55</v>
      </c>
      <c r="X180" s="25" t="s">
        <v>1333</v>
      </c>
      <c r="Y180" s="25" t="s">
        <v>65</v>
      </c>
      <c r="Z180" s="25" t="s">
        <v>55</v>
      </c>
      <c r="AA180" s="25" t="s">
        <v>66</v>
      </c>
      <c r="AB180" s="25" t="s">
        <v>55</v>
      </c>
      <c r="AC180" s="25" t="s">
        <v>55</v>
      </c>
      <c r="AD180" s="25" t="s">
        <v>118</v>
      </c>
      <c r="AE180" s="25" t="s">
        <v>97</v>
      </c>
      <c r="AF180" s="25" t="s">
        <v>779</v>
      </c>
      <c r="AG180" s="25" t="s">
        <v>55</v>
      </c>
      <c r="AH180" s="25" t="s">
        <v>55</v>
      </c>
      <c r="AI180" s="25" t="s">
        <v>55</v>
      </c>
      <c r="AJ180" s="25" t="s">
        <v>55</v>
      </c>
      <c r="AK180" s="25" t="s">
        <v>55</v>
      </c>
      <c r="AL180" s="25" t="s">
        <v>55</v>
      </c>
      <c r="AM180" s="25" t="s">
        <v>55</v>
      </c>
      <c r="AN180" s="25" t="s">
        <v>55</v>
      </c>
      <c r="AO180" s="25" t="s">
        <v>55</v>
      </c>
      <c r="AP180" s="25" t="s">
        <v>55</v>
      </c>
      <c r="AQ180" s="25" t="s">
        <v>55</v>
      </c>
      <c r="AR180" s="25" t="s">
        <v>55</v>
      </c>
      <c r="AS180" s="25" t="s">
        <v>55</v>
      </c>
      <c r="AT180" s="25" t="s">
        <v>55</v>
      </c>
      <c r="AU180" s="25" t="s">
        <v>55</v>
      </c>
      <c r="AV180" s="25" t="s">
        <v>55</v>
      </c>
      <c r="AW180" s="25" t="s">
        <v>55</v>
      </c>
      <c r="AX180" s="25" t="s">
        <v>55</v>
      </c>
      <c r="AY180" s="25" t="s">
        <v>1133</v>
      </c>
      <c r="AZ180" s="20">
        <f t="shared" si="7"/>
        <v>21</v>
      </c>
      <c r="BA180" s="17" t="str">
        <f t="shared" si="8"/>
        <v>&lt; 3 months</v>
      </c>
      <c r="BB180" s="21" t="s">
        <v>66</v>
      </c>
    </row>
    <row r="181" spans="1:54" x14ac:dyDescent="0.35">
      <c r="A181" s="25" t="s">
        <v>1359</v>
      </c>
      <c r="B181" s="25" t="s">
        <v>347</v>
      </c>
      <c r="C181" s="25" t="s">
        <v>116</v>
      </c>
      <c r="D181" s="25" t="s">
        <v>465</v>
      </c>
      <c r="E181" s="25" t="s">
        <v>52</v>
      </c>
      <c r="F181" s="25" t="s">
        <v>1327</v>
      </c>
      <c r="G181" s="25" t="s">
        <v>126</v>
      </c>
      <c r="H181" s="25" t="s">
        <v>138</v>
      </c>
      <c r="I181" s="25" t="s">
        <v>121</v>
      </c>
      <c r="J181" s="25" t="s">
        <v>223</v>
      </c>
      <c r="K181" s="25" t="s">
        <v>572</v>
      </c>
      <c r="L181" s="25" t="s">
        <v>55</v>
      </c>
      <c r="M181" s="25" t="s">
        <v>614</v>
      </c>
      <c r="N181" s="25" t="s">
        <v>55</v>
      </c>
      <c r="O181" s="25" t="s">
        <v>1329</v>
      </c>
      <c r="P181" s="25" t="s">
        <v>1330</v>
      </c>
      <c r="Q181" s="25" t="s">
        <v>1360</v>
      </c>
      <c r="R181" s="25" t="s">
        <v>55</v>
      </c>
      <c r="S181" s="25" t="s">
        <v>55</v>
      </c>
      <c r="T181" s="25" t="s">
        <v>1361</v>
      </c>
      <c r="U181" s="25" t="s">
        <v>132</v>
      </c>
      <c r="V181" s="26">
        <v>45961</v>
      </c>
      <c r="W181" s="25" t="s">
        <v>55</v>
      </c>
      <c r="X181" s="25" t="s">
        <v>1333</v>
      </c>
      <c r="Y181" s="25" t="s">
        <v>65</v>
      </c>
      <c r="Z181" s="25" t="s">
        <v>55</v>
      </c>
      <c r="AA181" s="25" t="s">
        <v>66</v>
      </c>
      <c r="AB181" s="25" t="s">
        <v>55</v>
      </c>
      <c r="AC181" s="25" t="s">
        <v>55</v>
      </c>
      <c r="AD181" s="25" t="s">
        <v>118</v>
      </c>
      <c r="AE181" s="25" t="s">
        <v>97</v>
      </c>
      <c r="AF181" s="25" t="s">
        <v>69</v>
      </c>
      <c r="AG181" s="25" t="s">
        <v>55</v>
      </c>
      <c r="AH181" s="25" t="s">
        <v>55</v>
      </c>
      <c r="AI181" s="25" t="s">
        <v>55</v>
      </c>
      <c r="AJ181" s="25" t="s">
        <v>55</v>
      </c>
      <c r="AK181" s="25" t="s">
        <v>55</v>
      </c>
      <c r="AL181" s="25" t="s">
        <v>55</v>
      </c>
      <c r="AM181" s="25" t="s">
        <v>55</v>
      </c>
      <c r="AN181" s="25" t="s">
        <v>55</v>
      </c>
      <c r="AO181" s="25" t="s">
        <v>55</v>
      </c>
      <c r="AP181" s="25" t="s">
        <v>55</v>
      </c>
      <c r="AQ181" s="25" t="s">
        <v>55</v>
      </c>
      <c r="AR181" s="25" t="s">
        <v>55</v>
      </c>
      <c r="AS181" s="25" t="s">
        <v>55</v>
      </c>
      <c r="AT181" s="25" t="s">
        <v>55</v>
      </c>
      <c r="AU181" s="25" t="s">
        <v>55</v>
      </c>
      <c r="AV181" s="25" t="s">
        <v>55</v>
      </c>
      <c r="AW181" s="25" t="s">
        <v>55</v>
      </c>
      <c r="AX181" s="25" t="s">
        <v>55</v>
      </c>
      <c r="AY181" s="25" t="s">
        <v>1133</v>
      </c>
      <c r="AZ181" s="20">
        <f t="shared" si="7"/>
        <v>21</v>
      </c>
      <c r="BA181" s="17" t="str">
        <f t="shared" si="8"/>
        <v>&lt; 3 months</v>
      </c>
      <c r="BB181" s="21" t="s">
        <v>66</v>
      </c>
    </row>
    <row r="182" spans="1:54" x14ac:dyDescent="0.35">
      <c r="A182" s="25" t="s">
        <v>1362</v>
      </c>
      <c r="B182" s="25" t="s">
        <v>347</v>
      </c>
      <c r="C182" s="25" t="s">
        <v>116</v>
      </c>
      <c r="D182" s="25" t="s">
        <v>465</v>
      </c>
      <c r="E182" s="25" t="s">
        <v>52</v>
      </c>
      <c r="F182" s="25" t="s">
        <v>1327</v>
      </c>
      <c r="G182" s="25" t="s">
        <v>126</v>
      </c>
      <c r="H182" s="25" t="s">
        <v>138</v>
      </c>
      <c r="I182" s="25" t="s">
        <v>121</v>
      </c>
      <c r="J182" s="25" t="s">
        <v>562</v>
      </c>
      <c r="K182" s="25" t="s">
        <v>572</v>
      </c>
      <c r="L182" s="25" t="s">
        <v>55</v>
      </c>
      <c r="M182" s="25" t="s">
        <v>1363</v>
      </c>
      <c r="N182" s="25" t="s">
        <v>55</v>
      </c>
      <c r="O182" s="25" t="s">
        <v>1329</v>
      </c>
      <c r="P182" s="25" t="s">
        <v>1330</v>
      </c>
      <c r="Q182" s="25" t="s">
        <v>1350</v>
      </c>
      <c r="R182" s="25" t="s">
        <v>55</v>
      </c>
      <c r="S182" s="25" t="s">
        <v>55</v>
      </c>
      <c r="T182" s="25" t="s">
        <v>1361</v>
      </c>
      <c r="U182" s="25" t="s">
        <v>132</v>
      </c>
      <c r="V182" s="26">
        <v>45961</v>
      </c>
      <c r="W182" s="25" t="s">
        <v>55</v>
      </c>
      <c r="X182" s="25" t="s">
        <v>1333</v>
      </c>
      <c r="Y182" s="25" t="s">
        <v>65</v>
      </c>
      <c r="Z182" s="25" t="s">
        <v>55</v>
      </c>
      <c r="AA182" s="25" t="s">
        <v>66</v>
      </c>
      <c r="AB182" s="25" t="s">
        <v>55</v>
      </c>
      <c r="AC182" s="25" t="s">
        <v>55</v>
      </c>
      <c r="AD182" s="25" t="s">
        <v>118</v>
      </c>
      <c r="AE182" s="25" t="s">
        <v>97</v>
      </c>
      <c r="AF182" s="25" t="s">
        <v>391</v>
      </c>
      <c r="AG182" s="25" t="s">
        <v>55</v>
      </c>
      <c r="AH182" s="25" t="s">
        <v>55</v>
      </c>
      <c r="AI182" s="25" t="s">
        <v>55</v>
      </c>
      <c r="AJ182" s="25" t="s">
        <v>55</v>
      </c>
      <c r="AK182" s="25" t="s">
        <v>55</v>
      </c>
      <c r="AL182" s="25" t="s">
        <v>55</v>
      </c>
      <c r="AM182" s="25" t="s">
        <v>55</v>
      </c>
      <c r="AN182" s="25" t="s">
        <v>55</v>
      </c>
      <c r="AO182" s="25" t="s">
        <v>55</v>
      </c>
      <c r="AP182" s="25" t="s">
        <v>55</v>
      </c>
      <c r="AQ182" s="25" t="s">
        <v>55</v>
      </c>
      <c r="AR182" s="25" t="s">
        <v>55</v>
      </c>
      <c r="AS182" s="25" t="s">
        <v>55</v>
      </c>
      <c r="AT182" s="25" t="s">
        <v>55</v>
      </c>
      <c r="AU182" s="25" t="s">
        <v>55</v>
      </c>
      <c r="AV182" s="25" t="s">
        <v>55</v>
      </c>
      <c r="AW182" s="25" t="s">
        <v>55</v>
      </c>
      <c r="AX182" s="25" t="s">
        <v>55</v>
      </c>
      <c r="AY182" s="25" t="s">
        <v>1133</v>
      </c>
      <c r="AZ182" s="20">
        <f t="shared" si="7"/>
        <v>21</v>
      </c>
      <c r="BA182" s="17" t="str">
        <f t="shared" si="8"/>
        <v>&lt; 3 months</v>
      </c>
      <c r="BB182" s="21" t="s">
        <v>66</v>
      </c>
    </row>
    <row r="183" spans="1:54" x14ac:dyDescent="0.35">
      <c r="A183" s="25" t="s">
        <v>1364</v>
      </c>
      <c r="B183" s="25" t="s">
        <v>347</v>
      </c>
      <c r="C183" s="25" t="s">
        <v>116</v>
      </c>
      <c r="D183" s="25" t="s">
        <v>465</v>
      </c>
      <c r="E183" s="25" t="s">
        <v>52</v>
      </c>
      <c r="F183" s="25" t="s">
        <v>1327</v>
      </c>
      <c r="G183" s="25" t="s">
        <v>126</v>
      </c>
      <c r="H183" s="25" t="s">
        <v>138</v>
      </c>
      <c r="I183" s="25" t="s">
        <v>121</v>
      </c>
      <c r="J183" s="25" t="s">
        <v>843</v>
      </c>
      <c r="K183" s="25" t="s">
        <v>584</v>
      </c>
      <c r="L183" s="25" t="s">
        <v>55</v>
      </c>
      <c r="M183" s="25" t="s">
        <v>1316</v>
      </c>
      <c r="N183" s="25" t="s">
        <v>55</v>
      </c>
      <c r="O183" s="25" t="s">
        <v>1329</v>
      </c>
      <c r="P183" s="25" t="s">
        <v>1330</v>
      </c>
      <c r="Q183" s="25" t="s">
        <v>1365</v>
      </c>
      <c r="R183" s="25" t="s">
        <v>55</v>
      </c>
      <c r="S183" s="25" t="s">
        <v>55</v>
      </c>
      <c r="T183" s="25" t="s">
        <v>1366</v>
      </c>
      <c r="U183" s="25" t="s">
        <v>63</v>
      </c>
      <c r="V183" s="26">
        <v>45961</v>
      </c>
      <c r="W183" s="25" t="s">
        <v>55</v>
      </c>
      <c r="X183" s="25" t="s">
        <v>1333</v>
      </c>
      <c r="Y183" s="25" t="s">
        <v>65</v>
      </c>
      <c r="Z183" s="25" t="s">
        <v>55</v>
      </c>
      <c r="AA183" s="25" t="s">
        <v>66</v>
      </c>
      <c r="AB183" s="25" t="s">
        <v>55</v>
      </c>
      <c r="AC183" s="25" t="s">
        <v>55</v>
      </c>
      <c r="AD183" s="25" t="s">
        <v>118</v>
      </c>
      <c r="AE183" s="25" t="s">
        <v>97</v>
      </c>
      <c r="AF183" s="25" t="s">
        <v>98</v>
      </c>
      <c r="AG183" s="25" t="s">
        <v>55</v>
      </c>
      <c r="AH183" s="25" t="s">
        <v>55</v>
      </c>
      <c r="AI183" s="25" t="s">
        <v>55</v>
      </c>
      <c r="AJ183" s="25" t="s">
        <v>55</v>
      </c>
      <c r="AK183" s="25" t="s">
        <v>55</v>
      </c>
      <c r="AL183" s="25" t="s">
        <v>55</v>
      </c>
      <c r="AM183" s="25" t="s">
        <v>55</v>
      </c>
      <c r="AN183" s="25" t="s">
        <v>55</v>
      </c>
      <c r="AO183" s="25" t="s">
        <v>55</v>
      </c>
      <c r="AP183" s="25" t="s">
        <v>55</v>
      </c>
      <c r="AQ183" s="25" t="s">
        <v>55</v>
      </c>
      <c r="AR183" s="25" t="s">
        <v>55</v>
      </c>
      <c r="AS183" s="25" t="s">
        <v>55</v>
      </c>
      <c r="AT183" s="25" t="s">
        <v>55</v>
      </c>
      <c r="AU183" s="25" t="s">
        <v>55</v>
      </c>
      <c r="AV183" s="25" t="s">
        <v>55</v>
      </c>
      <c r="AW183" s="25" t="s">
        <v>55</v>
      </c>
      <c r="AX183" s="25" t="s">
        <v>55</v>
      </c>
      <c r="AY183" s="25" t="s">
        <v>1133</v>
      </c>
      <c r="AZ183" s="20">
        <f t="shared" si="7"/>
        <v>21</v>
      </c>
      <c r="BA183" s="17" t="str">
        <f t="shared" si="8"/>
        <v>&lt; 3 months</v>
      </c>
      <c r="BB183" s="21" t="s">
        <v>66</v>
      </c>
    </row>
    <row r="184" spans="1:54" x14ac:dyDescent="0.35">
      <c r="A184" s="25" t="s">
        <v>1367</v>
      </c>
      <c r="B184" s="25" t="s">
        <v>347</v>
      </c>
      <c r="C184" s="25" t="s">
        <v>116</v>
      </c>
      <c r="D184" s="25" t="s">
        <v>465</v>
      </c>
      <c r="E184" s="25" t="s">
        <v>52</v>
      </c>
      <c r="F184" s="25" t="s">
        <v>1327</v>
      </c>
      <c r="G184" s="25" t="s">
        <v>126</v>
      </c>
      <c r="H184" s="25" t="s">
        <v>138</v>
      </c>
      <c r="I184" s="25" t="s">
        <v>121</v>
      </c>
      <c r="J184" s="25" t="s">
        <v>223</v>
      </c>
      <c r="K184" s="25" t="s">
        <v>868</v>
      </c>
      <c r="L184" s="25" t="s">
        <v>55</v>
      </c>
      <c r="M184" s="25" t="s">
        <v>1209</v>
      </c>
      <c r="N184" s="25" t="s">
        <v>55</v>
      </c>
      <c r="O184" s="25" t="s">
        <v>1329</v>
      </c>
      <c r="P184" s="25" t="s">
        <v>1368</v>
      </c>
      <c r="Q184" s="25" t="s">
        <v>1368</v>
      </c>
      <c r="R184" s="25" t="s">
        <v>55</v>
      </c>
      <c r="S184" s="25" t="s">
        <v>55</v>
      </c>
      <c r="T184" s="25" t="s">
        <v>1369</v>
      </c>
      <c r="U184" s="25" t="s">
        <v>63</v>
      </c>
      <c r="V184" s="26">
        <v>45961</v>
      </c>
      <c r="W184" s="25" t="s">
        <v>55</v>
      </c>
      <c r="X184" s="25" t="s">
        <v>1333</v>
      </c>
      <c r="Y184" s="25" t="s">
        <v>65</v>
      </c>
      <c r="Z184" s="25" t="s">
        <v>55</v>
      </c>
      <c r="AA184" s="25" t="s">
        <v>66</v>
      </c>
      <c r="AB184" s="25" t="s">
        <v>55</v>
      </c>
      <c r="AC184" s="25" t="s">
        <v>55</v>
      </c>
      <c r="AD184" s="25" t="s">
        <v>118</v>
      </c>
      <c r="AE184" s="25" t="s">
        <v>97</v>
      </c>
      <c r="AF184" s="25" t="s">
        <v>123</v>
      </c>
      <c r="AG184" s="25" t="s">
        <v>55</v>
      </c>
      <c r="AH184" s="25" t="s">
        <v>55</v>
      </c>
      <c r="AI184" s="25" t="s">
        <v>55</v>
      </c>
      <c r="AJ184" s="25" t="s">
        <v>55</v>
      </c>
      <c r="AK184" s="25" t="s">
        <v>55</v>
      </c>
      <c r="AL184" s="25" t="s">
        <v>55</v>
      </c>
      <c r="AM184" s="25" t="s">
        <v>55</v>
      </c>
      <c r="AN184" s="25" t="s">
        <v>55</v>
      </c>
      <c r="AO184" s="25" t="s">
        <v>55</v>
      </c>
      <c r="AP184" s="25" t="s">
        <v>55</v>
      </c>
      <c r="AQ184" s="25" t="s">
        <v>55</v>
      </c>
      <c r="AR184" s="25" t="s">
        <v>55</v>
      </c>
      <c r="AS184" s="25" t="s">
        <v>55</v>
      </c>
      <c r="AT184" s="25" t="s">
        <v>55</v>
      </c>
      <c r="AU184" s="25" t="s">
        <v>55</v>
      </c>
      <c r="AV184" s="25" t="s">
        <v>55</v>
      </c>
      <c r="AW184" s="25" t="s">
        <v>55</v>
      </c>
      <c r="AX184" s="25" t="s">
        <v>55</v>
      </c>
      <c r="AY184" s="25" t="s">
        <v>1133</v>
      </c>
      <c r="AZ184" s="20">
        <f t="shared" si="7"/>
        <v>21</v>
      </c>
      <c r="BA184" s="17" t="str">
        <f t="shared" si="8"/>
        <v>&lt; 3 months</v>
      </c>
      <c r="BB184" s="21" t="s">
        <v>66</v>
      </c>
    </row>
    <row r="185" spans="1:54" x14ac:dyDescent="0.35">
      <c r="A185" s="25" t="s">
        <v>1370</v>
      </c>
      <c r="B185" s="25" t="s">
        <v>347</v>
      </c>
      <c r="C185" s="25" t="s">
        <v>116</v>
      </c>
      <c r="D185" s="25" t="s">
        <v>465</v>
      </c>
      <c r="E185" s="25" t="s">
        <v>52</v>
      </c>
      <c r="F185" s="25" t="s">
        <v>1327</v>
      </c>
      <c r="G185" s="25" t="s">
        <v>126</v>
      </c>
      <c r="H185" s="25" t="s">
        <v>138</v>
      </c>
      <c r="I185" s="25" t="s">
        <v>121</v>
      </c>
      <c r="J185" s="25" t="s">
        <v>223</v>
      </c>
      <c r="K185" s="25" t="s">
        <v>868</v>
      </c>
      <c r="L185" s="25" t="s">
        <v>55</v>
      </c>
      <c r="M185" s="25" t="s">
        <v>258</v>
      </c>
      <c r="N185" s="25" t="s">
        <v>55</v>
      </c>
      <c r="O185" s="25" t="s">
        <v>1329</v>
      </c>
      <c r="P185" s="25" t="s">
        <v>1371</v>
      </c>
      <c r="Q185" s="25" t="s">
        <v>1371</v>
      </c>
      <c r="R185" s="25" t="s">
        <v>55</v>
      </c>
      <c r="S185" s="25" t="s">
        <v>55</v>
      </c>
      <c r="T185" s="25" t="s">
        <v>1372</v>
      </c>
      <c r="U185" s="25" t="s">
        <v>63</v>
      </c>
      <c r="V185" s="26">
        <v>45961</v>
      </c>
      <c r="W185" s="25" t="s">
        <v>55</v>
      </c>
      <c r="X185" s="25" t="s">
        <v>1373</v>
      </c>
      <c r="Y185" s="25" t="s">
        <v>65</v>
      </c>
      <c r="Z185" s="25" t="s">
        <v>55</v>
      </c>
      <c r="AA185" s="25" t="s">
        <v>66</v>
      </c>
      <c r="AB185" s="25" t="s">
        <v>55</v>
      </c>
      <c r="AC185" s="25" t="s">
        <v>55</v>
      </c>
      <c r="AD185" s="25" t="s">
        <v>118</v>
      </c>
      <c r="AE185" s="25" t="s">
        <v>97</v>
      </c>
      <c r="AF185" s="25" t="s">
        <v>226</v>
      </c>
      <c r="AG185" s="25" t="s">
        <v>55</v>
      </c>
      <c r="AH185" s="25" t="s">
        <v>55</v>
      </c>
      <c r="AI185" s="25" t="s">
        <v>55</v>
      </c>
      <c r="AJ185" s="25" t="s">
        <v>55</v>
      </c>
      <c r="AK185" s="25" t="s">
        <v>55</v>
      </c>
      <c r="AL185" s="25" t="s">
        <v>55</v>
      </c>
      <c r="AM185" s="25" t="s">
        <v>55</v>
      </c>
      <c r="AN185" s="25" t="s">
        <v>55</v>
      </c>
      <c r="AO185" s="25" t="s">
        <v>55</v>
      </c>
      <c r="AP185" s="25" t="s">
        <v>55</v>
      </c>
      <c r="AQ185" s="25" t="s">
        <v>55</v>
      </c>
      <c r="AR185" s="25" t="s">
        <v>55</v>
      </c>
      <c r="AS185" s="25" t="s">
        <v>55</v>
      </c>
      <c r="AT185" s="25" t="s">
        <v>55</v>
      </c>
      <c r="AU185" s="25" t="s">
        <v>55</v>
      </c>
      <c r="AV185" s="25" t="s">
        <v>55</v>
      </c>
      <c r="AW185" s="25" t="s">
        <v>55</v>
      </c>
      <c r="AX185" s="25" t="s">
        <v>55</v>
      </c>
      <c r="AY185" s="25" t="s">
        <v>1133</v>
      </c>
      <c r="AZ185" s="20">
        <f t="shared" si="7"/>
        <v>21</v>
      </c>
      <c r="BA185" s="17" t="str">
        <f t="shared" si="8"/>
        <v>&lt; 3 months</v>
      </c>
      <c r="BB185" s="21" t="s">
        <v>66</v>
      </c>
    </row>
    <row r="186" spans="1:54" x14ac:dyDescent="0.35">
      <c r="A186" s="25" t="s">
        <v>1374</v>
      </c>
      <c r="B186" s="25" t="s">
        <v>347</v>
      </c>
      <c r="C186" s="25" t="s">
        <v>116</v>
      </c>
      <c r="D186" s="25" t="s">
        <v>465</v>
      </c>
      <c r="E186" s="25" t="s">
        <v>52</v>
      </c>
      <c r="F186" s="25" t="s">
        <v>1327</v>
      </c>
      <c r="G186" s="25" t="s">
        <v>126</v>
      </c>
      <c r="H186" s="25" t="s">
        <v>138</v>
      </c>
      <c r="I186" s="25" t="s">
        <v>121</v>
      </c>
      <c r="J186" s="25" t="s">
        <v>843</v>
      </c>
      <c r="K186" s="25" t="s">
        <v>594</v>
      </c>
      <c r="L186" s="25" t="s">
        <v>55</v>
      </c>
      <c r="M186" s="25" t="s">
        <v>998</v>
      </c>
      <c r="N186" s="25" t="s">
        <v>55</v>
      </c>
      <c r="O186" s="25" t="s">
        <v>1329</v>
      </c>
      <c r="P186" s="25" t="s">
        <v>1375</v>
      </c>
      <c r="Q186" s="25" t="s">
        <v>1375</v>
      </c>
      <c r="R186" s="25" t="s">
        <v>55</v>
      </c>
      <c r="S186" s="25" t="s">
        <v>55</v>
      </c>
      <c r="T186" s="25" t="s">
        <v>1376</v>
      </c>
      <c r="U186" s="25" t="s">
        <v>63</v>
      </c>
      <c r="V186" s="26">
        <v>45961</v>
      </c>
      <c r="W186" s="25" t="s">
        <v>55</v>
      </c>
      <c r="X186" s="25" t="s">
        <v>1373</v>
      </c>
      <c r="Y186" s="25" t="s">
        <v>65</v>
      </c>
      <c r="Z186" s="25" t="s">
        <v>55</v>
      </c>
      <c r="AA186" s="25" t="s">
        <v>66</v>
      </c>
      <c r="AB186" s="25" t="s">
        <v>55</v>
      </c>
      <c r="AC186" s="25" t="s">
        <v>55</v>
      </c>
      <c r="AD186" s="25" t="s">
        <v>118</v>
      </c>
      <c r="AE186" s="25" t="s">
        <v>97</v>
      </c>
      <c r="AF186" s="25" t="s">
        <v>1004</v>
      </c>
      <c r="AG186" s="25" t="s">
        <v>55</v>
      </c>
      <c r="AH186" s="25" t="s">
        <v>55</v>
      </c>
      <c r="AI186" s="25" t="s">
        <v>55</v>
      </c>
      <c r="AJ186" s="25" t="s">
        <v>55</v>
      </c>
      <c r="AK186" s="25" t="s">
        <v>55</v>
      </c>
      <c r="AL186" s="25" t="s">
        <v>55</v>
      </c>
      <c r="AM186" s="25" t="s">
        <v>55</v>
      </c>
      <c r="AN186" s="25" t="s">
        <v>55</v>
      </c>
      <c r="AO186" s="25" t="s">
        <v>55</v>
      </c>
      <c r="AP186" s="25" t="s">
        <v>55</v>
      </c>
      <c r="AQ186" s="25" t="s">
        <v>55</v>
      </c>
      <c r="AR186" s="25" t="s">
        <v>55</v>
      </c>
      <c r="AS186" s="25" t="s">
        <v>55</v>
      </c>
      <c r="AT186" s="25" t="s">
        <v>55</v>
      </c>
      <c r="AU186" s="25" t="s">
        <v>55</v>
      </c>
      <c r="AV186" s="25" t="s">
        <v>55</v>
      </c>
      <c r="AW186" s="25" t="s">
        <v>55</v>
      </c>
      <c r="AX186" s="25" t="s">
        <v>55</v>
      </c>
      <c r="AY186" s="25" t="s">
        <v>1133</v>
      </c>
      <c r="AZ186" s="20">
        <f t="shared" si="7"/>
        <v>21</v>
      </c>
      <c r="BA186" s="17" t="str">
        <f t="shared" si="8"/>
        <v>&lt; 3 months</v>
      </c>
      <c r="BB186" s="21" t="s">
        <v>66</v>
      </c>
    </row>
    <row r="187" spans="1:54" x14ac:dyDescent="0.35">
      <c r="A187" s="25" t="s">
        <v>1377</v>
      </c>
      <c r="B187" s="25" t="s">
        <v>347</v>
      </c>
      <c r="C187" s="25" t="s">
        <v>116</v>
      </c>
      <c r="D187" s="25" t="s">
        <v>465</v>
      </c>
      <c r="E187" s="25" t="s">
        <v>52</v>
      </c>
      <c r="F187" s="25" t="s">
        <v>1327</v>
      </c>
      <c r="G187" s="25" t="s">
        <v>126</v>
      </c>
      <c r="H187" s="25" t="s">
        <v>138</v>
      </c>
      <c r="I187" s="25" t="s">
        <v>121</v>
      </c>
      <c r="J187" s="25" t="s">
        <v>843</v>
      </c>
      <c r="K187" s="25" t="s">
        <v>867</v>
      </c>
      <c r="L187" s="25" t="s">
        <v>55</v>
      </c>
      <c r="M187" s="25" t="s">
        <v>1378</v>
      </c>
      <c r="N187" s="25" t="s">
        <v>55</v>
      </c>
      <c r="O187" s="25" t="s">
        <v>1329</v>
      </c>
      <c r="P187" s="25" t="s">
        <v>1379</v>
      </c>
      <c r="Q187" s="25" t="s">
        <v>1379</v>
      </c>
      <c r="R187" s="25" t="s">
        <v>55</v>
      </c>
      <c r="S187" s="25" t="s">
        <v>55</v>
      </c>
      <c r="T187" s="25" t="s">
        <v>1380</v>
      </c>
      <c r="U187" s="25" t="s">
        <v>63</v>
      </c>
      <c r="V187" s="26">
        <v>45962</v>
      </c>
      <c r="W187" s="25" t="s">
        <v>55</v>
      </c>
      <c r="X187" s="25" t="s">
        <v>1381</v>
      </c>
      <c r="Y187" s="25" t="s">
        <v>65</v>
      </c>
      <c r="Z187" s="25" t="s">
        <v>55</v>
      </c>
      <c r="AA187" s="25" t="s">
        <v>66</v>
      </c>
      <c r="AB187" s="25" t="s">
        <v>55</v>
      </c>
      <c r="AC187" s="25" t="s">
        <v>55</v>
      </c>
      <c r="AD187" s="25" t="s">
        <v>118</v>
      </c>
      <c r="AE187" s="25" t="s">
        <v>97</v>
      </c>
      <c r="AF187" s="25" t="s">
        <v>1382</v>
      </c>
      <c r="AG187" s="25" t="s">
        <v>55</v>
      </c>
      <c r="AH187" s="25" t="s">
        <v>55</v>
      </c>
      <c r="AI187" s="25" t="s">
        <v>55</v>
      </c>
      <c r="AJ187" s="25" t="s">
        <v>55</v>
      </c>
      <c r="AK187" s="25" t="s">
        <v>55</v>
      </c>
      <c r="AL187" s="25" t="s">
        <v>55</v>
      </c>
      <c r="AM187" s="25" t="s">
        <v>55</v>
      </c>
      <c r="AN187" s="25" t="s">
        <v>55</v>
      </c>
      <c r="AO187" s="25" t="s">
        <v>55</v>
      </c>
      <c r="AP187" s="25" t="s">
        <v>55</v>
      </c>
      <c r="AQ187" s="25" t="s">
        <v>55</v>
      </c>
      <c r="AR187" s="25" t="s">
        <v>55</v>
      </c>
      <c r="AS187" s="25" t="s">
        <v>55</v>
      </c>
      <c r="AT187" s="25" t="s">
        <v>55</v>
      </c>
      <c r="AU187" s="25" t="s">
        <v>55</v>
      </c>
      <c r="AV187" s="25" t="s">
        <v>55</v>
      </c>
      <c r="AW187" s="25" t="s">
        <v>55</v>
      </c>
      <c r="AX187" s="25" t="s">
        <v>55</v>
      </c>
      <c r="AY187" s="25" t="s">
        <v>1133</v>
      </c>
      <c r="AZ187" s="20">
        <f t="shared" si="7"/>
        <v>20</v>
      </c>
      <c r="BA187" s="17" t="str">
        <f t="shared" si="8"/>
        <v>&lt; 3 months</v>
      </c>
      <c r="BB187" s="21" t="s">
        <v>66</v>
      </c>
    </row>
    <row r="188" spans="1:54" x14ac:dyDescent="0.35">
      <c r="A188" s="25" t="s">
        <v>1383</v>
      </c>
      <c r="B188" s="25" t="s">
        <v>347</v>
      </c>
      <c r="C188" s="25" t="s">
        <v>116</v>
      </c>
      <c r="D188" s="25" t="s">
        <v>465</v>
      </c>
      <c r="E188" s="25" t="s">
        <v>52</v>
      </c>
      <c r="F188" s="25" t="s">
        <v>1327</v>
      </c>
      <c r="G188" s="25" t="s">
        <v>126</v>
      </c>
      <c r="H188" s="25" t="s">
        <v>138</v>
      </c>
      <c r="I188" s="25" t="s">
        <v>119</v>
      </c>
      <c r="J188" s="25" t="s">
        <v>1384</v>
      </c>
      <c r="K188" s="25" t="s">
        <v>1385</v>
      </c>
      <c r="L188" s="25" t="s">
        <v>55</v>
      </c>
      <c r="M188" s="25" t="s">
        <v>1386</v>
      </c>
      <c r="N188" s="25" t="s">
        <v>55</v>
      </c>
      <c r="O188" s="25" t="s">
        <v>1329</v>
      </c>
      <c r="P188" s="25" t="s">
        <v>1345</v>
      </c>
      <c r="Q188" s="25" t="s">
        <v>1387</v>
      </c>
      <c r="R188" s="25" t="s">
        <v>55</v>
      </c>
      <c r="S188" s="25" t="s">
        <v>55</v>
      </c>
      <c r="T188" s="25" t="s">
        <v>1388</v>
      </c>
      <c r="U188" s="25" t="s">
        <v>63</v>
      </c>
      <c r="V188" s="26">
        <v>45976</v>
      </c>
      <c r="W188" s="25" t="s">
        <v>55</v>
      </c>
      <c r="X188" s="25" t="s">
        <v>1381</v>
      </c>
      <c r="Y188" s="25" t="s">
        <v>65</v>
      </c>
      <c r="Z188" s="25" t="s">
        <v>55</v>
      </c>
      <c r="AA188" s="25" t="s">
        <v>66</v>
      </c>
      <c r="AB188" s="25" t="s">
        <v>55</v>
      </c>
      <c r="AC188" s="25" t="s">
        <v>55</v>
      </c>
      <c r="AD188" s="25" t="s">
        <v>118</v>
      </c>
      <c r="AE188" s="25" t="s">
        <v>97</v>
      </c>
      <c r="AF188" s="25" t="s">
        <v>1238</v>
      </c>
      <c r="AG188" s="25" t="s">
        <v>55</v>
      </c>
      <c r="AH188" s="25" t="s">
        <v>55</v>
      </c>
      <c r="AI188" s="25" t="s">
        <v>55</v>
      </c>
      <c r="AJ188" s="25" t="s">
        <v>55</v>
      </c>
      <c r="AK188" s="25" t="s">
        <v>55</v>
      </c>
      <c r="AL188" s="25" t="s">
        <v>55</v>
      </c>
      <c r="AM188" s="25" t="s">
        <v>55</v>
      </c>
      <c r="AN188" s="25" t="s">
        <v>55</v>
      </c>
      <c r="AO188" s="25" t="s">
        <v>55</v>
      </c>
      <c r="AP188" s="25" t="s">
        <v>55</v>
      </c>
      <c r="AQ188" s="25" t="s">
        <v>55</v>
      </c>
      <c r="AR188" s="25" t="s">
        <v>55</v>
      </c>
      <c r="AS188" s="25" t="s">
        <v>55</v>
      </c>
      <c r="AT188" s="25" t="s">
        <v>55</v>
      </c>
      <c r="AU188" s="25" t="s">
        <v>55</v>
      </c>
      <c r="AV188" s="25" t="s">
        <v>55</v>
      </c>
      <c r="AW188" s="25" t="s">
        <v>55</v>
      </c>
      <c r="AX188" s="25" t="s">
        <v>55</v>
      </c>
      <c r="AY188" s="25" t="s">
        <v>1133</v>
      </c>
      <c r="AZ188" s="20">
        <f t="shared" si="7"/>
        <v>6</v>
      </c>
      <c r="BA188" s="17" t="str">
        <f t="shared" si="8"/>
        <v>&lt; 3 months</v>
      </c>
      <c r="BB188" s="21" t="s">
        <v>66</v>
      </c>
    </row>
    <row r="189" spans="1:54" x14ac:dyDescent="0.35">
      <c r="A189" s="25" t="s">
        <v>1389</v>
      </c>
      <c r="B189" s="25" t="s">
        <v>347</v>
      </c>
      <c r="C189" s="25" t="s">
        <v>116</v>
      </c>
      <c r="D189" s="25" t="s">
        <v>465</v>
      </c>
      <c r="E189" s="25" t="s">
        <v>52</v>
      </c>
      <c r="F189" s="25" t="s">
        <v>1327</v>
      </c>
      <c r="G189" s="25" t="s">
        <v>126</v>
      </c>
      <c r="H189" s="25" t="s">
        <v>138</v>
      </c>
      <c r="I189" s="25" t="s">
        <v>361</v>
      </c>
      <c r="J189" s="25" t="s">
        <v>253</v>
      </c>
      <c r="K189" s="25" t="s">
        <v>572</v>
      </c>
      <c r="L189" s="25" t="s">
        <v>55</v>
      </c>
      <c r="M189" s="25" t="s">
        <v>158</v>
      </c>
      <c r="N189" s="25" t="s">
        <v>55</v>
      </c>
      <c r="O189" s="25" t="s">
        <v>1329</v>
      </c>
      <c r="P189" s="25" t="s">
        <v>1330</v>
      </c>
      <c r="Q189" s="25" t="s">
        <v>1331</v>
      </c>
      <c r="R189" s="25" t="s">
        <v>55</v>
      </c>
      <c r="S189" s="25" t="s">
        <v>55</v>
      </c>
      <c r="T189" s="25" t="s">
        <v>1361</v>
      </c>
      <c r="U189" s="25" t="s">
        <v>63</v>
      </c>
      <c r="V189" s="26">
        <v>45961</v>
      </c>
      <c r="W189" s="25" t="s">
        <v>55</v>
      </c>
      <c r="X189" s="25" t="s">
        <v>1381</v>
      </c>
      <c r="Y189" s="25" t="s">
        <v>65</v>
      </c>
      <c r="Z189" s="25" t="s">
        <v>55</v>
      </c>
      <c r="AA189" s="25" t="s">
        <v>66</v>
      </c>
      <c r="AB189" s="25" t="s">
        <v>55</v>
      </c>
      <c r="AC189" s="25" t="s">
        <v>55</v>
      </c>
      <c r="AD189" s="25" t="s">
        <v>118</v>
      </c>
      <c r="AE189" s="25" t="s">
        <v>97</v>
      </c>
      <c r="AF189" s="25" t="s">
        <v>69</v>
      </c>
      <c r="AG189" s="25" t="s">
        <v>55</v>
      </c>
      <c r="AH189" s="25" t="s">
        <v>55</v>
      </c>
      <c r="AI189" s="25" t="s">
        <v>55</v>
      </c>
      <c r="AJ189" s="25" t="s">
        <v>55</v>
      </c>
      <c r="AK189" s="25" t="s">
        <v>55</v>
      </c>
      <c r="AL189" s="25" t="s">
        <v>55</v>
      </c>
      <c r="AM189" s="25" t="s">
        <v>55</v>
      </c>
      <c r="AN189" s="25" t="s">
        <v>55</v>
      </c>
      <c r="AO189" s="25" t="s">
        <v>55</v>
      </c>
      <c r="AP189" s="25" t="s">
        <v>55</v>
      </c>
      <c r="AQ189" s="25" t="s">
        <v>55</v>
      </c>
      <c r="AR189" s="25" t="s">
        <v>55</v>
      </c>
      <c r="AS189" s="25" t="s">
        <v>55</v>
      </c>
      <c r="AT189" s="25" t="s">
        <v>55</v>
      </c>
      <c r="AU189" s="25" t="s">
        <v>55</v>
      </c>
      <c r="AV189" s="25" t="s">
        <v>55</v>
      </c>
      <c r="AW189" s="25" t="s">
        <v>55</v>
      </c>
      <c r="AX189" s="25" t="s">
        <v>55</v>
      </c>
      <c r="AY189" s="25" t="s">
        <v>1133</v>
      </c>
      <c r="AZ189" s="20">
        <f t="shared" si="7"/>
        <v>21</v>
      </c>
      <c r="BA189" s="17" t="str">
        <f t="shared" si="8"/>
        <v>&lt; 3 months</v>
      </c>
      <c r="BB189" s="21" t="s">
        <v>66</v>
      </c>
    </row>
    <row r="190" spans="1:54" x14ac:dyDescent="0.35">
      <c r="A190" s="25" t="s">
        <v>1390</v>
      </c>
      <c r="B190" s="25" t="s">
        <v>347</v>
      </c>
      <c r="C190" s="25" t="s">
        <v>116</v>
      </c>
      <c r="D190" s="25" t="s">
        <v>465</v>
      </c>
      <c r="E190" s="25" t="s">
        <v>52</v>
      </c>
      <c r="F190" s="25" t="s">
        <v>207</v>
      </c>
      <c r="G190" s="25" t="s">
        <v>54</v>
      </c>
      <c r="H190" s="25" t="s">
        <v>1716</v>
      </c>
      <c r="I190" s="25" t="s">
        <v>119</v>
      </c>
      <c r="J190" s="25" t="s">
        <v>1391</v>
      </c>
      <c r="K190" s="25" t="s">
        <v>544</v>
      </c>
      <c r="L190" s="25" t="s">
        <v>55</v>
      </c>
      <c r="M190" s="25" t="s">
        <v>99</v>
      </c>
      <c r="N190" s="25" t="s">
        <v>55</v>
      </c>
      <c r="O190" s="25" t="s">
        <v>1392</v>
      </c>
      <c r="P190" s="25" t="s">
        <v>1330</v>
      </c>
      <c r="Q190" s="25" t="s">
        <v>1393</v>
      </c>
      <c r="R190" s="25" t="s">
        <v>55</v>
      </c>
      <c r="S190" s="25" t="s">
        <v>55</v>
      </c>
      <c r="T190" s="25" t="s">
        <v>1394</v>
      </c>
      <c r="U190" s="25" t="s">
        <v>63</v>
      </c>
      <c r="V190" s="26">
        <v>45961</v>
      </c>
      <c r="W190" s="25" t="s">
        <v>55</v>
      </c>
      <c r="X190" s="25" t="s">
        <v>1395</v>
      </c>
      <c r="Y190" s="25" t="s">
        <v>65</v>
      </c>
      <c r="Z190" s="25" t="s">
        <v>55</v>
      </c>
      <c r="AA190" s="25" t="s">
        <v>66</v>
      </c>
      <c r="AB190" s="25" t="s">
        <v>55</v>
      </c>
      <c r="AC190" s="25" t="s">
        <v>55</v>
      </c>
      <c r="AD190" s="25" t="s">
        <v>118</v>
      </c>
      <c r="AE190" s="25" t="s">
        <v>97</v>
      </c>
      <c r="AF190" s="25" t="s">
        <v>100</v>
      </c>
      <c r="AG190" s="25" t="s">
        <v>55</v>
      </c>
      <c r="AH190" s="25" t="s">
        <v>55</v>
      </c>
      <c r="AI190" s="25" t="s">
        <v>55</v>
      </c>
      <c r="AJ190" s="25" t="s">
        <v>55</v>
      </c>
      <c r="AK190" s="25" t="s">
        <v>55</v>
      </c>
      <c r="AL190" s="25" t="s">
        <v>55</v>
      </c>
      <c r="AM190" s="25" t="s">
        <v>55</v>
      </c>
      <c r="AN190" s="25" t="s">
        <v>55</v>
      </c>
      <c r="AO190" s="25" t="s">
        <v>55</v>
      </c>
      <c r="AP190" s="25" t="s">
        <v>55</v>
      </c>
      <c r="AQ190" s="25" t="s">
        <v>55</v>
      </c>
      <c r="AR190" s="25" t="s">
        <v>55</v>
      </c>
      <c r="AS190" s="25" t="s">
        <v>55</v>
      </c>
      <c r="AT190" s="25" t="s">
        <v>55</v>
      </c>
      <c r="AU190" s="25" t="s">
        <v>55</v>
      </c>
      <c r="AV190" s="25" t="s">
        <v>55</v>
      </c>
      <c r="AW190" s="25" t="s">
        <v>55</v>
      </c>
      <c r="AX190" s="25" t="s">
        <v>55</v>
      </c>
      <c r="AY190" s="25" t="s">
        <v>1133</v>
      </c>
      <c r="AZ190" s="20">
        <f t="shared" si="7"/>
        <v>21</v>
      </c>
      <c r="BA190" s="17" t="str">
        <f t="shared" si="8"/>
        <v>&lt; 3 months</v>
      </c>
      <c r="BB190" s="21" t="s">
        <v>66</v>
      </c>
    </row>
    <row r="191" spans="1:54" x14ac:dyDescent="0.35">
      <c r="A191" s="25" t="s">
        <v>1396</v>
      </c>
      <c r="B191" s="25" t="s">
        <v>347</v>
      </c>
      <c r="C191" s="25" t="s">
        <v>116</v>
      </c>
      <c r="D191" s="25" t="s">
        <v>465</v>
      </c>
      <c r="E191" s="25" t="s">
        <v>52</v>
      </c>
      <c r="F191" s="25" t="s">
        <v>1147</v>
      </c>
      <c r="G191" s="25" t="s">
        <v>54</v>
      </c>
      <c r="H191" s="25" t="s">
        <v>1713</v>
      </c>
      <c r="I191" s="25" t="s">
        <v>160</v>
      </c>
      <c r="J191" s="25" t="s">
        <v>373</v>
      </c>
      <c r="K191" s="25" t="s">
        <v>558</v>
      </c>
      <c r="L191" s="25" t="s">
        <v>55</v>
      </c>
      <c r="M191" s="25" t="s">
        <v>385</v>
      </c>
      <c r="N191" s="25" t="s">
        <v>55</v>
      </c>
      <c r="O191" s="25" t="s">
        <v>1148</v>
      </c>
      <c r="P191" s="25" t="s">
        <v>1397</v>
      </c>
      <c r="Q191" s="25" t="s">
        <v>1398</v>
      </c>
      <c r="R191" s="25" t="s">
        <v>55</v>
      </c>
      <c r="S191" s="25" t="s">
        <v>55</v>
      </c>
      <c r="T191" s="25" t="s">
        <v>1399</v>
      </c>
      <c r="U191" s="25" t="s">
        <v>63</v>
      </c>
      <c r="V191" s="26">
        <v>45961</v>
      </c>
      <c r="W191" s="25" t="s">
        <v>55</v>
      </c>
      <c r="X191" s="25" t="s">
        <v>1400</v>
      </c>
      <c r="Y191" s="25" t="s">
        <v>65</v>
      </c>
      <c r="Z191" s="25" t="s">
        <v>55</v>
      </c>
      <c r="AA191" s="25" t="s">
        <v>66</v>
      </c>
      <c r="AB191" s="25" t="s">
        <v>55</v>
      </c>
      <c r="AC191" s="25" t="s">
        <v>55</v>
      </c>
      <c r="AD191" s="25" t="s">
        <v>118</v>
      </c>
      <c r="AE191" s="25" t="s">
        <v>97</v>
      </c>
      <c r="AF191" s="25" t="s">
        <v>391</v>
      </c>
      <c r="AG191" s="25" t="s">
        <v>55</v>
      </c>
      <c r="AH191" s="25" t="s">
        <v>55</v>
      </c>
      <c r="AI191" s="25" t="s">
        <v>55</v>
      </c>
      <c r="AJ191" s="25" t="s">
        <v>55</v>
      </c>
      <c r="AK191" s="25" t="s">
        <v>55</v>
      </c>
      <c r="AL191" s="25" t="s">
        <v>55</v>
      </c>
      <c r="AM191" s="25" t="s">
        <v>55</v>
      </c>
      <c r="AN191" s="25" t="s">
        <v>55</v>
      </c>
      <c r="AO191" s="25" t="s">
        <v>55</v>
      </c>
      <c r="AP191" s="25" t="s">
        <v>55</v>
      </c>
      <c r="AQ191" s="25" t="s">
        <v>55</v>
      </c>
      <c r="AR191" s="25" t="s">
        <v>55</v>
      </c>
      <c r="AS191" s="25" t="s">
        <v>55</v>
      </c>
      <c r="AT191" s="25" t="s">
        <v>55</v>
      </c>
      <c r="AU191" s="25" t="s">
        <v>55</v>
      </c>
      <c r="AV191" s="25" t="s">
        <v>55</v>
      </c>
      <c r="AW191" s="25" t="s">
        <v>55</v>
      </c>
      <c r="AX191" s="25" t="s">
        <v>55</v>
      </c>
      <c r="AY191" s="25" t="s">
        <v>1133</v>
      </c>
      <c r="AZ191" s="20">
        <f t="shared" si="7"/>
        <v>21</v>
      </c>
      <c r="BA191" s="17" t="str">
        <f t="shared" si="8"/>
        <v>&lt; 3 months</v>
      </c>
      <c r="BB191" s="21" t="s">
        <v>66</v>
      </c>
    </row>
    <row r="192" spans="1:54" x14ac:dyDescent="0.35">
      <c r="A192" s="25" t="s">
        <v>1401</v>
      </c>
      <c r="B192" s="25" t="s">
        <v>347</v>
      </c>
      <c r="C192" s="25" t="s">
        <v>116</v>
      </c>
      <c r="D192" s="25" t="s">
        <v>465</v>
      </c>
      <c r="E192" s="25" t="s">
        <v>52</v>
      </c>
      <c r="F192" s="25" t="s">
        <v>1147</v>
      </c>
      <c r="G192" s="25" t="s">
        <v>54</v>
      </c>
      <c r="H192" s="25" t="s">
        <v>1713</v>
      </c>
      <c r="I192" s="25" t="s">
        <v>117</v>
      </c>
      <c r="J192" s="25" t="s">
        <v>842</v>
      </c>
      <c r="K192" s="25" t="s">
        <v>572</v>
      </c>
      <c r="L192" s="25" t="s">
        <v>55</v>
      </c>
      <c r="M192" s="25" t="s">
        <v>128</v>
      </c>
      <c r="N192" s="25" t="s">
        <v>55</v>
      </c>
      <c r="O192" s="25" t="s">
        <v>1148</v>
      </c>
      <c r="P192" s="25" t="s">
        <v>1402</v>
      </c>
      <c r="Q192" s="25" t="s">
        <v>1403</v>
      </c>
      <c r="R192" s="25" t="s">
        <v>55</v>
      </c>
      <c r="S192" s="25" t="s">
        <v>55</v>
      </c>
      <c r="T192" s="25" t="s">
        <v>1404</v>
      </c>
      <c r="U192" s="25" t="s">
        <v>63</v>
      </c>
      <c r="V192" s="26">
        <v>45961</v>
      </c>
      <c r="W192" s="25" t="s">
        <v>55</v>
      </c>
      <c r="X192" s="25" t="s">
        <v>1405</v>
      </c>
      <c r="Y192" s="25" t="s">
        <v>65</v>
      </c>
      <c r="Z192" s="25" t="s">
        <v>55</v>
      </c>
      <c r="AA192" s="25" t="s">
        <v>66</v>
      </c>
      <c r="AB192" s="25" t="s">
        <v>55</v>
      </c>
      <c r="AC192" s="25" t="s">
        <v>55</v>
      </c>
      <c r="AD192" s="25" t="s">
        <v>118</v>
      </c>
      <c r="AE192" s="25" t="s">
        <v>97</v>
      </c>
      <c r="AF192" s="25" t="s">
        <v>69</v>
      </c>
      <c r="AG192" s="25" t="s">
        <v>55</v>
      </c>
      <c r="AH192" s="25" t="s">
        <v>55</v>
      </c>
      <c r="AI192" s="25" t="s">
        <v>55</v>
      </c>
      <c r="AJ192" s="25" t="s">
        <v>55</v>
      </c>
      <c r="AK192" s="25" t="s">
        <v>55</v>
      </c>
      <c r="AL192" s="25" t="s">
        <v>55</v>
      </c>
      <c r="AM192" s="25" t="s">
        <v>55</v>
      </c>
      <c r="AN192" s="25" t="s">
        <v>55</v>
      </c>
      <c r="AO192" s="25" t="s">
        <v>55</v>
      </c>
      <c r="AP192" s="25" t="s">
        <v>55</v>
      </c>
      <c r="AQ192" s="25" t="s">
        <v>55</v>
      </c>
      <c r="AR192" s="25" t="s">
        <v>55</v>
      </c>
      <c r="AS192" s="25" t="s">
        <v>55</v>
      </c>
      <c r="AT192" s="25" t="s">
        <v>55</v>
      </c>
      <c r="AU192" s="25" t="s">
        <v>55</v>
      </c>
      <c r="AV192" s="25" t="s">
        <v>55</v>
      </c>
      <c r="AW192" s="25" t="s">
        <v>55</v>
      </c>
      <c r="AX192" s="25" t="s">
        <v>55</v>
      </c>
      <c r="AY192" s="25" t="s">
        <v>1133</v>
      </c>
      <c r="AZ192" s="20">
        <f t="shared" si="7"/>
        <v>21</v>
      </c>
      <c r="BA192" s="17" t="str">
        <f t="shared" si="8"/>
        <v>&lt; 3 months</v>
      </c>
      <c r="BB192" s="21" t="s">
        <v>66</v>
      </c>
    </row>
    <row r="193" spans="1:54" x14ac:dyDescent="0.35">
      <c r="A193" s="25" t="s">
        <v>1406</v>
      </c>
      <c r="B193" s="25" t="s">
        <v>347</v>
      </c>
      <c r="C193" s="25" t="s">
        <v>116</v>
      </c>
      <c r="D193" s="25" t="s">
        <v>465</v>
      </c>
      <c r="E193" s="25" t="s">
        <v>52</v>
      </c>
      <c r="F193" s="25" t="s">
        <v>370</v>
      </c>
      <c r="G193" s="25" t="s">
        <v>371</v>
      </c>
      <c r="H193" s="25" t="s">
        <v>372</v>
      </c>
      <c r="I193" s="25" t="s">
        <v>160</v>
      </c>
      <c r="J193" s="25" t="s">
        <v>373</v>
      </c>
      <c r="K193" s="25" t="s">
        <v>1407</v>
      </c>
      <c r="L193" s="25" t="s">
        <v>55</v>
      </c>
      <c r="M193" s="25" t="s">
        <v>385</v>
      </c>
      <c r="N193" s="25" t="s">
        <v>55</v>
      </c>
      <c r="O193" s="25" t="s">
        <v>1278</v>
      </c>
      <c r="P193" s="25" t="s">
        <v>1408</v>
      </c>
      <c r="Q193" s="25" t="s">
        <v>1409</v>
      </c>
      <c r="R193" s="25" t="s">
        <v>55</v>
      </c>
      <c r="S193" s="25" t="s">
        <v>55</v>
      </c>
      <c r="T193" s="25" t="s">
        <v>1410</v>
      </c>
      <c r="U193" s="25" t="s">
        <v>132</v>
      </c>
      <c r="V193" s="26">
        <v>45991</v>
      </c>
      <c r="W193" s="25" t="s">
        <v>55</v>
      </c>
      <c r="X193" s="25" t="s">
        <v>1411</v>
      </c>
      <c r="Y193" s="25" t="s">
        <v>65</v>
      </c>
      <c r="Z193" s="25" t="s">
        <v>55</v>
      </c>
      <c r="AA193" s="25" t="s">
        <v>152</v>
      </c>
      <c r="AB193" s="25" t="s">
        <v>55</v>
      </c>
      <c r="AC193" s="25" t="s">
        <v>55</v>
      </c>
      <c r="AD193" s="25" t="s">
        <v>118</v>
      </c>
      <c r="AE193" s="25" t="s">
        <v>97</v>
      </c>
      <c r="AF193" s="25" t="s">
        <v>391</v>
      </c>
      <c r="AG193" s="25" t="s">
        <v>55</v>
      </c>
      <c r="AH193" s="25" t="s">
        <v>55</v>
      </c>
      <c r="AI193" s="25" t="s">
        <v>55</v>
      </c>
      <c r="AJ193" s="25" t="s">
        <v>55</v>
      </c>
      <c r="AK193" s="25" t="s">
        <v>55</v>
      </c>
      <c r="AL193" s="25" t="s">
        <v>55</v>
      </c>
      <c r="AM193" s="25" t="s">
        <v>55</v>
      </c>
      <c r="AN193" s="25" t="s">
        <v>55</v>
      </c>
      <c r="AO193" s="25" t="s">
        <v>55</v>
      </c>
      <c r="AP193" s="25" t="s">
        <v>55</v>
      </c>
      <c r="AQ193" s="25" t="s">
        <v>55</v>
      </c>
      <c r="AR193" s="25" t="s">
        <v>55</v>
      </c>
      <c r="AS193" s="25" t="s">
        <v>55</v>
      </c>
      <c r="AT193" s="25" t="s">
        <v>55</v>
      </c>
      <c r="AU193" s="25" t="s">
        <v>55</v>
      </c>
      <c r="AV193" s="25" t="s">
        <v>55</v>
      </c>
      <c r="AW193" s="25" t="s">
        <v>55</v>
      </c>
      <c r="AX193" s="25" t="s">
        <v>55</v>
      </c>
      <c r="AY193" s="25" t="s">
        <v>1133</v>
      </c>
      <c r="AZ193" s="20">
        <f t="shared" si="7"/>
        <v>-9</v>
      </c>
      <c r="BA193" s="17" t="e">
        <f t="shared" si="8"/>
        <v>#N/A</v>
      </c>
      <c r="BB193" s="21" t="s">
        <v>335</v>
      </c>
    </row>
    <row r="194" spans="1:54" x14ac:dyDescent="0.35">
      <c r="A194" s="25" t="s">
        <v>1412</v>
      </c>
      <c r="B194" s="25" t="s">
        <v>347</v>
      </c>
      <c r="C194" s="25" t="s">
        <v>116</v>
      </c>
      <c r="D194" s="25" t="s">
        <v>465</v>
      </c>
      <c r="E194" s="25" t="s">
        <v>52</v>
      </c>
      <c r="F194" s="25" t="s">
        <v>1413</v>
      </c>
      <c r="G194" s="25" t="s">
        <v>54</v>
      </c>
      <c r="H194" s="25" t="s">
        <v>1713</v>
      </c>
      <c r="I194" s="25" t="s">
        <v>121</v>
      </c>
      <c r="J194" s="25" t="s">
        <v>223</v>
      </c>
      <c r="K194" s="25" t="s">
        <v>868</v>
      </c>
      <c r="L194" s="25" t="s">
        <v>55</v>
      </c>
      <c r="M194" s="25" t="s">
        <v>224</v>
      </c>
      <c r="N194" s="25" t="s">
        <v>55</v>
      </c>
      <c r="O194" s="25" t="s">
        <v>1414</v>
      </c>
      <c r="P194" s="25" t="s">
        <v>1415</v>
      </c>
      <c r="Q194" s="25" t="s">
        <v>1416</v>
      </c>
      <c r="R194" s="25" t="s">
        <v>55</v>
      </c>
      <c r="S194" s="25" t="s">
        <v>55</v>
      </c>
      <c r="T194" s="25" t="s">
        <v>1417</v>
      </c>
      <c r="U194" s="25" t="s">
        <v>63</v>
      </c>
      <c r="V194" s="26">
        <v>45991</v>
      </c>
      <c r="W194" s="25" t="s">
        <v>55</v>
      </c>
      <c r="X194" s="25" t="s">
        <v>1418</v>
      </c>
      <c r="Y194" s="25" t="s">
        <v>65</v>
      </c>
      <c r="Z194" s="25" t="s">
        <v>55</v>
      </c>
      <c r="AA194" s="25" t="s">
        <v>152</v>
      </c>
      <c r="AB194" s="25" t="s">
        <v>55</v>
      </c>
      <c r="AC194" s="25" t="s">
        <v>55</v>
      </c>
      <c r="AD194" s="25" t="s">
        <v>118</v>
      </c>
      <c r="AE194" s="25" t="s">
        <v>97</v>
      </c>
      <c r="AF194" s="25" t="s">
        <v>226</v>
      </c>
      <c r="AG194" s="25" t="s">
        <v>55</v>
      </c>
      <c r="AH194" s="25" t="s">
        <v>55</v>
      </c>
      <c r="AI194" s="25" t="s">
        <v>55</v>
      </c>
      <c r="AJ194" s="25" t="s">
        <v>55</v>
      </c>
      <c r="AK194" s="25" t="s">
        <v>55</v>
      </c>
      <c r="AL194" s="25" t="s">
        <v>55</v>
      </c>
      <c r="AM194" s="25" t="s">
        <v>55</v>
      </c>
      <c r="AN194" s="25" t="s">
        <v>55</v>
      </c>
      <c r="AO194" s="25" t="s">
        <v>55</v>
      </c>
      <c r="AP194" s="25" t="s">
        <v>55</v>
      </c>
      <c r="AQ194" s="25" t="s">
        <v>55</v>
      </c>
      <c r="AR194" s="25" t="s">
        <v>55</v>
      </c>
      <c r="AS194" s="25" t="s">
        <v>55</v>
      </c>
      <c r="AT194" s="25" t="s">
        <v>55</v>
      </c>
      <c r="AU194" s="25" t="s">
        <v>55</v>
      </c>
      <c r="AV194" s="25" t="s">
        <v>55</v>
      </c>
      <c r="AW194" s="25" t="s">
        <v>55</v>
      </c>
      <c r="AX194" s="25" t="s">
        <v>55</v>
      </c>
      <c r="AY194" s="25" t="s">
        <v>1133</v>
      </c>
      <c r="AZ194" s="20">
        <f t="shared" si="7"/>
        <v>-9</v>
      </c>
      <c r="BA194" s="17" t="e">
        <f t="shared" si="8"/>
        <v>#N/A</v>
      </c>
      <c r="BB194" s="21" t="s">
        <v>335</v>
      </c>
    </row>
    <row r="195" spans="1:54" x14ac:dyDescent="0.35">
      <c r="A195" s="25" t="s">
        <v>1419</v>
      </c>
      <c r="B195" s="25" t="s">
        <v>347</v>
      </c>
      <c r="C195" s="25" t="s">
        <v>116</v>
      </c>
      <c r="D195" s="25" t="s">
        <v>465</v>
      </c>
      <c r="E195" s="25" t="s">
        <v>52</v>
      </c>
      <c r="F195" s="25" t="s">
        <v>1420</v>
      </c>
      <c r="G195" s="25" t="s">
        <v>54</v>
      </c>
      <c r="H195" s="25" t="s">
        <v>1716</v>
      </c>
      <c r="I195" s="25" t="s">
        <v>160</v>
      </c>
      <c r="J195" s="25" t="s">
        <v>393</v>
      </c>
      <c r="K195" s="25" t="s">
        <v>584</v>
      </c>
      <c r="L195" s="25" t="s">
        <v>55</v>
      </c>
      <c r="M195" s="25" t="s">
        <v>1421</v>
      </c>
      <c r="N195" s="25" t="s">
        <v>55</v>
      </c>
      <c r="O195" s="25" t="s">
        <v>1422</v>
      </c>
      <c r="P195" s="25" t="s">
        <v>1423</v>
      </c>
      <c r="Q195" s="25" t="s">
        <v>1423</v>
      </c>
      <c r="R195" s="25" t="s">
        <v>55</v>
      </c>
      <c r="S195" s="25" t="s">
        <v>55</v>
      </c>
      <c r="T195" s="25" t="s">
        <v>1424</v>
      </c>
      <c r="U195" s="25" t="s">
        <v>63</v>
      </c>
      <c r="V195" s="26">
        <v>45961</v>
      </c>
      <c r="W195" s="25" t="s">
        <v>55</v>
      </c>
      <c r="X195" s="25" t="s">
        <v>1425</v>
      </c>
      <c r="Y195" s="25" t="s">
        <v>65</v>
      </c>
      <c r="Z195" s="25" t="s">
        <v>55</v>
      </c>
      <c r="AA195" s="25" t="s">
        <v>66</v>
      </c>
      <c r="AB195" s="25" t="s">
        <v>55</v>
      </c>
      <c r="AC195" s="25" t="s">
        <v>55</v>
      </c>
      <c r="AD195" s="25" t="s">
        <v>118</v>
      </c>
      <c r="AE195" s="25" t="s">
        <v>97</v>
      </c>
      <c r="AF195" s="25" t="s">
        <v>220</v>
      </c>
      <c r="AG195" s="25" t="s">
        <v>55</v>
      </c>
      <c r="AH195" s="25" t="s">
        <v>55</v>
      </c>
      <c r="AI195" s="25" t="s">
        <v>55</v>
      </c>
      <c r="AJ195" s="25" t="s">
        <v>55</v>
      </c>
      <c r="AK195" s="25" t="s">
        <v>55</v>
      </c>
      <c r="AL195" s="25" t="s">
        <v>55</v>
      </c>
      <c r="AM195" s="25" t="s">
        <v>55</v>
      </c>
      <c r="AN195" s="25" t="s">
        <v>55</v>
      </c>
      <c r="AO195" s="25" t="s">
        <v>55</v>
      </c>
      <c r="AP195" s="25" t="s">
        <v>55</v>
      </c>
      <c r="AQ195" s="25" t="s">
        <v>55</v>
      </c>
      <c r="AR195" s="25" t="s">
        <v>55</v>
      </c>
      <c r="AS195" s="25" t="s">
        <v>55</v>
      </c>
      <c r="AT195" s="25" t="s">
        <v>55</v>
      </c>
      <c r="AU195" s="25" t="s">
        <v>55</v>
      </c>
      <c r="AV195" s="25" t="s">
        <v>55</v>
      </c>
      <c r="AW195" s="25" t="s">
        <v>55</v>
      </c>
      <c r="AX195" s="25" t="s">
        <v>55</v>
      </c>
      <c r="AY195" s="25" t="s">
        <v>1133</v>
      </c>
      <c r="AZ195" s="20">
        <f t="shared" si="7"/>
        <v>21</v>
      </c>
      <c r="BA195" s="17" t="str">
        <f t="shared" si="8"/>
        <v>&lt; 3 months</v>
      </c>
      <c r="BB195" s="21" t="s">
        <v>66</v>
      </c>
    </row>
    <row r="196" spans="1:54" x14ac:dyDescent="0.35">
      <c r="A196" s="25" t="s">
        <v>1426</v>
      </c>
      <c r="B196" s="25" t="s">
        <v>347</v>
      </c>
      <c r="C196" s="25" t="s">
        <v>116</v>
      </c>
      <c r="D196" s="25" t="s">
        <v>465</v>
      </c>
      <c r="E196" s="25" t="s">
        <v>52</v>
      </c>
      <c r="F196" s="25" t="s">
        <v>1420</v>
      </c>
      <c r="G196" s="25" t="s">
        <v>54</v>
      </c>
      <c r="H196" s="25" t="s">
        <v>1716</v>
      </c>
      <c r="I196" s="25" t="s">
        <v>121</v>
      </c>
      <c r="J196" s="25" t="s">
        <v>843</v>
      </c>
      <c r="K196" s="25" t="s">
        <v>594</v>
      </c>
      <c r="L196" s="25" t="s">
        <v>55</v>
      </c>
      <c r="M196" s="25" t="s">
        <v>844</v>
      </c>
      <c r="N196" s="25" t="s">
        <v>55</v>
      </c>
      <c r="O196" s="25" t="s">
        <v>1422</v>
      </c>
      <c r="P196" s="25" t="s">
        <v>1427</v>
      </c>
      <c r="Q196" s="25" t="s">
        <v>1428</v>
      </c>
      <c r="R196" s="25" t="s">
        <v>55</v>
      </c>
      <c r="S196" s="25" t="s">
        <v>55</v>
      </c>
      <c r="T196" s="25" t="s">
        <v>1429</v>
      </c>
      <c r="U196" s="25" t="s">
        <v>63</v>
      </c>
      <c r="V196" s="26">
        <v>45961</v>
      </c>
      <c r="W196" s="25" t="s">
        <v>55</v>
      </c>
      <c r="X196" s="25" t="s">
        <v>1430</v>
      </c>
      <c r="Y196" s="25" t="s">
        <v>65</v>
      </c>
      <c r="Z196" s="25" t="s">
        <v>55</v>
      </c>
      <c r="AA196" s="25" t="s">
        <v>66</v>
      </c>
      <c r="AB196" s="25" t="s">
        <v>55</v>
      </c>
      <c r="AC196" s="25" t="s">
        <v>55</v>
      </c>
      <c r="AD196" s="25" t="s">
        <v>118</v>
      </c>
      <c r="AE196" s="25" t="s">
        <v>97</v>
      </c>
      <c r="AF196" s="25" t="s">
        <v>583</v>
      </c>
      <c r="AG196" s="25" t="s">
        <v>55</v>
      </c>
      <c r="AH196" s="25" t="s">
        <v>55</v>
      </c>
      <c r="AI196" s="25" t="s">
        <v>55</v>
      </c>
      <c r="AJ196" s="25" t="s">
        <v>55</v>
      </c>
      <c r="AK196" s="25" t="s">
        <v>55</v>
      </c>
      <c r="AL196" s="25" t="s">
        <v>55</v>
      </c>
      <c r="AM196" s="25" t="s">
        <v>55</v>
      </c>
      <c r="AN196" s="25" t="s">
        <v>55</v>
      </c>
      <c r="AO196" s="25" t="s">
        <v>55</v>
      </c>
      <c r="AP196" s="25" t="s">
        <v>55</v>
      </c>
      <c r="AQ196" s="25" t="s">
        <v>55</v>
      </c>
      <c r="AR196" s="25" t="s">
        <v>55</v>
      </c>
      <c r="AS196" s="25" t="s">
        <v>55</v>
      </c>
      <c r="AT196" s="25" t="s">
        <v>55</v>
      </c>
      <c r="AU196" s="25" t="s">
        <v>55</v>
      </c>
      <c r="AV196" s="25" t="s">
        <v>55</v>
      </c>
      <c r="AW196" s="25" t="s">
        <v>55</v>
      </c>
      <c r="AX196" s="25" t="s">
        <v>55</v>
      </c>
      <c r="AY196" s="25" t="s">
        <v>1133</v>
      </c>
      <c r="AZ196" s="20">
        <f t="shared" si="7"/>
        <v>21</v>
      </c>
      <c r="BA196" s="17" t="str">
        <f t="shared" si="8"/>
        <v>&lt; 3 months</v>
      </c>
      <c r="BB196" s="21" t="s">
        <v>66</v>
      </c>
    </row>
    <row r="197" spans="1:54" x14ac:dyDescent="0.35">
      <c r="A197" s="25" t="s">
        <v>1431</v>
      </c>
      <c r="B197" s="25" t="s">
        <v>347</v>
      </c>
      <c r="C197" s="25" t="s">
        <v>116</v>
      </c>
      <c r="D197" s="25" t="s">
        <v>465</v>
      </c>
      <c r="E197" s="25" t="s">
        <v>52</v>
      </c>
      <c r="F197" s="25" t="s">
        <v>1420</v>
      </c>
      <c r="G197" s="25" t="s">
        <v>54</v>
      </c>
      <c r="H197" s="25" t="s">
        <v>1716</v>
      </c>
      <c r="I197" s="25" t="s">
        <v>119</v>
      </c>
      <c r="J197" s="25" t="s">
        <v>1391</v>
      </c>
      <c r="K197" s="25" t="s">
        <v>592</v>
      </c>
      <c r="L197" s="25" t="s">
        <v>55</v>
      </c>
      <c r="M197" s="25" t="s">
        <v>1432</v>
      </c>
      <c r="N197" s="25" t="s">
        <v>55</v>
      </c>
      <c r="O197" s="25" t="s">
        <v>1422</v>
      </c>
      <c r="P197" s="25" t="s">
        <v>1433</v>
      </c>
      <c r="Q197" s="25" t="s">
        <v>1434</v>
      </c>
      <c r="R197" s="25" t="s">
        <v>55</v>
      </c>
      <c r="S197" s="25" t="s">
        <v>55</v>
      </c>
      <c r="T197" s="25" t="s">
        <v>1435</v>
      </c>
      <c r="U197" s="25" t="s">
        <v>63</v>
      </c>
      <c r="V197" s="26">
        <v>45961</v>
      </c>
      <c r="W197" s="25" t="s">
        <v>55</v>
      </c>
      <c r="X197" s="25" t="s">
        <v>1436</v>
      </c>
      <c r="Y197" s="25" t="s">
        <v>65</v>
      </c>
      <c r="Z197" s="25" t="s">
        <v>55</v>
      </c>
      <c r="AA197" s="25" t="s">
        <v>66</v>
      </c>
      <c r="AB197" s="25" t="s">
        <v>55</v>
      </c>
      <c r="AC197" s="25" t="s">
        <v>55</v>
      </c>
      <c r="AD197" s="25" t="s">
        <v>118</v>
      </c>
      <c r="AE197" s="25" t="s">
        <v>97</v>
      </c>
      <c r="AF197" s="25" t="s">
        <v>100</v>
      </c>
      <c r="AG197" s="25" t="s">
        <v>55</v>
      </c>
      <c r="AH197" s="25" t="s">
        <v>55</v>
      </c>
      <c r="AI197" s="25" t="s">
        <v>55</v>
      </c>
      <c r="AJ197" s="25" t="s">
        <v>55</v>
      </c>
      <c r="AK197" s="25" t="s">
        <v>55</v>
      </c>
      <c r="AL197" s="25" t="s">
        <v>55</v>
      </c>
      <c r="AM197" s="25" t="s">
        <v>55</v>
      </c>
      <c r="AN197" s="25" t="s">
        <v>55</v>
      </c>
      <c r="AO197" s="25" t="s">
        <v>55</v>
      </c>
      <c r="AP197" s="25" t="s">
        <v>55</v>
      </c>
      <c r="AQ197" s="25" t="s">
        <v>55</v>
      </c>
      <c r="AR197" s="25" t="s">
        <v>55</v>
      </c>
      <c r="AS197" s="25" t="s">
        <v>55</v>
      </c>
      <c r="AT197" s="25" t="s">
        <v>55</v>
      </c>
      <c r="AU197" s="25" t="s">
        <v>55</v>
      </c>
      <c r="AV197" s="25" t="s">
        <v>55</v>
      </c>
      <c r="AW197" s="25" t="s">
        <v>55</v>
      </c>
      <c r="AX197" s="25" t="s">
        <v>55</v>
      </c>
      <c r="AY197" s="25" t="s">
        <v>1133</v>
      </c>
      <c r="AZ197" s="20">
        <f t="shared" si="7"/>
        <v>21</v>
      </c>
      <c r="BA197" s="17" t="str">
        <f t="shared" si="8"/>
        <v>&lt; 3 months</v>
      </c>
      <c r="BB197" s="21" t="s">
        <v>66</v>
      </c>
    </row>
    <row r="198" spans="1:54" x14ac:dyDescent="0.35">
      <c r="A198" s="25" t="s">
        <v>1437</v>
      </c>
      <c r="B198" s="25" t="s">
        <v>347</v>
      </c>
      <c r="C198" s="25" t="s">
        <v>116</v>
      </c>
      <c r="D198" s="25" t="s">
        <v>465</v>
      </c>
      <c r="E198" s="25" t="s">
        <v>52</v>
      </c>
      <c r="F198" s="25" t="s">
        <v>1438</v>
      </c>
      <c r="G198" s="25" t="s">
        <v>94</v>
      </c>
      <c r="H198" s="25" t="s">
        <v>162</v>
      </c>
      <c r="I198" s="25" t="s">
        <v>119</v>
      </c>
      <c r="J198" s="25" t="s">
        <v>242</v>
      </c>
      <c r="K198" s="25" t="s">
        <v>544</v>
      </c>
      <c r="L198" s="25" t="s">
        <v>55</v>
      </c>
      <c r="M198" s="25" t="s">
        <v>122</v>
      </c>
      <c r="N198" s="25" t="s">
        <v>55</v>
      </c>
      <c r="O198" s="25" t="s">
        <v>1439</v>
      </c>
      <c r="P198" s="25" t="s">
        <v>1440</v>
      </c>
      <c r="Q198" s="25" t="s">
        <v>1440</v>
      </c>
      <c r="R198" s="25" t="s">
        <v>55</v>
      </c>
      <c r="S198" s="25" t="s">
        <v>55</v>
      </c>
      <c r="T198" s="25" t="s">
        <v>1441</v>
      </c>
      <c r="U198" s="25" t="s">
        <v>63</v>
      </c>
      <c r="V198" s="26">
        <v>46006</v>
      </c>
      <c r="W198" s="25" t="s">
        <v>55</v>
      </c>
      <c r="X198" s="25" t="s">
        <v>1442</v>
      </c>
      <c r="Y198" s="25" t="s">
        <v>65</v>
      </c>
      <c r="Z198" s="25" t="s">
        <v>55</v>
      </c>
      <c r="AA198" s="25" t="s">
        <v>152</v>
      </c>
      <c r="AB198" s="25" t="s">
        <v>55</v>
      </c>
      <c r="AC198" s="25" t="s">
        <v>55</v>
      </c>
      <c r="AD198" s="25" t="s">
        <v>118</v>
      </c>
      <c r="AE198" s="25" t="s">
        <v>97</v>
      </c>
      <c r="AF198" s="25" t="s">
        <v>123</v>
      </c>
      <c r="AG198" s="25" t="s">
        <v>55</v>
      </c>
      <c r="AH198" s="25" t="s">
        <v>55</v>
      </c>
      <c r="AI198" s="25" t="s">
        <v>55</v>
      </c>
      <c r="AJ198" s="25" t="s">
        <v>55</v>
      </c>
      <c r="AK198" s="25" t="s">
        <v>55</v>
      </c>
      <c r="AL198" s="25" t="s">
        <v>55</v>
      </c>
      <c r="AM198" s="25" t="s">
        <v>55</v>
      </c>
      <c r="AN198" s="25" t="s">
        <v>55</v>
      </c>
      <c r="AO198" s="25" t="s">
        <v>55</v>
      </c>
      <c r="AP198" s="25" t="s">
        <v>55</v>
      </c>
      <c r="AQ198" s="25" t="s">
        <v>55</v>
      </c>
      <c r="AR198" s="25" t="s">
        <v>55</v>
      </c>
      <c r="AS198" s="25" t="s">
        <v>55</v>
      </c>
      <c r="AT198" s="25" t="s">
        <v>55</v>
      </c>
      <c r="AU198" s="25" t="s">
        <v>55</v>
      </c>
      <c r="AV198" s="25" t="s">
        <v>55</v>
      </c>
      <c r="AW198" s="25" t="s">
        <v>55</v>
      </c>
      <c r="AX198" s="25" t="s">
        <v>55</v>
      </c>
      <c r="AY198" s="25" t="s">
        <v>1133</v>
      </c>
      <c r="AZ198" s="20">
        <f t="shared" si="7"/>
        <v>-24</v>
      </c>
      <c r="BA198" s="17" t="e">
        <f t="shared" si="8"/>
        <v>#N/A</v>
      </c>
      <c r="BB198" s="21" t="s">
        <v>335</v>
      </c>
    </row>
    <row r="199" spans="1:54" x14ac:dyDescent="0.35">
      <c r="A199" s="25" t="s">
        <v>1443</v>
      </c>
      <c r="B199" s="25" t="s">
        <v>347</v>
      </c>
      <c r="C199" s="25" t="s">
        <v>116</v>
      </c>
      <c r="D199" s="25" t="s">
        <v>465</v>
      </c>
      <c r="E199" s="25" t="s">
        <v>52</v>
      </c>
      <c r="F199" s="25" t="s">
        <v>611</v>
      </c>
      <c r="G199" s="25" t="s">
        <v>54</v>
      </c>
      <c r="H199" s="25" t="s">
        <v>1719</v>
      </c>
      <c r="I199" s="25" t="s">
        <v>803</v>
      </c>
      <c r="J199" s="25" t="s">
        <v>815</v>
      </c>
      <c r="K199" s="25" t="s">
        <v>572</v>
      </c>
      <c r="L199" s="25" t="s">
        <v>55</v>
      </c>
      <c r="M199" s="25" t="s">
        <v>816</v>
      </c>
      <c r="N199" s="25" t="s">
        <v>55</v>
      </c>
      <c r="O199" s="25" t="s">
        <v>1444</v>
      </c>
      <c r="P199" s="25" t="s">
        <v>1445</v>
      </c>
      <c r="Q199" s="25" t="s">
        <v>1446</v>
      </c>
      <c r="R199" s="25" t="s">
        <v>55</v>
      </c>
      <c r="S199" s="25" t="s">
        <v>55</v>
      </c>
      <c r="T199" s="25" t="s">
        <v>1447</v>
      </c>
      <c r="U199" s="25" t="s">
        <v>63</v>
      </c>
      <c r="V199" s="26">
        <v>46022</v>
      </c>
      <c r="W199" s="25" t="s">
        <v>55</v>
      </c>
      <c r="X199" s="25" t="s">
        <v>1448</v>
      </c>
      <c r="Y199" s="25" t="s">
        <v>65</v>
      </c>
      <c r="Z199" s="25" t="s">
        <v>55</v>
      </c>
      <c r="AA199" s="25" t="s">
        <v>221</v>
      </c>
      <c r="AB199" s="25" t="s">
        <v>55</v>
      </c>
      <c r="AC199" s="25" t="s">
        <v>55</v>
      </c>
      <c r="AD199" s="25" t="s">
        <v>118</v>
      </c>
      <c r="AE199" s="25" t="s">
        <v>97</v>
      </c>
      <c r="AF199" s="25" t="s">
        <v>69</v>
      </c>
      <c r="AG199" s="25" t="s">
        <v>55</v>
      </c>
      <c r="AH199" s="25" t="s">
        <v>55</v>
      </c>
      <c r="AI199" s="25" t="s">
        <v>55</v>
      </c>
      <c r="AJ199" s="25" t="s">
        <v>55</v>
      </c>
      <c r="AK199" s="25" t="s">
        <v>55</v>
      </c>
      <c r="AL199" s="25" t="s">
        <v>55</v>
      </c>
      <c r="AM199" s="25" t="s">
        <v>55</v>
      </c>
      <c r="AN199" s="25" t="s">
        <v>55</v>
      </c>
      <c r="AO199" s="25" t="s">
        <v>55</v>
      </c>
      <c r="AP199" s="25" t="s">
        <v>55</v>
      </c>
      <c r="AQ199" s="25" t="s">
        <v>55</v>
      </c>
      <c r="AR199" s="25" t="s">
        <v>55</v>
      </c>
      <c r="AS199" s="25" t="s">
        <v>55</v>
      </c>
      <c r="AT199" s="25" t="s">
        <v>55</v>
      </c>
      <c r="AU199" s="25" t="s">
        <v>55</v>
      </c>
      <c r="AV199" s="25" t="s">
        <v>55</v>
      </c>
      <c r="AW199" s="25" t="s">
        <v>55</v>
      </c>
      <c r="AX199" s="25" t="s">
        <v>55</v>
      </c>
      <c r="AY199" s="25" t="s">
        <v>1133</v>
      </c>
      <c r="AZ199" s="20">
        <f t="shared" si="7"/>
        <v>-40</v>
      </c>
      <c r="BA199" s="17" t="e">
        <f t="shared" si="8"/>
        <v>#N/A</v>
      </c>
      <c r="BB199" s="21" t="s">
        <v>335</v>
      </c>
    </row>
    <row r="200" spans="1:54" x14ac:dyDescent="0.35">
      <c r="A200" s="25" t="s">
        <v>1449</v>
      </c>
      <c r="B200" s="25" t="s">
        <v>347</v>
      </c>
      <c r="C200" s="25" t="s">
        <v>116</v>
      </c>
      <c r="D200" s="25" t="s">
        <v>465</v>
      </c>
      <c r="E200" s="25" t="s">
        <v>52</v>
      </c>
      <c r="F200" s="25" t="s">
        <v>611</v>
      </c>
      <c r="G200" s="25" t="s">
        <v>54</v>
      </c>
      <c r="H200" s="25" t="s">
        <v>1719</v>
      </c>
      <c r="I200" s="25" t="s">
        <v>526</v>
      </c>
      <c r="J200" s="25" t="s">
        <v>993</v>
      </c>
      <c r="K200" s="25" t="s">
        <v>572</v>
      </c>
      <c r="L200" s="25" t="s">
        <v>55</v>
      </c>
      <c r="M200" s="25" t="s">
        <v>58</v>
      </c>
      <c r="N200" s="25" t="s">
        <v>55</v>
      </c>
      <c r="O200" s="25" t="s">
        <v>1444</v>
      </c>
      <c r="P200" s="25" t="s">
        <v>1450</v>
      </c>
      <c r="Q200" s="25" t="s">
        <v>1451</v>
      </c>
      <c r="R200" s="25" t="s">
        <v>55</v>
      </c>
      <c r="S200" s="25" t="s">
        <v>55</v>
      </c>
      <c r="T200" s="25" t="s">
        <v>1452</v>
      </c>
      <c r="U200" s="25" t="s">
        <v>63</v>
      </c>
      <c r="V200" s="26">
        <v>45947</v>
      </c>
      <c r="W200" s="25" t="s">
        <v>55</v>
      </c>
      <c r="X200" s="25" t="s">
        <v>1448</v>
      </c>
      <c r="Y200" s="25" t="s">
        <v>65</v>
      </c>
      <c r="Z200" s="25" t="s">
        <v>55</v>
      </c>
      <c r="AA200" s="25" t="s">
        <v>66</v>
      </c>
      <c r="AB200" s="25" t="s">
        <v>55</v>
      </c>
      <c r="AC200" s="25" t="s">
        <v>55</v>
      </c>
      <c r="AD200" s="25" t="s">
        <v>118</v>
      </c>
      <c r="AE200" s="25" t="s">
        <v>97</v>
      </c>
      <c r="AF200" s="25" t="s">
        <v>69</v>
      </c>
      <c r="AG200" s="25" t="s">
        <v>55</v>
      </c>
      <c r="AH200" s="25" t="s">
        <v>55</v>
      </c>
      <c r="AI200" s="25" t="s">
        <v>55</v>
      </c>
      <c r="AJ200" s="25" t="s">
        <v>55</v>
      </c>
      <c r="AK200" s="25" t="s">
        <v>55</v>
      </c>
      <c r="AL200" s="25" t="s">
        <v>55</v>
      </c>
      <c r="AM200" s="25" t="s">
        <v>55</v>
      </c>
      <c r="AN200" s="25" t="s">
        <v>55</v>
      </c>
      <c r="AO200" s="25" t="s">
        <v>55</v>
      </c>
      <c r="AP200" s="25" t="s">
        <v>55</v>
      </c>
      <c r="AQ200" s="25" t="s">
        <v>55</v>
      </c>
      <c r="AR200" s="25" t="s">
        <v>55</v>
      </c>
      <c r="AS200" s="25" t="s">
        <v>55</v>
      </c>
      <c r="AT200" s="25" t="s">
        <v>55</v>
      </c>
      <c r="AU200" s="25" t="s">
        <v>55</v>
      </c>
      <c r="AV200" s="25" t="s">
        <v>55</v>
      </c>
      <c r="AW200" s="25" t="s">
        <v>55</v>
      </c>
      <c r="AX200" s="25" t="s">
        <v>55</v>
      </c>
      <c r="AY200" s="25" t="s">
        <v>1133</v>
      </c>
      <c r="AZ200" s="20">
        <f t="shared" si="7"/>
        <v>35</v>
      </c>
      <c r="BA200" s="17" t="str">
        <f t="shared" si="8"/>
        <v>&lt; 3 months</v>
      </c>
      <c r="BB200" s="21" t="s">
        <v>66</v>
      </c>
    </row>
    <row r="201" spans="1:54" x14ac:dyDescent="0.35">
      <c r="A201" s="25" t="s">
        <v>1453</v>
      </c>
      <c r="B201" s="25" t="s">
        <v>347</v>
      </c>
      <c r="C201" s="25" t="s">
        <v>116</v>
      </c>
      <c r="D201" s="25" t="s">
        <v>465</v>
      </c>
      <c r="E201" s="25" t="s">
        <v>52</v>
      </c>
      <c r="F201" s="25" t="s">
        <v>611</v>
      </c>
      <c r="G201" s="25" t="s">
        <v>54</v>
      </c>
      <c r="H201" s="25" t="s">
        <v>1719</v>
      </c>
      <c r="I201" s="25" t="s">
        <v>526</v>
      </c>
      <c r="J201" s="25" t="s">
        <v>993</v>
      </c>
      <c r="K201" s="25" t="s">
        <v>594</v>
      </c>
      <c r="L201" s="25" t="s">
        <v>55</v>
      </c>
      <c r="M201" s="25" t="s">
        <v>1454</v>
      </c>
      <c r="N201" s="25" t="s">
        <v>55</v>
      </c>
      <c r="O201" s="25" t="s">
        <v>1444</v>
      </c>
      <c r="P201" s="25" t="s">
        <v>1455</v>
      </c>
      <c r="Q201" s="25" t="s">
        <v>1456</v>
      </c>
      <c r="R201" s="25" t="s">
        <v>55</v>
      </c>
      <c r="S201" s="25" t="s">
        <v>55</v>
      </c>
      <c r="T201" s="25" t="s">
        <v>1457</v>
      </c>
      <c r="U201" s="25" t="s">
        <v>63</v>
      </c>
      <c r="V201" s="26">
        <v>45991</v>
      </c>
      <c r="W201" s="25" t="s">
        <v>55</v>
      </c>
      <c r="X201" s="25" t="s">
        <v>1448</v>
      </c>
      <c r="Y201" s="25" t="s">
        <v>65</v>
      </c>
      <c r="Z201" s="25" t="s">
        <v>55</v>
      </c>
      <c r="AA201" s="25" t="s">
        <v>152</v>
      </c>
      <c r="AB201" s="25" t="s">
        <v>55</v>
      </c>
      <c r="AC201" s="25" t="s">
        <v>55</v>
      </c>
      <c r="AD201" s="25" t="s">
        <v>118</v>
      </c>
      <c r="AE201" s="25" t="s">
        <v>97</v>
      </c>
      <c r="AF201" s="25" t="s">
        <v>1458</v>
      </c>
      <c r="AG201" s="25" t="s">
        <v>55</v>
      </c>
      <c r="AH201" s="25" t="s">
        <v>55</v>
      </c>
      <c r="AI201" s="25" t="s">
        <v>55</v>
      </c>
      <c r="AJ201" s="25" t="s">
        <v>55</v>
      </c>
      <c r="AK201" s="25" t="s">
        <v>55</v>
      </c>
      <c r="AL201" s="25" t="s">
        <v>55</v>
      </c>
      <c r="AM201" s="25" t="s">
        <v>55</v>
      </c>
      <c r="AN201" s="25" t="s">
        <v>55</v>
      </c>
      <c r="AO201" s="25" t="s">
        <v>55</v>
      </c>
      <c r="AP201" s="25" t="s">
        <v>55</v>
      </c>
      <c r="AQ201" s="25" t="s">
        <v>55</v>
      </c>
      <c r="AR201" s="25" t="s">
        <v>55</v>
      </c>
      <c r="AS201" s="25" t="s">
        <v>55</v>
      </c>
      <c r="AT201" s="25" t="s">
        <v>55</v>
      </c>
      <c r="AU201" s="25" t="s">
        <v>55</v>
      </c>
      <c r="AV201" s="25" t="s">
        <v>55</v>
      </c>
      <c r="AW201" s="25" t="s">
        <v>55</v>
      </c>
      <c r="AX201" s="25" t="s">
        <v>55</v>
      </c>
      <c r="AY201" s="25" t="s">
        <v>1133</v>
      </c>
      <c r="AZ201" s="20">
        <f t="shared" si="7"/>
        <v>-9</v>
      </c>
      <c r="BA201" s="17" t="e">
        <f t="shared" si="8"/>
        <v>#N/A</v>
      </c>
      <c r="BB201" s="21" t="s">
        <v>335</v>
      </c>
    </row>
    <row r="202" spans="1:54" x14ac:dyDescent="0.35">
      <c r="A202" s="25" t="s">
        <v>1459</v>
      </c>
      <c r="B202" s="25" t="s">
        <v>347</v>
      </c>
      <c r="C202" s="25" t="s">
        <v>116</v>
      </c>
      <c r="D202" s="25" t="s">
        <v>465</v>
      </c>
      <c r="E202" s="25" t="s">
        <v>52</v>
      </c>
      <c r="F202" s="25" t="s">
        <v>611</v>
      </c>
      <c r="G202" s="25" t="s">
        <v>54</v>
      </c>
      <c r="H202" s="25" t="s">
        <v>1719</v>
      </c>
      <c r="I202" s="25" t="s">
        <v>121</v>
      </c>
      <c r="J202" s="25" t="s">
        <v>843</v>
      </c>
      <c r="K202" s="25" t="s">
        <v>594</v>
      </c>
      <c r="L202" s="25" t="s">
        <v>55</v>
      </c>
      <c r="M202" s="25" t="s">
        <v>1316</v>
      </c>
      <c r="N202" s="25" t="s">
        <v>55</v>
      </c>
      <c r="O202" s="25" t="s">
        <v>1444</v>
      </c>
      <c r="P202" s="25" t="s">
        <v>1460</v>
      </c>
      <c r="Q202" s="25" t="s">
        <v>1461</v>
      </c>
      <c r="R202" s="25" t="s">
        <v>55</v>
      </c>
      <c r="S202" s="25" t="s">
        <v>55</v>
      </c>
      <c r="T202" s="25" t="s">
        <v>1462</v>
      </c>
      <c r="U202" s="25" t="s">
        <v>63</v>
      </c>
      <c r="V202" s="26">
        <v>46022</v>
      </c>
      <c r="W202" s="25" t="s">
        <v>55</v>
      </c>
      <c r="X202" s="25" t="s">
        <v>1448</v>
      </c>
      <c r="Y202" s="25" t="s">
        <v>65</v>
      </c>
      <c r="Z202" s="25" t="s">
        <v>55</v>
      </c>
      <c r="AA202" s="25" t="s">
        <v>221</v>
      </c>
      <c r="AB202" s="25" t="s">
        <v>55</v>
      </c>
      <c r="AC202" s="25" t="s">
        <v>55</v>
      </c>
      <c r="AD202" s="25" t="s">
        <v>118</v>
      </c>
      <c r="AE202" s="25" t="s">
        <v>97</v>
      </c>
      <c r="AF202" s="25" t="s">
        <v>98</v>
      </c>
      <c r="AG202" s="25" t="s">
        <v>55</v>
      </c>
      <c r="AH202" s="25" t="s">
        <v>55</v>
      </c>
      <c r="AI202" s="25" t="s">
        <v>55</v>
      </c>
      <c r="AJ202" s="25" t="s">
        <v>55</v>
      </c>
      <c r="AK202" s="25" t="s">
        <v>55</v>
      </c>
      <c r="AL202" s="25" t="s">
        <v>55</v>
      </c>
      <c r="AM202" s="25" t="s">
        <v>55</v>
      </c>
      <c r="AN202" s="25" t="s">
        <v>55</v>
      </c>
      <c r="AO202" s="25" t="s">
        <v>55</v>
      </c>
      <c r="AP202" s="25" t="s">
        <v>55</v>
      </c>
      <c r="AQ202" s="25" t="s">
        <v>55</v>
      </c>
      <c r="AR202" s="25" t="s">
        <v>55</v>
      </c>
      <c r="AS202" s="25" t="s">
        <v>55</v>
      </c>
      <c r="AT202" s="25" t="s">
        <v>55</v>
      </c>
      <c r="AU202" s="25" t="s">
        <v>55</v>
      </c>
      <c r="AV202" s="25" t="s">
        <v>55</v>
      </c>
      <c r="AW202" s="25" t="s">
        <v>55</v>
      </c>
      <c r="AX202" s="25" t="s">
        <v>55</v>
      </c>
      <c r="AY202" s="25" t="s">
        <v>1133</v>
      </c>
      <c r="AZ202" s="20">
        <f t="shared" si="7"/>
        <v>-40</v>
      </c>
      <c r="BA202" s="17" t="e">
        <f t="shared" si="8"/>
        <v>#N/A</v>
      </c>
      <c r="BB202" s="21" t="s">
        <v>335</v>
      </c>
    </row>
    <row r="203" spans="1:54" x14ac:dyDescent="0.35">
      <c r="A203" s="25" t="s">
        <v>1463</v>
      </c>
      <c r="B203" s="25" t="s">
        <v>347</v>
      </c>
      <c r="C203" s="25" t="s">
        <v>116</v>
      </c>
      <c r="D203" s="25" t="s">
        <v>465</v>
      </c>
      <c r="E203" s="25" t="s">
        <v>52</v>
      </c>
      <c r="F203" s="25" t="s">
        <v>611</v>
      </c>
      <c r="G203" s="25" t="s">
        <v>54</v>
      </c>
      <c r="H203" s="25" t="s">
        <v>1719</v>
      </c>
      <c r="I203" s="25" t="s">
        <v>121</v>
      </c>
      <c r="J203" s="25" t="s">
        <v>223</v>
      </c>
      <c r="K203" s="25" t="s">
        <v>564</v>
      </c>
      <c r="L203" s="25" t="s">
        <v>55</v>
      </c>
      <c r="M203" s="25" t="s">
        <v>852</v>
      </c>
      <c r="N203" s="25" t="s">
        <v>55</v>
      </c>
      <c r="O203" s="25" t="s">
        <v>1444</v>
      </c>
      <c r="P203" s="25" t="s">
        <v>1464</v>
      </c>
      <c r="Q203" s="25" t="s">
        <v>1465</v>
      </c>
      <c r="R203" s="25" t="s">
        <v>55</v>
      </c>
      <c r="S203" s="25" t="s">
        <v>55</v>
      </c>
      <c r="T203" s="25" t="s">
        <v>1466</v>
      </c>
      <c r="U203" s="25" t="s">
        <v>63</v>
      </c>
      <c r="V203" s="26">
        <v>46022</v>
      </c>
      <c r="W203" s="25" t="s">
        <v>55</v>
      </c>
      <c r="X203" s="25" t="s">
        <v>1467</v>
      </c>
      <c r="Y203" s="25" t="s">
        <v>65</v>
      </c>
      <c r="Z203" s="25" t="s">
        <v>55</v>
      </c>
      <c r="AA203" s="25" t="s">
        <v>221</v>
      </c>
      <c r="AB203" s="25" t="s">
        <v>55</v>
      </c>
      <c r="AC203" s="25" t="s">
        <v>55</v>
      </c>
      <c r="AD203" s="25" t="s">
        <v>118</v>
      </c>
      <c r="AE203" s="25" t="s">
        <v>97</v>
      </c>
      <c r="AF203" s="25" t="s">
        <v>123</v>
      </c>
      <c r="AG203" s="25" t="s">
        <v>55</v>
      </c>
      <c r="AH203" s="25" t="s">
        <v>55</v>
      </c>
      <c r="AI203" s="25" t="s">
        <v>55</v>
      </c>
      <c r="AJ203" s="25" t="s">
        <v>55</v>
      </c>
      <c r="AK203" s="25" t="s">
        <v>55</v>
      </c>
      <c r="AL203" s="25" t="s">
        <v>55</v>
      </c>
      <c r="AM203" s="25" t="s">
        <v>55</v>
      </c>
      <c r="AN203" s="25" t="s">
        <v>55</v>
      </c>
      <c r="AO203" s="25" t="s">
        <v>55</v>
      </c>
      <c r="AP203" s="25" t="s">
        <v>55</v>
      </c>
      <c r="AQ203" s="25" t="s">
        <v>55</v>
      </c>
      <c r="AR203" s="25" t="s">
        <v>55</v>
      </c>
      <c r="AS203" s="25" t="s">
        <v>55</v>
      </c>
      <c r="AT203" s="25" t="s">
        <v>55</v>
      </c>
      <c r="AU203" s="25" t="s">
        <v>55</v>
      </c>
      <c r="AV203" s="25" t="s">
        <v>55</v>
      </c>
      <c r="AW203" s="25" t="s">
        <v>55</v>
      </c>
      <c r="AX203" s="25" t="s">
        <v>55</v>
      </c>
      <c r="AY203" s="25" t="s">
        <v>1133</v>
      </c>
      <c r="AZ203" s="20">
        <f t="shared" si="7"/>
        <v>-40</v>
      </c>
      <c r="BA203" s="17" t="e">
        <f t="shared" si="8"/>
        <v>#N/A</v>
      </c>
      <c r="BB203" s="21" t="s">
        <v>335</v>
      </c>
    </row>
    <row r="204" spans="1:54" x14ac:dyDescent="0.35">
      <c r="A204" s="25" t="s">
        <v>1468</v>
      </c>
      <c r="B204" s="25" t="s">
        <v>347</v>
      </c>
      <c r="C204" s="25" t="s">
        <v>116</v>
      </c>
      <c r="D204" s="25" t="s">
        <v>465</v>
      </c>
      <c r="E204" s="25" t="s">
        <v>52</v>
      </c>
      <c r="F204" s="25" t="s">
        <v>611</v>
      </c>
      <c r="G204" s="25" t="s">
        <v>54</v>
      </c>
      <c r="H204" s="25" t="s">
        <v>1719</v>
      </c>
      <c r="I204" s="25" t="s">
        <v>119</v>
      </c>
      <c r="J204" s="25" t="s">
        <v>1384</v>
      </c>
      <c r="K204" s="25" t="s">
        <v>603</v>
      </c>
      <c r="L204" s="25" t="s">
        <v>55</v>
      </c>
      <c r="M204" s="25" t="s">
        <v>1469</v>
      </c>
      <c r="N204" s="25" t="s">
        <v>55</v>
      </c>
      <c r="O204" s="25" t="s">
        <v>1444</v>
      </c>
      <c r="P204" s="25" t="s">
        <v>1470</v>
      </c>
      <c r="Q204" s="25" t="s">
        <v>1471</v>
      </c>
      <c r="R204" s="25" t="s">
        <v>55</v>
      </c>
      <c r="S204" s="25" t="s">
        <v>55</v>
      </c>
      <c r="T204" s="25" t="s">
        <v>1472</v>
      </c>
      <c r="U204" s="25" t="s">
        <v>63</v>
      </c>
      <c r="V204" s="26">
        <v>46022</v>
      </c>
      <c r="W204" s="25" t="s">
        <v>55</v>
      </c>
      <c r="X204" s="25" t="s">
        <v>1448</v>
      </c>
      <c r="Y204" s="25" t="s">
        <v>65</v>
      </c>
      <c r="Z204" s="25" t="s">
        <v>55</v>
      </c>
      <c r="AA204" s="25" t="s">
        <v>221</v>
      </c>
      <c r="AB204" s="25" t="s">
        <v>55</v>
      </c>
      <c r="AC204" s="25" t="s">
        <v>55</v>
      </c>
      <c r="AD204" s="25" t="s">
        <v>118</v>
      </c>
      <c r="AE204" s="25" t="s">
        <v>97</v>
      </c>
      <c r="AF204" s="25" t="s">
        <v>1473</v>
      </c>
      <c r="AG204" s="25" t="s">
        <v>55</v>
      </c>
      <c r="AH204" s="25" t="s">
        <v>55</v>
      </c>
      <c r="AI204" s="25" t="s">
        <v>55</v>
      </c>
      <c r="AJ204" s="25" t="s">
        <v>55</v>
      </c>
      <c r="AK204" s="25" t="s">
        <v>55</v>
      </c>
      <c r="AL204" s="25" t="s">
        <v>55</v>
      </c>
      <c r="AM204" s="25" t="s">
        <v>55</v>
      </c>
      <c r="AN204" s="25" t="s">
        <v>55</v>
      </c>
      <c r="AO204" s="25" t="s">
        <v>55</v>
      </c>
      <c r="AP204" s="25" t="s">
        <v>55</v>
      </c>
      <c r="AQ204" s="25" t="s">
        <v>55</v>
      </c>
      <c r="AR204" s="25" t="s">
        <v>55</v>
      </c>
      <c r="AS204" s="25" t="s">
        <v>55</v>
      </c>
      <c r="AT204" s="25" t="s">
        <v>55</v>
      </c>
      <c r="AU204" s="25" t="s">
        <v>55</v>
      </c>
      <c r="AV204" s="25" t="s">
        <v>55</v>
      </c>
      <c r="AW204" s="25" t="s">
        <v>55</v>
      </c>
      <c r="AX204" s="25" t="s">
        <v>55</v>
      </c>
      <c r="AY204" s="25" t="s">
        <v>1133</v>
      </c>
      <c r="AZ204" s="20">
        <f t="shared" si="7"/>
        <v>-40</v>
      </c>
      <c r="BA204" s="17" t="e">
        <f t="shared" si="8"/>
        <v>#N/A</v>
      </c>
      <c r="BB204" s="21" t="s">
        <v>335</v>
      </c>
    </row>
    <row r="205" spans="1:54" x14ac:dyDescent="0.35">
      <c r="A205" s="25" t="s">
        <v>1474</v>
      </c>
      <c r="B205" s="25" t="s">
        <v>347</v>
      </c>
      <c r="C205" s="25" t="s">
        <v>116</v>
      </c>
      <c r="D205" s="25" t="s">
        <v>465</v>
      </c>
      <c r="E205" s="25" t="s">
        <v>52</v>
      </c>
      <c r="F205" s="25" t="s">
        <v>611</v>
      </c>
      <c r="G205" s="25" t="s">
        <v>54</v>
      </c>
      <c r="H205" s="25" t="s">
        <v>1719</v>
      </c>
      <c r="I205" s="25" t="s">
        <v>119</v>
      </c>
      <c r="J205" s="25" t="s">
        <v>242</v>
      </c>
      <c r="K205" s="25" t="s">
        <v>552</v>
      </c>
      <c r="L205" s="25" t="s">
        <v>55</v>
      </c>
      <c r="M205" s="25" t="s">
        <v>243</v>
      </c>
      <c r="N205" s="25" t="s">
        <v>55</v>
      </c>
      <c r="O205" s="25" t="s">
        <v>1444</v>
      </c>
      <c r="P205" s="25" t="s">
        <v>1475</v>
      </c>
      <c r="Q205" s="25" t="s">
        <v>1476</v>
      </c>
      <c r="R205" s="25" t="s">
        <v>55</v>
      </c>
      <c r="S205" s="25" t="s">
        <v>55</v>
      </c>
      <c r="T205" s="25" t="s">
        <v>1477</v>
      </c>
      <c r="U205" s="25" t="s">
        <v>63</v>
      </c>
      <c r="V205" s="26">
        <v>46112</v>
      </c>
      <c r="W205" s="25" t="s">
        <v>55</v>
      </c>
      <c r="X205" s="25" t="s">
        <v>1448</v>
      </c>
      <c r="Y205" s="25" t="s">
        <v>65</v>
      </c>
      <c r="Z205" s="25" t="s">
        <v>55</v>
      </c>
      <c r="AA205" s="25" t="s">
        <v>155</v>
      </c>
      <c r="AB205" s="25" t="s">
        <v>55</v>
      </c>
      <c r="AC205" s="25" t="s">
        <v>55</v>
      </c>
      <c r="AD205" s="25" t="s">
        <v>118</v>
      </c>
      <c r="AE205" s="25" t="s">
        <v>97</v>
      </c>
      <c r="AF205" s="25" t="s">
        <v>92</v>
      </c>
      <c r="AG205" s="25" t="s">
        <v>55</v>
      </c>
      <c r="AH205" s="25" t="s">
        <v>55</v>
      </c>
      <c r="AI205" s="25" t="s">
        <v>55</v>
      </c>
      <c r="AJ205" s="25" t="s">
        <v>55</v>
      </c>
      <c r="AK205" s="25" t="s">
        <v>55</v>
      </c>
      <c r="AL205" s="25" t="s">
        <v>55</v>
      </c>
      <c r="AM205" s="25" t="s">
        <v>55</v>
      </c>
      <c r="AN205" s="25" t="s">
        <v>55</v>
      </c>
      <c r="AO205" s="25" t="s">
        <v>55</v>
      </c>
      <c r="AP205" s="25" t="s">
        <v>55</v>
      </c>
      <c r="AQ205" s="25" t="s">
        <v>55</v>
      </c>
      <c r="AR205" s="25" t="s">
        <v>55</v>
      </c>
      <c r="AS205" s="25" t="s">
        <v>55</v>
      </c>
      <c r="AT205" s="25" t="s">
        <v>55</v>
      </c>
      <c r="AU205" s="25" t="s">
        <v>55</v>
      </c>
      <c r="AV205" s="25" t="s">
        <v>55</v>
      </c>
      <c r="AW205" s="25" t="s">
        <v>55</v>
      </c>
      <c r="AX205" s="25" t="s">
        <v>55</v>
      </c>
      <c r="AY205" s="25" t="s">
        <v>1133</v>
      </c>
      <c r="AZ205" s="20">
        <f t="shared" si="7"/>
        <v>-130</v>
      </c>
      <c r="BA205" s="17" t="e">
        <f t="shared" si="8"/>
        <v>#N/A</v>
      </c>
      <c r="BB205" s="21" t="s">
        <v>335</v>
      </c>
    </row>
    <row r="206" spans="1:54" x14ac:dyDescent="0.35">
      <c r="A206" s="25" t="s">
        <v>1478</v>
      </c>
      <c r="B206" s="25" t="s">
        <v>347</v>
      </c>
      <c r="C206" s="25" t="s">
        <v>116</v>
      </c>
      <c r="D206" s="25" t="s">
        <v>465</v>
      </c>
      <c r="E206" s="25" t="s">
        <v>52</v>
      </c>
      <c r="F206" s="25" t="s">
        <v>611</v>
      </c>
      <c r="G206" s="25" t="s">
        <v>54</v>
      </c>
      <c r="H206" s="25" t="s">
        <v>1719</v>
      </c>
      <c r="I206" s="25" t="s">
        <v>119</v>
      </c>
      <c r="J206" s="25" t="s">
        <v>242</v>
      </c>
      <c r="K206" s="25" t="s">
        <v>544</v>
      </c>
      <c r="L206" s="25" t="s">
        <v>55</v>
      </c>
      <c r="M206" s="25" t="s">
        <v>122</v>
      </c>
      <c r="N206" s="25" t="s">
        <v>55</v>
      </c>
      <c r="O206" s="25" t="s">
        <v>1444</v>
      </c>
      <c r="P206" s="25" t="s">
        <v>1455</v>
      </c>
      <c r="Q206" s="25" t="s">
        <v>1479</v>
      </c>
      <c r="R206" s="25" t="s">
        <v>55</v>
      </c>
      <c r="S206" s="25" t="s">
        <v>55</v>
      </c>
      <c r="T206" s="25" t="s">
        <v>1480</v>
      </c>
      <c r="U206" s="25" t="s">
        <v>63</v>
      </c>
      <c r="V206" s="26">
        <v>45961</v>
      </c>
      <c r="W206" s="25" t="s">
        <v>55</v>
      </c>
      <c r="X206" s="25" t="s">
        <v>1448</v>
      </c>
      <c r="Y206" s="25" t="s">
        <v>65</v>
      </c>
      <c r="Z206" s="25" t="s">
        <v>55</v>
      </c>
      <c r="AA206" s="25" t="s">
        <v>66</v>
      </c>
      <c r="AB206" s="25" t="s">
        <v>55</v>
      </c>
      <c r="AC206" s="25" t="s">
        <v>55</v>
      </c>
      <c r="AD206" s="25" t="s">
        <v>118</v>
      </c>
      <c r="AE206" s="25" t="s">
        <v>97</v>
      </c>
      <c r="AF206" s="25" t="s">
        <v>123</v>
      </c>
      <c r="AG206" s="25" t="s">
        <v>55</v>
      </c>
      <c r="AH206" s="25" t="s">
        <v>55</v>
      </c>
      <c r="AI206" s="25" t="s">
        <v>55</v>
      </c>
      <c r="AJ206" s="25" t="s">
        <v>55</v>
      </c>
      <c r="AK206" s="25" t="s">
        <v>55</v>
      </c>
      <c r="AL206" s="25" t="s">
        <v>55</v>
      </c>
      <c r="AM206" s="25" t="s">
        <v>55</v>
      </c>
      <c r="AN206" s="25" t="s">
        <v>55</v>
      </c>
      <c r="AO206" s="25" t="s">
        <v>55</v>
      </c>
      <c r="AP206" s="25" t="s">
        <v>55</v>
      </c>
      <c r="AQ206" s="25" t="s">
        <v>55</v>
      </c>
      <c r="AR206" s="25" t="s">
        <v>55</v>
      </c>
      <c r="AS206" s="25" t="s">
        <v>55</v>
      </c>
      <c r="AT206" s="25" t="s">
        <v>55</v>
      </c>
      <c r="AU206" s="25" t="s">
        <v>55</v>
      </c>
      <c r="AV206" s="25" t="s">
        <v>55</v>
      </c>
      <c r="AW206" s="25" t="s">
        <v>55</v>
      </c>
      <c r="AX206" s="25" t="s">
        <v>55</v>
      </c>
      <c r="AY206" s="25" t="s">
        <v>1133</v>
      </c>
      <c r="AZ206" s="20">
        <f t="shared" si="7"/>
        <v>21</v>
      </c>
      <c r="BA206" s="17" t="str">
        <f t="shared" si="8"/>
        <v>&lt; 3 months</v>
      </c>
      <c r="BB206" s="21" t="s">
        <v>66</v>
      </c>
    </row>
    <row r="207" spans="1:54" x14ac:dyDescent="0.35">
      <c r="A207" s="25" t="s">
        <v>1481</v>
      </c>
      <c r="B207" s="25" t="s">
        <v>347</v>
      </c>
      <c r="C207" s="25" t="s">
        <v>116</v>
      </c>
      <c r="D207" s="25" t="s">
        <v>465</v>
      </c>
      <c r="E207" s="25" t="s">
        <v>52</v>
      </c>
      <c r="F207" s="25" t="s">
        <v>611</v>
      </c>
      <c r="G207" s="25" t="s">
        <v>54</v>
      </c>
      <c r="H207" s="25" t="s">
        <v>1719</v>
      </c>
      <c r="I207" s="25" t="s">
        <v>119</v>
      </c>
      <c r="J207" s="25" t="s">
        <v>242</v>
      </c>
      <c r="K207" s="25" t="s">
        <v>572</v>
      </c>
      <c r="L207" s="25" t="s">
        <v>55</v>
      </c>
      <c r="M207" s="25" t="s">
        <v>545</v>
      </c>
      <c r="N207" s="25" t="s">
        <v>55</v>
      </c>
      <c r="O207" s="25" t="s">
        <v>1444</v>
      </c>
      <c r="P207" s="25" t="s">
        <v>1482</v>
      </c>
      <c r="Q207" s="25" t="s">
        <v>1483</v>
      </c>
      <c r="R207" s="25" t="s">
        <v>55</v>
      </c>
      <c r="S207" s="25" t="s">
        <v>55</v>
      </c>
      <c r="T207" s="25" t="s">
        <v>1484</v>
      </c>
      <c r="U207" s="25" t="s">
        <v>132</v>
      </c>
      <c r="V207" s="26">
        <v>46022</v>
      </c>
      <c r="W207" s="25" t="s">
        <v>55</v>
      </c>
      <c r="X207" s="25" t="s">
        <v>1485</v>
      </c>
      <c r="Y207" s="25" t="s">
        <v>65</v>
      </c>
      <c r="Z207" s="25" t="s">
        <v>55</v>
      </c>
      <c r="AA207" s="25" t="s">
        <v>221</v>
      </c>
      <c r="AB207" s="25" t="s">
        <v>55</v>
      </c>
      <c r="AC207" s="25" t="s">
        <v>55</v>
      </c>
      <c r="AD207" s="25" t="s">
        <v>118</v>
      </c>
      <c r="AE207" s="25" t="s">
        <v>97</v>
      </c>
      <c r="AF207" s="25" t="s">
        <v>69</v>
      </c>
      <c r="AG207" s="25" t="s">
        <v>55</v>
      </c>
      <c r="AH207" s="25" t="s">
        <v>55</v>
      </c>
      <c r="AI207" s="25" t="s">
        <v>55</v>
      </c>
      <c r="AJ207" s="25" t="s">
        <v>55</v>
      </c>
      <c r="AK207" s="25" t="s">
        <v>55</v>
      </c>
      <c r="AL207" s="25" t="s">
        <v>55</v>
      </c>
      <c r="AM207" s="25" t="s">
        <v>55</v>
      </c>
      <c r="AN207" s="25" t="s">
        <v>55</v>
      </c>
      <c r="AO207" s="25" t="s">
        <v>55</v>
      </c>
      <c r="AP207" s="25" t="s">
        <v>55</v>
      </c>
      <c r="AQ207" s="25" t="s">
        <v>55</v>
      </c>
      <c r="AR207" s="25" t="s">
        <v>55</v>
      </c>
      <c r="AS207" s="25" t="s">
        <v>55</v>
      </c>
      <c r="AT207" s="25" t="s">
        <v>55</v>
      </c>
      <c r="AU207" s="25" t="s">
        <v>55</v>
      </c>
      <c r="AV207" s="25" t="s">
        <v>55</v>
      </c>
      <c r="AW207" s="25" t="s">
        <v>55</v>
      </c>
      <c r="AX207" s="25" t="s">
        <v>55</v>
      </c>
      <c r="AY207" s="25" t="s">
        <v>1133</v>
      </c>
      <c r="AZ207" s="20">
        <f t="shared" si="7"/>
        <v>-40</v>
      </c>
      <c r="BA207" s="17" t="e">
        <f t="shared" si="8"/>
        <v>#N/A</v>
      </c>
      <c r="BB207" s="21" t="s">
        <v>335</v>
      </c>
    </row>
    <row r="208" spans="1:54" x14ac:dyDescent="0.35">
      <c r="A208" s="25" t="s">
        <v>1491</v>
      </c>
      <c r="B208" s="25" t="s">
        <v>347</v>
      </c>
      <c r="C208" s="25" t="s">
        <v>116</v>
      </c>
      <c r="D208" s="25" t="s">
        <v>465</v>
      </c>
      <c r="E208" s="25" t="s">
        <v>52</v>
      </c>
      <c r="F208" s="25" t="s">
        <v>222</v>
      </c>
      <c r="G208" s="25" t="s">
        <v>126</v>
      </c>
      <c r="H208" s="25" t="s">
        <v>157</v>
      </c>
      <c r="I208" s="25" t="s">
        <v>121</v>
      </c>
      <c r="J208" s="25" t="s">
        <v>843</v>
      </c>
      <c r="K208" s="25" t="s">
        <v>584</v>
      </c>
      <c r="L208" s="25" t="s">
        <v>55</v>
      </c>
      <c r="M208" s="25" t="s">
        <v>1492</v>
      </c>
      <c r="N208" s="25" t="s">
        <v>55</v>
      </c>
      <c r="O208" s="25" t="s">
        <v>1486</v>
      </c>
      <c r="P208" s="25" t="s">
        <v>1493</v>
      </c>
      <c r="Q208" s="25" t="s">
        <v>1494</v>
      </c>
      <c r="R208" s="25" t="s">
        <v>55</v>
      </c>
      <c r="S208" s="25" t="s">
        <v>55</v>
      </c>
      <c r="T208" s="25" t="s">
        <v>1495</v>
      </c>
      <c r="U208" s="25" t="s">
        <v>63</v>
      </c>
      <c r="V208" s="26">
        <v>46022</v>
      </c>
      <c r="W208" s="25" t="s">
        <v>55</v>
      </c>
      <c r="X208" s="25" t="s">
        <v>1489</v>
      </c>
      <c r="Y208" s="25" t="s">
        <v>65</v>
      </c>
      <c r="Z208" s="25" t="s">
        <v>55</v>
      </c>
      <c r="AA208" s="25" t="s">
        <v>221</v>
      </c>
      <c r="AB208" s="25" t="s">
        <v>55</v>
      </c>
      <c r="AC208" s="25" t="s">
        <v>55</v>
      </c>
      <c r="AD208" s="25" t="s">
        <v>118</v>
      </c>
      <c r="AE208" s="25" t="s">
        <v>97</v>
      </c>
      <c r="AF208" s="25" t="s">
        <v>98</v>
      </c>
      <c r="AG208" s="25" t="s">
        <v>55</v>
      </c>
      <c r="AH208" s="25" t="s">
        <v>55</v>
      </c>
      <c r="AI208" s="25" t="s">
        <v>55</v>
      </c>
      <c r="AJ208" s="25" t="s">
        <v>55</v>
      </c>
      <c r="AK208" s="25" t="s">
        <v>55</v>
      </c>
      <c r="AL208" s="25" t="s">
        <v>55</v>
      </c>
      <c r="AM208" s="25" t="s">
        <v>55</v>
      </c>
      <c r="AN208" s="25" t="s">
        <v>55</v>
      </c>
      <c r="AO208" s="25" t="s">
        <v>55</v>
      </c>
      <c r="AP208" s="25" t="s">
        <v>55</v>
      </c>
      <c r="AQ208" s="25" t="s">
        <v>55</v>
      </c>
      <c r="AR208" s="25" t="s">
        <v>55</v>
      </c>
      <c r="AS208" s="25" t="s">
        <v>55</v>
      </c>
      <c r="AT208" s="25" t="s">
        <v>55</v>
      </c>
      <c r="AU208" s="25" t="s">
        <v>55</v>
      </c>
      <c r="AV208" s="25" t="s">
        <v>55</v>
      </c>
      <c r="AW208" s="25" t="s">
        <v>55</v>
      </c>
      <c r="AX208" s="25" t="s">
        <v>55</v>
      </c>
      <c r="AY208" s="25" t="s">
        <v>1133</v>
      </c>
      <c r="AZ208" s="20">
        <f t="shared" si="7"/>
        <v>-40</v>
      </c>
      <c r="BA208" s="17" t="e">
        <f t="shared" si="8"/>
        <v>#N/A</v>
      </c>
      <c r="BB208" s="21" t="s">
        <v>335</v>
      </c>
    </row>
    <row r="209" spans="1:54" x14ac:dyDescent="0.35">
      <c r="A209" s="25" t="s">
        <v>1496</v>
      </c>
      <c r="B209" s="25" t="s">
        <v>347</v>
      </c>
      <c r="C209" s="25" t="s">
        <v>116</v>
      </c>
      <c r="D209" s="25" t="s">
        <v>465</v>
      </c>
      <c r="E209" s="25" t="s">
        <v>52</v>
      </c>
      <c r="F209" s="25" t="s">
        <v>1327</v>
      </c>
      <c r="G209" s="25" t="s">
        <v>126</v>
      </c>
      <c r="H209" s="25" t="s">
        <v>138</v>
      </c>
      <c r="I209" s="25" t="s">
        <v>361</v>
      </c>
      <c r="J209" s="25" t="s">
        <v>974</v>
      </c>
      <c r="K209" s="25" t="s">
        <v>868</v>
      </c>
      <c r="L209" s="25" t="s">
        <v>55</v>
      </c>
      <c r="M209" s="25" t="s">
        <v>1497</v>
      </c>
      <c r="N209" s="25" t="s">
        <v>55</v>
      </c>
      <c r="O209" s="25" t="s">
        <v>1329</v>
      </c>
      <c r="P209" s="25" t="s">
        <v>1498</v>
      </c>
      <c r="Q209" s="25" t="s">
        <v>1499</v>
      </c>
      <c r="R209" s="25" t="s">
        <v>55</v>
      </c>
      <c r="S209" s="25" t="s">
        <v>55</v>
      </c>
      <c r="T209" s="25" t="s">
        <v>1500</v>
      </c>
      <c r="U209" s="25" t="s">
        <v>63</v>
      </c>
      <c r="V209" s="26">
        <v>45961</v>
      </c>
      <c r="W209" s="25" t="s">
        <v>55</v>
      </c>
      <c r="X209" s="25" t="s">
        <v>1381</v>
      </c>
      <c r="Y209" s="25" t="s">
        <v>65</v>
      </c>
      <c r="Z209" s="25" t="s">
        <v>55</v>
      </c>
      <c r="AA209" s="25" t="s">
        <v>66</v>
      </c>
      <c r="AB209" s="25" t="s">
        <v>55</v>
      </c>
      <c r="AC209" s="25" t="s">
        <v>55</v>
      </c>
      <c r="AD209" s="25" t="s">
        <v>118</v>
      </c>
      <c r="AE209" s="25" t="s">
        <v>97</v>
      </c>
      <c r="AF209" s="25" t="s">
        <v>98</v>
      </c>
      <c r="AG209" s="25" t="s">
        <v>55</v>
      </c>
      <c r="AH209" s="25" t="s">
        <v>55</v>
      </c>
      <c r="AI209" s="25" t="s">
        <v>55</v>
      </c>
      <c r="AJ209" s="25" t="s">
        <v>55</v>
      </c>
      <c r="AK209" s="25" t="s">
        <v>55</v>
      </c>
      <c r="AL209" s="25" t="s">
        <v>55</v>
      </c>
      <c r="AM209" s="25" t="s">
        <v>55</v>
      </c>
      <c r="AN209" s="25" t="s">
        <v>55</v>
      </c>
      <c r="AO209" s="25" t="s">
        <v>55</v>
      </c>
      <c r="AP209" s="25" t="s">
        <v>55</v>
      </c>
      <c r="AQ209" s="25" t="s">
        <v>55</v>
      </c>
      <c r="AR209" s="25" t="s">
        <v>55</v>
      </c>
      <c r="AS209" s="25" t="s">
        <v>55</v>
      </c>
      <c r="AT209" s="25" t="s">
        <v>55</v>
      </c>
      <c r="AU209" s="25" t="s">
        <v>55</v>
      </c>
      <c r="AV209" s="25" t="s">
        <v>55</v>
      </c>
      <c r="AW209" s="25" t="s">
        <v>55</v>
      </c>
      <c r="AX209" s="25" t="s">
        <v>55</v>
      </c>
      <c r="AY209" s="25" t="s">
        <v>1133</v>
      </c>
      <c r="AZ209" s="20">
        <f t="shared" si="7"/>
        <v>21</v>
      </c>
      <c r="BA209" s="17" t="str">
        <f t="shared" si="8"/>
        <v>&lt; 3 months</v>
      </c>
      <c r="BB209" s="21" t="s">
        <v>66</v>
      </c>
    </row>
    <row r="210" spans="1:54" x14ac:dyDescent="0.35">
      <c r="A210" s="25" t="s">
        <v>1501</v>
      </c>
      <c r="B210" s="25" t="s">
        <v>347</v>
      </c>
      <c r="C210" s="25" t="s">
        <v>116</v>
      </c>
      <c r="D210" s="25" t="s">
        <v>465</v>
      </c>
      <c r="E210" s="25" t="s">
        <v>52</v>
      </c>
      <c r="F210" s="25" t="s">
        <v>1327</v>
      </c>
      <c r="G210" s="25" t="s">
        <v>126</v>
      </c>
      <c r="H210" s="25" t="s">
        <v>138</v>
      </c>
      <c r="I210" s="25" t="s">
        <v>361</v>
      </c>
      <c r="J210" s="25" t="s">
        <v>253</v>
      </c>
      <c r="K210" s="25" t="s">
        <v>584</v>
      </c>
      <c r="L210" s="25" t="s">
        <v>55</v>
      </c>
      <c r="M210" s="25" t="s">
        <v>139</v>
      </c>
      <c r="N210" s="25" t="s">
        <v>55</v>
      </c>
      <c r="O210" s="25" t="s">
        <v>1329</v>
      </c>
      <c r="P210" s="25" t="s">
        <v>1345</v>
      </c>
      <c r="Q210" s="25" t="s">
        <v>1502</v>
      </c>
      <c r="R210" s="25" t="s">
        <v>55</v>
      </c>
      <c r="S210" s="25" t="s">
        <v>55</v>
      </c>
      <c r="T210" s="25" t="s">
        <v>1503</v>
      </c>
      <c r="U210" s="25" t="s">
        <v>63</v>
      </c>
      <c r="V210" s="26">
        <v>45961</v>
      </c>
      <c r="W210" s="25" t="s">
        <v>55</v>
      </c>
      <c r="X210" s="25" t="s">
        <v>1381</v>
      </c>
      <c r="Y210" s="25" t="s">
        <v>65</v>
      </c>
      <c r="Z210" s="25" t="s">
        <v>55</v>
      </c>
      <c r="AA210" s="25" t="s">
        <v>66</v>
      </c>
      <c r="AB210" s="25" t="s">
        <v>55</v>
      </c>
      <c r="AC210" s="25" t="s">
        <v>55</v>
      </c>
      <c r="AD210" s="25" t="s">
        <v>118</v>
      </c>
      <c r="AE210" s="25" t="s">
        <v>97</v>
      </c>
      <c r="AF210" s="25" t="s">
        <v>98</v>
      </c>
      <c r="AG210" s="25" t="s">
        <v>55</v>
      </c>
      <c r="AH210" s="25" t="s">
        <v>55</v>
      </c>
      <c r="AI210" s="25" t="s">
        <v>55</v>
      </c>
      <c r="AJ210" s="25" t="s">
        <v>55</v>
      </c>
      <c r="AK210" s="25" t="s">
        <v>55</v>
      </c>
      <c r="AL210" s="25" t="s">
        <v>55</v>
      </c>
      <c r="AM210" s="25" t="s">
        <v>55</v>
      </c>
      <c r="AN210" s="25" t="s">
        <v>55</v>
      </c>
      <c r="AO210" s="25" t="s">
        <v>55</v>
      </c>
      <c r="AP210" s="25" t="s">
        <v>55</v>
      </c>
      <c r="AQ210" s="25" t="s">
        <v>55</v>
      </c>
      <c r="AR210" s="25" t="s">
        <v>55</v>
      </c>
      <c r="AS210" s="25" t="s">
        <v>55</v>
      </c>
      <c r="AT210" s="25" t="s">
        <v>55</v>
      </c>
      <c r="AU210" s="25" t="s">
        <v>55</v>
      </c>
      <c r="AV210" s="25" t="s">
        <v>55</v>
      </c>
      <c r="AW210" s="25" t="s">
        <v>55</v>
      </c>
      <c r="AX210" s="25" t="s">
        <v>55</v>
      </c>
      <c r="AY210" s="25" t="s">
        <v>1133</v>
      </c>
      <c r="AZ210" s="20">
        <f t="shared" si="7"/>
        <v>21</v>
      </c>
      <c r="BA210" s="17" t="str">
        <f t="shared" si="8"/>
        <v>&lt; 3 months</v>
      </c>
      <c r="BB210" s="21" t="s">
        <v>66</v>
      </c>
    </row>
    <row r="211" spans="1:54" x14ac:dyDescent="0.35">
      <c r="A211" s="25" t="s">
        <v>1504</v>
      </c>
      <c r="B211" s="25" t="s">
        <v>347</v>
      </c>
      <c r="C211" s="25" t="s">
        <v>116</v>
      </c>
      <c r="D211" s="25" t="s">
        <v>465</v>
      </c>
      <c r="E211" s="25" t="s">
        <v>52</v>
      </c>
      <c r="F211" s="25" t="s">
        <v>1505</v>
      </c>
      <c r="G211" s="25" t="s">
        <v>54</v>
      </c>
      <c r="H211" s="25" t="s">
        <v>1506</v>
      </c>
      <c r="I211" s="25" t="s">
        <v>361</v>
      </c>
      <c r="J211" s="25" t="s">
        <v>1045</v>
      </c>
      <c r="K211" s="25" t="s">
        <v>594</v>
      </c>
      <c r="L211" s="25" t="s">
        <v>55</v>
      </c>
      <c r="M211" s="25" t="s">
        <v>1507</v>
      </c>
      <c r="N211" s="25" t="s">
        <v>55</v>
      </c>
      <c r="O211" s="25" t="s">
        <v>1508</v>
      </c>
      <c r="P211" s="25" t="s">
        <v>1509</v>
      </c>
      <c r="Q211" s="25" t="s">
        <v>1510</v>
      </c>
      <c r="R211" s="25" t="s">
        <v>55</v>
      </c>
      <c r="S211" s="25" t="s">
        <v>55</v>
      </c>
      <c r="T211" s="25" t="s">
        <v>1511</v>
      </c>
      <c r="U211" s="25" t="s">
        <v>63</v>
      </c>
      <c r="V211" s="26">
        <v>45961</v>
      </c>
      <c r="W211" s="25" t="s">
        <v>55</v>
      </c>
      <c r="X211" s="25" t="s">
        <v>1512</v>
      </c>
      <c r="Y211" s="25" t="s">
        <v>65</v>
      </c>
      <c r="Z211" s="25" t="s">
        <v>55</v>
      </c>
      <c r="AA211" s="25" t="s">
        <v>66</v>
      </c>
      <c r="AB211" s="25" t="s">
        <v>55</v>
      </c>
      <c r="AC211" s="25" t="s">
        <v>55</v>
      </c>
      <c r="AD211" s="25" t="s">
        <v>118</v>
      </c>
      <c r="AE211" s="25" t="s">
        <v>97</v>
      </c>
      <c r="AF211" s="25" t="s">
        <v>98</v>
      </c>
      <c r="AG211" s="25" t="s">
        <v>55</v>
      </c>
      <c r="AH211" s="25" t="s">
        <v>55</v>
      </c>
      <c r="AI211" s="25" t="s">
        <v>55</v>
      </c>
      <c r="AJ211" s="25" t="s">
        <v>55</v>
      </c>
      <c r="AK211" s="25" t="s">
        <v>55</v>
      </c>
      <c r="AL211" s="25" t="s">
        <v>55</v>
      </c>
      <c r="AM211" s="25" t="s">
        <v>55</v>
      </c>
      <c r="AN211" s="25" t="s">
        <v>55</v>
      </c>
      <c r="AO211" s="25" t="s">
        <v>55</v>
      </c>
      <c r="AP211" s="25" t="s">
        <v>55</v>
      </c>
      <c r="AQ211" s="25" t="s">
        <v>55</v>
      </c>
      <c r="AR211" s="25" t="s">
        <v>55</v>
      </c>
      <c r="AS211" s="25" t="s">
        <v>55</v>
      </c>
      <c r="AT211" s="25" t="s">
        <v>55</v>
      </c>
      <c r="AU211" s="25" t="s">
        <v>55</v>
      </c>
      <c r="AV211" s="25" t="s">
        <v>55</v>
      </c>
      <c r="AW211" s="25" t="s">
        <v>55</v>
      </c>
      <c r="AX211" s="25" t="s">
        <v>55</v>
      </c>
      <c r="AY211" s="25" t="s">
        <v>1133</v>
      </c>
      <c r="AZ211" s="20">
        <f t="shared" si="7"/>
        <v>21</v>
      </c>
      <c r="BA211" s="17" t="str">
        <f t="shared" si="8"/>
        <v>&lt; 3 months</v>
      </c>
      <c r="BB211" s="21" t="s">
        <v>66</v>
      </c>
    </row>
    <row r="212" spans="1:54" x14ac:dyDescent="0.35">
      <c r="A212" s="25" t="s">
        <v>1513</v>
      </c>
      <c r="B212" s="25" t="s">
        <v>347</v>
      </c>
      <c r="C212" s="25" t="s">
        <v>116</v>
      </c>
      <c r="D212" s="25" t="s">
        <v>465</v>
      </c>
      <c r="E212" s="25" t="s">
        <v>52</v>
      </c>
      <c r="F212" s="25" t="s">
        <v>1505</v>
      </c>
      <c r="G212" s="25" t="s">
        <v>54</v>
      </c>
      <c r="H212" s="25" t="s">
        <v>1506</v>
      </c>
      <c r="I212" s="25" t="s">
        <v>361</v>
      </c>
      <c r="J212" s="25" t="s">
        <v>1045</v>
      </c>
      <c r="K212" s="25" t="s">
        <v>584</v>
      </c>
      <c r="L212" s="25" t="s">
        <v>55</v>
      </c>
      <c r="M212" s="25" t="s">
        <v>1046</v>
      </c>
      <c r="N212" s="25" t="s">
        <v>55</v>
      </c>
      <c r="O212" s="25" t="s">
        <v>1508</v>
      </c>
      <c r="P212" s="25" t="s">
        <v>1330</v>
      </c>
      <c r="Q212" s="25" t="s">
        <v>1514</v>
      </c>
      <c r="R212" s="25" t="s">
        <v>55</v>
      </c>
      <c r="S212" s="25" t="s">
        <v>55</v>
      </c>
      <c r="T212" s="25" t="s">
        <v>1515</v>
      </c>
      <c r="U212" s="25" t="s">
        <v>63</v>
      </c>
      <c r="V212" s="26">
        <v>45961</v>
      </c>
      <c r="W212" s="25" t="s">
        <v>55</v>
      </c>
      <c r="X212" s="25" t="s">
        <v>1512</v>
      </c>
      <c r="Y212" s="25" t="s">
        <v>65</v>
      </c>
      <c r="Z212" s="25" t="s">
        <v>55</v>
      </c>
      <c r="AA212" s="25" t="s">
        <v>66</v>
      </c>
      <c r="AB212" s="25" t="s">
        <v>55</v>
      </c>
      <c r="AC212" s="25" t="s">
        <v>55</v>
      </c>
      <c r="AD212" s="25" t="s">
        <v>118</v>
      </c>
      <c r="AE212" s="25" t="s">
        <v>97</v>
      </c>
      <c r="AF212" s="25" t="s">
        <v>1052</v>
      </c>
      <c r="AG212" s="25" t="s">
        <v>55</v>
      </c>
      <c r="AH212" s="25" t="s">
        <v>55</v>
      </c>
      <c r="AI212" s="25" t="s">
        <v>55</v>
      </c>
      <c r="AJ212" s="25" t="s">
        <v>55</v>
      </c>
      <c r="AK212" s="25" t="s">
        <v>55</v>
      </c>
      <c r="AL212" s="25" t="s">
        <v>55</v>
      </c>
      <c r="AM212" s="25" t="s">
        <v>55</v>
      </c>
      <c r="AN212" s="25" t="s">
        <v>55</v>
      </c>
      <c r="AO212" s="25" t="s">
        <v>55</v>
      </c>
      <c r="AP212" s="25" t="s">
        <v>55</v>
      </c>
      <c r="AQ212" s="25" t="s">
        <v>55</v>
      </c>
      <c r="AR212" s="25" t="s">
        <v>55</v>
      </c>
      <c r="AS212" s="25" t="s">
        <v>55</v>
      </c>
      <c r="AT212" s="25" t="s">
        <v>55</v>
      </c>
      <c r="AU212" s="25" t="s">
        <v>55</v>
      </c>
      <c r="AV212" s="25" t="s">
        <v>55</v>
      </c>
      <c r="AW212" s="25" t="s">
        <v>55</v>
      </c>
      <c r="AX212" s="25" t="s">
        <v>55</v>
      </c>
      <c r="AY212" s="25" t="s">
        <v>1133</v>
      </c>
      <c r="AZ212" s="20">
        <f t="shared" si="7"/>
        <v>21</v>
      </c>
      <c r="BA212" s="17" t="str">
        <f t="shared" si="8"/>
        <v>&lt; 3 months</v>
      </c>
      <c r="BB212" s="21" t="s">
        <v>66</v>
      </c>
    </row>
    <row r="213" spans="1:54" x14ac:dyDescent="0.35">
      <c r="A213" s="25" t="s">
        <v>1516</v>
      </c>
      <c r="B213" s="25" t="s">
        <v>347</v>
      </c>
      <c r="C213" s="25" t="s">
        <v>116</v>
      </c>
      <c r="D213" s="25" t="s">
        <v>465</v>
      </c>
      <c r="E213" s="25" t="s">
        <v>52</v>
      </c>
      <c r="F213" s="25" t="s">
        <v>1505</v>
      </c>
      <c r="G213" s="25" t="s">
        <v>54</v>
      </c>
      <c r="H213" s="25" t="s">
        <v>1506</v>
      </c>
      <c r="I213" s="25" t="s">
        <v>361</v>
      </c>
      <c r="J213" s="25" t="s">
        <v>1517</v>
      </c>
      <c r="K213" s="25" t="s">
        <v>594</v>
      </c>
      <c r="L213" s="25" t="s">
        <v>55</v>
      </c>
      <c r="M213" s="25" t="s">
        <v>1518</v>
      </c>
      <c r="N213" s="25" t="s">
        <v>55</v>
      </c>
      <c r="O213" s="25" t="s">
        <v>1508</v>
      </c>
      <c r="P213" s="25" t="s">
        <v>1475</v>
      </c>
      <c r="Q213" s="25" t="s">
        <v>1519</v>
      </c>
      <c r="R213" s="25" t="s">
        <v>55</v>
      </c>
      <c r="S213" s="25" t="s">
        <v>55</v>
      </c>
      <c r="T213" s="25" t="s">
        <v>1520</v>
      </c>
      <c r="U213" s="25" t="s">
        <v>63</v>
      </c>
      <c r="V213" s="26">
        <v>45961</v>
      </c>
      <c r="W213" s="25" t="s">
        <v>55</v>
      </c>
      <c r="X213" s="25" t="s">
        <v>1521</v>
      </c>
      <c r="Y213" s="25" t="s">
        <v>65</v>
      </c>
      <c r="Z213" s="25" t="s">
        <v>55</v>
      </c>
      <c r="AA213" s="25" t="s">
        <v>66</v>
      </c>
      <c r="AB213" s="25" t="s">
        <v>55</v>
      </c>
      <c r="AC213" s="25" t="s">
        <v>55</v>
      </c>
      <c r="AD213" s="25" t="s">
        <v>118</v>
      </c>
      <c r="AE213" s="25" t="s">
        <v>97</v>
      </c>
      <c r="AF213" s="25" t="s">
        <v>123</v>
      </c>
      <c r="AG213" s="25" t="s">
        <v>55</v>
      </c>
      <c r="AH213" s="25" t="s">
        <v>55</v>
      </c>
      <c r="AI213" s="25" t="s">
        <v>55</v>
      </c>
      <c r="AJ213" s="25" t="s">
        <v>55</v>
      </c>
      <c r="AK213" s="25" t="s">
        <v>55</v>
      </c>
      <c r="AL213" s="25" t="s">
        <v>55</v>
      </c>
      <c r="AM213" s="25" t="s">
        <v>55</v>
      </c>
      <c r="AN213" s="25" t="s">
        <v>55</v>
      </c>
      <c r="AO213" s="25" t="s">
        <v>55</v>
      </c>
      <c r="AP213" s="25" t="s">
        <v>55</v>
      </c>
      <c r="AQ213" s="25" t="s">
        <v>55</v>
      </c>
      <c r="AR213" s="25" t="s">
        <v>55</v>
      </c>
      <c r="AS213" s="25" t="s">
        <v>55</v>
      </c>
      <c r="AT213" s="25" t="s">
        <v>55</v>
      </c>
      <c r="AU213" s="25" t="s">
        <v>55</v>
      </c>
      <c r="AV213" s="25" t="s">
        <v>55</v>
      </c>
      <c r="AW213" s="25" t="s">
        <v>55</v>
      </c>
      <c r="AX213" s="25" t="s">
        <v>55</v>
      </c>
      <c r="AY213" s="25" t="s">
        <v>1133</v>
      </c>
      <c r="AZ213" s="20">
        <f t="shared" si="7"/>
        <v>21</v>
      </c>
      <c r="BA213" s="17" t="str">
        <f t="shared" si="8"/>
        <v>&lt; 3 months</v>
      </c>
      <c r="BB213" s="21" t="s">
        <v>66</v>
      </c>
    </row>
    <row r="214" spans="1:54" x14ac:dyDescent="0.35">
      <c r="A214" s="25" t="s">
        <v>1522</v>
      </c>
      <c r="B214" s="25" t="s">
        <v>347</v>
      </c>
      <c r="C214" s="25" t="s">
        <v>116</v>
      </c>
      <c r="D214" s="25" t="s">
        <v>465</v>
      </c>
      <c r="E214" s="25" t="s">
        <v>52</v>
      </c>
      <c r="F214" s="25" t="s">
        <v>1505</v>
      </c>
      <c r="G214" s="25" t="s">
        <v>54</v>
      </c>
      <c r="H214" s="25" t="s">
        <v>1506</v>
      </c>
      <c r="I214" s="25" t="s">
        <v>361</v>
      </c>
      <c r="J214" s="25" t="s">
        <v>253</v>
      </c>
      <c r="K214" s="25" t="s">
        <v>584</v>
      </c>
      <c r="L214" s="25" t="s">
        <v>55</v>
      </c>
      <c r="M214" s="25" t="s">
        <v>136</v>
      </c>
      <c r="N214" s="25" t="s">
        <v>55</v>
      </c>
      <c r="O214" s="25" t="s">
        <v>1508</v>
      </c>
      <c r="P214" s="25" t="s">
        <v>1523</v>
      </c>
      <c r="Q214" s="25" t="s">
        <v>1523</v>
      </c>
      <c r="R214" s="25" t="s">
        <v>55</v>
      </c>
      <c r="S214" s="25" t="s">
        <v>55</v>
      </c>
      <c r="T214" s="25" t="s">
        <v>1298</v>
      </c>
      <c r="U214" s="25" t="s">
        <v>63</v>
      </c>
      <c r="V214" s="26">
        <v>45961</v>
      </c>
      <c r="W214" s="25" t="s">
        <v>55</v>
      </c>
      <c r="X214" s="25" t="s">
        <v>1524</v>
      </c>
      <c r="Y214" s="25" t="s">
        <v>65</v>
      </c>
      <c r="Z214" s="25" t="s">
        <v>55</v>
      </c>
      <c r="AA214" s="25" t="s">
        <v>66</v>
      </c>
      <c r="AB214" s="25" t="s">
        <v>55</v>
      </c>
      <c r="AC214" s="25" t="s">
        <v>55</v>
      </c>
      <c r="AD214" s="25" t="s">
        <v>118</v>
      </c>
      <c r="AE214" s="25" t="s">
        <v>97</v>
      </c>
      <c r="AF214" s="25" t="s">
        <v>98</v>
      </c>
      <c r="AG214" s="25" t="s">
        <v>55</v>
      </c>
      <c r="AH214" s="25" t="s">
        <v>55</v>
      </c>
      <c r="AI214" s="25" t="s">
        <v>55</v>
      </c>
      <c r="AJ214" s="25" t="s">
        <v>55</v>
      </c>
      <c r="AK214" s="25" t="s">
        <v>55</v>
      </c>
      <c r="AL214" s="25" t="s">
        <v>55</v>
      </c>
      <c r="AM214" s="25" t="s">
        <v>55</v>
      </c>
      <c r="AN214" s="25" t="s">
        <v>55</v>
      </c>
      <c r="AO214" s="25" t="s">
        <v>55</v>
      </c>
      <c r="AP214" s="25" t="s">
        <v>55</v>
      </c>
      <c r="AQ214" s="25" t="s">
        <v>55</v>
      </c>
      <c r="AR214" s="25" t="s">
        <v>55</v>
      </c>
      <c r="AS214" s="25" t="s">
        <v>55</v>
      </c>
      <c r="AT214" s="25" t="s">
        <v>55</v>
      </c>
      <c r="AU214" s="25" t="s">
        <v>55</v>
      </c>
      <c r="AV214" s="25" t="s">
        <v>55</v>
      </c>
      <c r="AW214" s="25" t="s">
        <v>55</v>
      </c>
      <c r="AX214" s="25" t="s">
        <v>55</v>
      </c>
      <c r="AY214" s="25" t="s">
        <v>1133</v>
      </c>
      <c r="AZ214" s="20">
        <f t="shared" ref="AZ214:AZ277" si="9">$AZ$2-V214</f>
        <v>21</v>
      </c>
      <c r="BA214" s="17" t="str">
        <f t="shared" ref="BA214:BA277" si="10">VLOOKUP(AZ214,$BE$2:$BF$7,2,TRUE)</f>
        <v>&lt; 3 months</v>
      </c>
      <c r="BB214" s="21" t="s">
        <v>66</v>
      </c>
    </row>
    <row r="215" spans="1:54" x14ac:dyDescent="0.35">
      <c r="A215" s="25" t="s">
        <v>1525</v>
      </c>
      <c r="B215" s="25" t="s">
        <v>347</v>
      </c>
      <c r="C215" s="25" t="s">
        <v>588</v>
      </c>
      <c r="D215" s="25" t="s">
        <v>465</v>
      </c>
      <c r="E215" s="25" t="s">
        <v>52</v>
      </c>
      <c r="F215" s="25" t="s">
        <v>1526</v>
      </c>
      <c r="G215" s="25" t="s">
        <v>126</v>
      </c>
      <c r="H215" s="25" t="s">
        <v>138</v>
      </c>
      <c r="I215" s="25" t="s">
        <v>149</v>
      </c>
      <c r="J215" s="25" t="s">
        <v>55</v>
      </c>
      <c r="K215" s="25" t="s">
        <v>1720</v>
      </c>
      <c r="L215" s="25" t="s">
        <v>103</v>
      </c>
      <c r="M215" s="25" t="s">
        <v>55</v>
      </c>
      <c r="N215" s="25" t="s">
        <v>55</v>
      </c>
      <c r="O215" s="25" t="s">
        <v>1721</v>
      </c>
      <c r="P215" s="25" t="s">
        <v>151</v>
      </c>
      <c r="Q215" s="25" t="s">
        <v>1527</v>
      </c>
      <c r="R215" s="25" t="s">
        <v>63</v>
      </c>
      <c r="S215" s="25" t="s">
        <v>150</v>
      </c>
      <c r="T215" s="25" t="s">
        <v>794</v>
      </c>
      <c r="U215" s="25" t="s">
        <v>63</v>
      </c>
      <c r="V215" s="26">
        <v>46022</v>
      </c>
      <c r="W215" s="25" t="s">
        <v>55</v>
      </c>
      <c r="X215" s="25" t="s">
        <v>1528</v>
      </c>
      <c r="Y215" s="25" t="s">
        <v>65</v>
      </c>
      <c r="Z215" s="25" t="s">
        <v>55</v>
      </c>
      <c r="AA215" s="25" t="s">
        <v>221</v>
      </c>
      <c r="AB215" s="25" t="s">
        <v>55</v>
      </c>
      <c r="AC215" s="25" t="s">
        <v>55</v>
      </c>
      <c r="AD215" s="25" t="s">
        <v>118</v>
      </c>
      <c r="AE215" s="25" t="s">
        <v>97</v>
      </c>
      <c r="AF215" s="25" t="s">
        <v>55</v>
      </c>
      <c r="AG215" s="25" t="s">
        <v>55</v>
      </c>
      <c r="AH215" s="25" t="s">
        <v>55</v>
      </c>
      <c r="AI215" s="25" t="s">
        <v>55</v>
      </c>
      <c r="AJ215" s="25" t="s">
        <v>55</v>
      </c>
      <c r="AK215" s="25" t="s">
        <v>55</v>
      </c>
      <c r="AL215" s="25" t="s">
        <v>55</v>
      </c>
      <c r="AM215" s="25" t="s">
        <v>55</v>
      </c>
      <c r="AN215" s="25" t="s">
        <v>55</v>
      </c>
      <c r="AO215" s="25" t="s">
        <v>55</v>
      </c>
      <c r="AP215" s="25" t="s">
        <v>55</v>
      </c>
      <c r="AQ215" s="25" t="s">
        <v>55</v>
      </c>
      <c r="AR215" s="25" t="s">
        <v>55</v>
      </c>
      <c r="AS215" s="25" t="s">
        <v>55</v>
      </c>
      <c r="AT215" s="25" t="s">
        <v>55</v>
      </c>
      <c r="AU215" s="25" t="s">
        <v>55</v>
      </c>
      <c r="AV215" s="25" t="s">
        <v>55</v>
      </c>
      <c r="AW215" s="26">
        <v>45930</v>
      </c>
      <c r="AX215" s="26">
        <v>45940</v>
      </c>
      <c r="AY215" s="25" t="s">
        <v>1133</v>
      </c>
      <c r="AZ215" s="20">
        <f t="shared" si="9"/>
        <v>-40</v>
      </c>
      <c r="BA215" s="17" t="e">
        <f t="shared" si="10"/>
        <v>#N/A</v>
      </c>
      <c r="BB215" s="21" t="s">
        <v>335</v>
      </c>
    </row>
    <row r="216" spans="1:54" x14ac:dyDescent="0.35">
      <c r="A216" s="25" t="s">
        <v>1529</v>
      </c>
      <c r="B216" s="25" t="s">
        <v>347</v>
      </c>
      <c r="C216" s="25" t="s">
        <v>588</v>
      </c>
      <c r="D216" s="25" t="s">
        <v>465</v>
      </c>
      <c r="E216" s="25" t="s">
        <v>52</v>
      </c>
      <c r="F216" s="25" t="s">
        <v>1530</v>
      </c>
      <c r="G216" s="25" t="s">
        <v>126</v>
      </c>
      <c r="H216" s="25" t="s">
        <v>138</v>
      </c>
      <c r="I216" s="25" t="s">
        <v>149</v>
      </c>
      <c r="J216" s="25" t="s">
        <v>55</v>
      </c>
      <c r="K216" s="25" t="s">
        <v>1720</v>
      </c>
      <c r="L216" s="25" t="s">
        <v>103</v>
      </c>
      <c r="M216" s="25" t="s">
        <v>55</v>
      </c>
      <c r="N216" s="25" t="s">
        <v>55</v>
      </c>
      <c r="O216" s="25" t="s">
        <v>1722</v>
      </c>
      <c r="P216" s="25" t="s">
        <v>151</v>
      </c>
      <c r="Q216" s="25" t="s">
        <v>1527</v>
      </c>
      <c r="R216" s="25" t="s">
        <v>63</v>
      </c>
      <c r="S216" s="25" t="s">
        <v>150</v>
      </c>
      <c r="T216" s="25" t="s">
        <v>794</v>
      </c>
      <c r="U216" s="25" t="s">
        <v>63</v>
      </c>
      <c r="V216" s="26">
        <v>46022</v>
      </c>
      <c r="W216" s="25" t="s">
        <v>55</v>
      </c>
      <c r="X216" s="25" t="s">
        <v>1528</v>
      </c>
      <c r="Y216" s="25" t="s">
        <v>65</v>
      </c>
      <c r="Z216" s="25" t="s">
        <v>55</v>
      </c>
      <c r="AA216" s="25" t="s">
        <v>221</v>
      </c>
      <c r="AB216" s="25" t="s">
        <v>55</v>
      </c>
      <c r="AC216" s="25" t="s">
        <v>55</v>
      </c>
      <c r="AD216" s="25" t="s">
        <v>118</v>
      </c>
      <c r="AE216" s="25" t="s">
        <v>97</v>
      </c>
      <c r="AF216" s="25" t="s">
        <v>55</v>
      </c>
      <c r="AG216" s="25" t="s">
        <v>55</v>
      </c>
      <c r="AH216" s="25" t="s">
        <v>55</v>
      </c>
      <c r="AI216" s="25" t="s">
        <v>55</v>
      </c>
      <c r="AJ216" s="25" t="s">
        <v>55</v>
      </c>
      <c r="AK216" s="25" t="s">
        <v>55</v>
      </c>
      <c r="AL216" s="25" t="s">
        <v>55</v>
      </c>
      <c r="AM216" s="25" t="s">
        <v>55</v>
      </c>
      <c r="AN216" s="25" t="s">
        <v>55</v>
      </c>
      <c r="AO216" s="25" t="s">
        <v>55</v>
      </c>
      <c r="AP216" s="25" t="s">
        <v>55</v>
      </c>
      <c r="AQ216" s="25" t="s">
        <v>55</v>
      </c>
      <c r="AR216" s="25" t="s">
        <v>55</v>
      </c>
      <c r="AS216" s="25" t="s">
        <v>55</v>
      </c>
      <c r="AT216" s="25" t="s">
        <v>55</v>
      </c>
      <c r="AU216" s="25" t="s">
        <v>55</v>
      </c>
      <c r="AV216" s="25" t="s">
        <v>55</v>
      </c>
      <c r="AW216" s="26">
        <v>45930</v>
      </c>
      <c r="AX216" s="26">
        <v>45940</v>
      </c>
      <c r="AY216" s="25" t="s">
        <v>1133</v>
      </c>
      <c r="AZ216" s="20">
        <f t="shared" si="9"/>
        <v>-40</v>
      </c>
      <c r="BA216" s="17" t="e">
        <f t="shared" si="10"/>
        <v>#N/A</v>
      </c>
      <c r="BB216" s="21" t="s">
        <v>335</v>
      </c>
    </row>
    <row r="217" spans="1:54" x14ac:dyDescent="0.35">
      <c r="A217" s="25" t="s">
        <v>1531</v>
      </c>
      <c r="B217" s="25" t="s">
        <v>347</v>
      </c>
      <c r="C217" s="25" t="s">
        <v>116</v>
      </c>
      <c r="D217" s="25" t="s">
        <v>465</v>
      </c>
      <c r="E217" s="25" t="s">
        <v>52</v>
      </c>
      <c r="F217" s="25" t="s">
        <v>1532</v>
      </c>
      <c r="G217" s="25" t="s">
        <v>126</v>
      </c>
      <c r="H217" s="25" t="s">
        <v>138</v>
      </c>
      <c r="I217" s="25" t="s">
        <v>160</v>
      </c>
      <c r="J217" s="25" t="s">
        <v>373</v>
      </c>
      <c r="K217" s="25" t="s">
        <v>558</v>
      </c>
      <c r="L217" s="25" t="s">
        <v>55</v>
      </c>
      <c r="M217" s="25" t="s">
        <v>385</v>
      </c>
      <c r="N217" s="25" t="s">
        <v>55</v>
      </c>
      <c r="O217" s="25" t="s">
        <v>1533</v>
      </c>
      <c r="P217" s="25" t="s">
        <v>1534</v>
      </c>
      <c r="Q217" s="25" t="s">
        <v>1535</v>
      </c>
      <c r="R217" s="25" t="s">
        <v>55</v>
      </c>
      <c r="S217" s="25" t="s">
        <v>55</v>
      </c>
      <c r="T217" s="25" t="s">
        <v>1536</v>
      </c>
      <c r="U217" s="25" t="s">
        <v>63</v>
      </c>
      <c r="V217" s="26">
        <v>45961</v>
      </c>
      <c r="W217" s="25" t="s">
        <v>55</v>
      </c>
      <c r="X217" s="25" t="s">
        <v>1537</v>
      </c>
      <c r="Y217" s="25" t="s">
        <v>65</v>
      </c>
      <c r="Z217" s="25" t="s">
        <v>55</v>
      </c>
      <c r="AA217" s="25" t="s">
        <v>66</v>
      </c>
      <c r="AB217" s="25" t="s">
        <v>55</v>
      </c>
      <c r="AC217" s="25" t="s">
        <v>55</v>
      </c>
      <c r="AD217" s="25" t="s">
        <v>118</v>
      </c>
      <c r="AE217" s="25" t="s">
        <v>97</v>
      </c>
      <c r="AF217" s="25" t="s">
        <v>391</v>
      </c>
      <c r="AG217" s="25" t="s">
        <v>55</v>
      </c>
      <c r="AH217" s="25" t="s">
        <v>55</v>
      </c>
      <c r="AI217" s="25" t="s">
        <v>55</v>
      </c>
      <c r="AJ217" s="25" t="s">
        <v>55</v>
      </c>
      <c r="AK217" s="25" t="s">
        <v>55</v>
      </c>
      <c r="AL217" s="25" t="s">
        <v>55</v>
      </c>
      <c r="AM217" s="25" t="s">
        <v>55</v>
      </c>
      <c r="AN217" s="25" t="s">
        <v>55</v>
      </c>
      <c r="AO217" s="25" t="s">
        <v>55</v>
      </c>
      <c r="AP217" s="25" t="s">
        <v>55</v>
      </c>
      <c r="AQ217" s="25" t="s">
        <v>55</v>
      </c>
      <c r="AR217" s="25" t="s">
        <v>55</v>
      </c>
      <c r="AS217" s="25" t="s">
        <v>55</v>
      </c>
      <c r="AT217" s="25" t="s">
        <v>55</v>
      </c>
      <c r="AU217" s="25" t="s">
        <v>55</v>
      </c>
      <c r="AV217" s="25" t="s">
        <v>55</v>
      </c>
      <c r="AW217" s="25" t="s">
        <v>55</v>
      </c>
      <c r="AX217" s="25" t="s">
        <v>55</v>
      </c>
      <c r="AY217" s="25" t="s">
        <v>1538</v>
      </c>
      <c r="AZ217" s="20">
        <f t="shared" si="9"/>
        <v>21</v>
      </c>
      <c r="BA217" s="17" t="str">
        <f t="shared" si="10"/>
        <v>&lt; 3 months</v>
      </c>
      <c r="BB217" s="21" t="s">
        <v>66</v>
      </c>
    </row>
    <row r="218" spans="1:54" x14ac:dyDescent="0.35">
      <c r="A218" s="25" t="s">
        <v>1539</v>
      </c>
      <c r="B218" s="25" t="s">
        <v>347</v>
      </c>
      <c r="C218" s="25" t="s">
        <v>116</v>
      </c>
      <c r="D218" s="25" t="s">
        <v>465</v>
      </c>
      <c r="E218" s="25" t="s">
        <v>52</v>
      </c>
      <c r="F218" s="25" t="s">
        <v>1532</v>
      </c>
      <c r="G218" s="25" t="s">
        <v>126</v>
      </c>
      <c r="H218" s="25" t="s">
        <v>138</v>
      </c>
      <c r="I218" s="25" t="s">
        <v>160</v>
      </c>
      <c r="J218" s="25" t="s">
        <v>393</v>
      </c>
      <c r="K218" s="25" t="s">
        <v>558</v>
      </c>
      <c r="L218" s="25" t="s">
        <v>55</v>
      </c>
      <c r="M218" s="25" t="s">
        <v>1540</v>
      </c>
      <c r="N218" s="25" t="s">
        <v>55</v>
      </c>
      <c r="O218" s="25" t="s">
        <v>1533</v>
      </c>
      <c r="P218" s="25" t="s">
        <v>1541</v>
      </c>
      <c r="Q218" s="25" t="s">
        <v>1542</v>
      </c>
      <c r="R218" s="25" t="s">
        <v>55</v>
      </c>
      <c r="S218" s="25" t="s">
        <v>55</v>
      </c>
      <c r="T218" s="25" t="s">
        <v>1543</v>
      </c>
      <c r="U218" s="25" t="s">
        <v>63</v>
      </c>
      <c r="V218" s="26">
        <v>45961</v>
      </c>
      <c r="W218" s="25" t="s">
        <v>55</v>
      </c>
      <c r="X218" s="25" t="s">
        <v>1544</v>
      </c>
      <c r="Y218" s="25" t="s">
        <v>65</v>
      </c>
      <c r="Z218" s="25" t="s">
        <v>55</v>
      </c>
      <c r="AA218" s="25" t="s">
        <v>66</v>
      </c>
      <c r="AB218" s="25" t="s">
        <v>55</v>
      </c>
      <c r="AC218" s="25" t="s">
        <v>55</v>
      </c>
      <c r="AD218" s="25" t="s">
        <v>118</v>
      </c>
      <c r="AE218" s="25" t="s">
        <v>97</v>
      </c>
      <c r="AF218" s="25" t="s">
        <v>156</v>
      </c>
      <c r="AG218" s="25" t="s">
        <v>55</v>
      </c>
      <c r="AH218" s="25" t="s">
        <v>55</v>
      </c>
      <c r="AI218" s="25" t="s">
        <v>55</v>
      </c>
      <c r="AJ218" s="25" t="s">
        <v>55</v>
      </c>
      <c r="AK218" s="25" t="s">
        <v>55</v>
      </c>
      <c r="AL218" s="25" t="s">
        <v>55</v>
      </c>
      <c r="AM218" s="25" t="s">
        <v>55</v>
      </c>
      <c r="AN218" s="25" t="s">
        <v>55</v>
      </c>
      <c r="AO218" s="25" t="s">
        <v>55</v>
      </c>
      <c r="AP218" s="25" t="s">
        <v>55</v>
      </c>
      <c r="AQ218" s="25" t="s">
        <v>55</v>
      </c>
      <c r="AR218" s="25" t="s">
        <v>55</v>
      </c>
      <c r="AS218" s="25" t="s">
        <v>55</v>
      </c>
      <c r="AT218" s="25" t="s">
        <v>55</v>
      </c>
      <c r="AU218" s="25" t="s">
        <v>55</v>
      </c>
      <c r="AV218" s="25" t="s">
        <v>55</v>
      </c>
      <c r="AW218" s="25" t="s">
        <v>55</v>
      </c>
      <c r="AX218" s="25" t="s">
        <v>55</v>
      </c>
      <c r="AY218" s="25" t="s">
        <v>1538</v>
      </c>
      <c r="AZ218" s="20">
        <f t="shared" si="9"/>
        <v>21</v>
      </c>
      <c r="BA218" s="17" t="str">
        <f t="shared" si="10"/>
        <v>&lt; 3 months</v>
      </c>
      <c r="BB218" s="21" t="s">
        <v>66</v>
      </c>
    </row>
    <row r="219" spans="1:54" x14ac:dyDescent="0.35">
      <c r="A219" s="25" t="s">
        <v>1545</v>
      </c>
      <c r="B219" s="25" t="s">
        <v>347</v>
      </c>
      <c r="C219" s="25" t="s">
        <v>116</v>
      </c>
      <c r="D219" s="25" t="s">
        <v>465</v>
      </c>
      <c r="E219" s="25" t="s">
        <v>52</v>
      </c>
      <c r="F219" s="25" t="s">
        <v>1532</v>
      </c>
      <c r="G219" s="25" t="s">
        <v>126</v>
      </c>
      <c r="H219" s="25" t="s">
        <v>138</v>
      </c>
      <c r="I219" s="25" t="s">
        <v>160</v>
      </c>
      <c r="J219" s="25" t="s">
        <v>857</v>
      </c>
      <c r="K219" s="25" t="s">
        <v>572</v>
      </c>
      <c r="L219" s="25" t="s">
        <v>55</v>
      </c>
      <c r="M219" s="25" t="s">
        <v>161</v>
      </c>
      <c r="N219" s="25" t="s">
        <v>55</v>
      </c>
      <c r="O219" s="25" t="s">
        <v>1533</v>
      </c>
      <c r="P219" s="25" t="s">
        <v>1546</v>
      </c>
      <c r="Q219" s="25" t="s">
        <v>1547</v>
      </c>
      <c r="R219" s="25" t="s">
        <v>55</v>
      </c>
      <c r="S219" s="25" t="s">
        <v>55</v>
      </c>
      <c r="T219" s="25" t="s">
        <v>1548</v>
      </c>
      <c r="U219" s="25" t="s">
        <v>63</v>
      </c>
      <c r="V219" s="26">
        <v>45961</v>
      </c>
      <c r="W219" s="25" t="s">
        <v>55</v>
      </c>
      <c r="X219" s="25" t="s">
        <v>1549</v>
      </c>
      <c r="Y219" s="25" t="s">
        <v>65</v>
      </c>
      <c r="Z219" s="25" t="s">
        <v>55</v>
      </c>
      <c r="AA219" s="25" t="s">
        <v>66</v>
      </c>
      <c r="AB219" s="25" t="s">
        <v>55</v>
      </c>
      <c r="AC219" s="25" t="s">
        <v>55</v>
      </c>
      <c r="AD219" s="25" t="s">
        <v>118</v>
      </c>
      <c r="AE219" s="25" t="s">
        <v>97</v>
      </c>
      <c r="AF219" s="25" t="s">
        <v>69</v>
      </c>
      <c r="AG219" s="25" t="s">
        <v>55</v>
      </c>
      <c r="AH219" s="25" t="s">
        <v>55</v>
      </c>
      <c r="AI219" s="25" t="s">
        <v>55</v>
      </c>
      <c r="AJ219" s="25" t="s">
        <v>55</v>
      </c>
      <c r="AK219" s="25" t="s">
        <v>55</v>
      </c>
      <c r="AL219" s="25" t="s">
        <v>55</v>
      </c>
      <c r="AM219" s="25" t="s">
        <v>55</v>
      </c>
      <c r="AN219" s="25" t="s">
        <v>55</v>
      </c>
      <c r="AO219" s="25" t="s">
        <v>55</v>
      </c>
      <c r="AP219" s="25" t="s">
        <v>55</v>
      </c>
      <c r="AQ219" s="25" t="s">
        <v>55</v>
      </c>
      <c r="AR219" s="25" t="s">
        <v>55</v>
      </c>
      <c r="AS219" s="25" t="s">
        <v>55</v>
      </c>
      <c r="AT219" s="25" t="s">
        <v>55</v>
      </c>
      <c r="AU219" s="25" t="s">
        <v>55</v>
      </c>
      <c r="AV219" s="25" t="s">
        <v>55</v>
      </c>
      <c r="AW219" s="25" t="s">
        <v>55</v>
      </c>
      <c r="AX219" s="25" t="s">
        <v>55</v>
      </c>
      <c r="AY219" s="25" t="s">
        <v>1538</v>
      </c>
      <c r="AZ219" s="20">
        <f t="shared" si="9"/>
        <v>21</v>
      </c>
      <c r="BA219" s="17" t="str">
        <f t="shared" si="10"/>
        <v>&lt; 3 months</v>
      </c>
      <c r="BB219" s="21" t="s">
        <v>66</v>
      </c>
    </row>
    <row r="220" spans="1:54" x14ac:dyDescent="0.35">
      <c r="A220" s="25" t="s">
        <v>1550</v>
      </c>
      <c r="B220" s="25" t="s">
        <v>347</v>
      </c>
      <c r="C220" s="25" t="s">
        <v>116</v>
      </c>
      <c r="D220" s="25" t="s">
        <v>465</v>
      </c>
      <c r="E220" s="25" t="s">
        <v>52</v>
      </c>
      <c r="F220" s="25" t="s">
        <v>1532</v>
      </c>
      <c r="G220" s="25" t="s">
        <v>126</v>
      </c>
      <c r="H220" s="25" t="s">
        <v>138</v>
      </c>
      <c r="I220" s="25" t="s">
        <v>121</v>
      </c>
      <c r="J220" s="25" t="s">
        <v>843</v>
      </c>
      <c r="K220" s="25" t="s">
        <v>561</v>
      </c>
      <c r="L220" s="25" t="s">
        <v>55</v>
      </c>
      <c r="M220" s="25" t="s">
        <v>1316</v>
      </c>
      <c r="N220" s="25" t="s">
        <v>55</v>
      </c>
      <c r="O220" s="25" t="s">
        <v>1533</v>
      </c>
      <c r="P220" s="25" t="s">
        <v>1551</v>
      </c>
      <c r="Q220" s="25" t="s">
        <v>1552</v>
      </c>
      <c r="R220" s="25" t="s">
        <v>55</v>
      </c>
      <c r="S220" s="25" t="s">
        <v>55</v>
      </c>
      <c r="T220" s="25" t="s">
        <v>1553</v>
      </c>
      <c r="U220" s="25" t="s">
        <v>63</v>
      </c>
      <c r="V220" s="26">
        <v>45961</v>
      </c>
      <c r="W220" s="25" t="s">
        <v>55</v>
      </c>
      <c r="X220" s="25" t="s">
        <v>1554</v>
      </c>
      <c r="Y220" s="25" t="s">
        <v>65</v>
      </c>
      <c r="Z220" s="25" t="s">
        <v>55</v>
      </c>
      <c r="AA220" s="25" t="s">
        <v>66</v>
      </c>
      <c r="AB220" s="25" t="s">
        <v>55</v>
      </c>
      <c r="AC220" s="25" t="s">
        <v>55</v>
      </c>
      <c r="AD220" s="25" t="s">
        <v>118</v>
      </c>
      <c r="AE220" s="25" t="s">
        <v>97</v>
      </c>
      <c r="AF220" s="25" t="s">
        <v>98</v>
      </c>
      <c r="AG220" s="25" t="s">
        <v>55</v>
      </c>
      <c r="AH220" s="25" t="s">
        <v>55</v>
      </c>
      <c r="AI220" s="25" t="s">
        <v>55</v>
      </c>
      <c r="AJ220" s="25" t="s">
        <v>55</v>
      </c>
      <c r="AK220" s="25" t="s">
        <v>55</v>
      </c>
      <c r="AL220" s="25" t="s">
        <v>55</v>
      </c>
      <c r="AM220" s="25" t="s">
        <v>55</v>
      </c>
      <c r="AN220" s="25" t="s">
        <v>55</v>
      </c>
      <c r="AO220" s="25" t="s">
        <v>55</v>
      </c>
      <c r="AP220" s="25" t="s">
        <v>55</v>
      </c>
      <c r="AQ220" s="25" t="s">
        <v>55</v>
      </c>
      <c r="AR220" s="25" t="s">
        <v>55</v>
      </c>
      <c r="AS220" s="25" t="s">
        <v>55</v>
      </c>
      <c r="AT220" s="25" t="s">
        <v>55</v>
      </c>
      <c r="AU220" s="25" t="s">
        <v>55</v>
      </c>
      <c r="AV220" s="25" t="s">
        <v>55</v>
      </c>
      <c r="AW220" s="25" t="s">
        <v>55</v>
      </c>
      <c r="AX220" s="25" t="s">
        <v>55</v>
      </c>
      <c r="AY220" s="25" t="s">
        <v>1538</v>
      </c>
      <c r="AZ220" s="20">
        <f t="shared" si="9"/>
        <v>21</v>
      </c>
      <c r="BA220" s="17" t="str">
        <f t="shared" si="10"/>
        <v>&lt; 3 months</v>
      </c>
      <c r="BB220" s="21" t="s">
        <v>66</v>
      </c>
    </row>
    <row r="221" spans="1:54" x14ac:dyDescent="0.35">
      <c r="A221" s="25" t="s">
        <v>1555</v>
      </c>
      <c r="B221" s="25" t="s">
        <v>347</v>
      </c>
      <c r="C221" s="25" t="s">
        <v>116</v>
      </c>
      <c r="D221" s="25" t="s">
        <v>465</v>
      </c>
      <c r="E221" s="25" t="s">
        <v>52</v>
      </c>
      <c r="F221" s="25" t="s">
        <v>1532</v>
      </c>
      <c r="G221" s="25" t="s">
        <v>126</v>
      </c>
      <c r="H221" s="25" t="s">
        <v>138</v>
      </c>
      <c r="I221" s="25" t="s">
        <v>119</v>
      </c>
      <c r="J221" s="25" t="s">
        <v>242</v>
      </c>
      <c r="K221" s="25" t="s">
        <v>544</v>
      </c>
      <c r="L221" s="25" t="s">
        <v>55</v>
      </c>
      <c r="M221" s="25" t="s">
        <v>122</v>
      </c>
      <c r="N221" s="25" t="s">
        <v>55</v>
      </c>
      <c r="O221" s="25" t="s">
        <v>1533</v>
      </c>
      <c r="P221" s="25" t="s">
        <v>1556</v>
      </c>
      <c r="Q221" s="25" t="s">
        <v>1557</v>
      </c>
      <c r="R221" s="25" t="s">
        <v>55</v>
      </c>
      <c r="S221" s="25" t="s">
        <v>55</v>
      </c>
      <c r="T221" s="25" t="s">
        <v>1558</v>
      </c>
      <c r="U221" s="25" t="s">
        <v>63</v>
      </c>
      <c r="V221" s="26">
        <v>46022</v>
      </c>
      <c r="W221" s="25" t="s">
        <v>55</v>
      </c>
      <c r="X221" s="25" t="s">
        <v>1559</v>
      </c>
      <c r="Y221" s="25" t="s">
        <v>65</v>
      </c>
      <c r="Z221" s="25" t="s">
        <v>55</v>
      </c>
      <c r="AA221" s="25" t="s">
        <v>221</v>
      </c>
      <c r="AB221" s="25" t="s">
        <v>55</v>
      </c>
      <c r="AC221" s="25" t="s">
        <v>55</v>
      </c>
      <c r="AD221" s="25" t="s">
        <v>118</v>
      </c>
      <c r="AE221" s="25" t="s">
        <v>97</v>
      </c>
      <c r="AF221" s="25" t="s">
        <v>123</v>
      </c>
      <c r="AG221" s="25" t="s">
        <v>55</v>
      </c>
      <c r="AH221" s="25" t="s">
        <v>55</v>
      </c>
      <c r="AI221" s="25" t="s">
        <v>55</v>
      </c>
      <c r="AJ221" s="25" t="s">
        <v>55</v>
      </c>
      <c r="AK221" s="25" t="s">
        <v>55</v>
      </c>
      <c r="AL221" s="25" t="s">
        <v>55</v>
      </c>
      <c r="AM221" s="25" t="s">
        <v>55</v>
      </c>
      <c r="AN221" s="25" t="s">
        <v>55</v>
      </c>
      <c r="AO221" s="25" t="s">
        <v>55</v>
      </c>
      <c r="AP221" s="25" t="s">
        <v>55</v>
      </c>
      <c r="AQ221" s="25" t="s">
        <v>55</v>
      </c>
      <c r="AR221" s="25" t="s">
        <v>55</v>
      </c>
      <c r="AS221" s="25" t="s">
        <v>55</v>
      </c>
      <c r="AT221" s="25" t="s">
        <v>55</v>
      </c>
      <c r="AU221" s="25" t="s">
        <v>55</v>
      </c>
      <c r="AV221" s="25" t="s">
        <v>55</v>
      </c>
      <c r="AW221" s="25" t="s">
        <v>55</v>
      </c>
      <c r="AX221" s="25" t="s">
        <v>55</v>
      </c>
      <c r="AY221" s="25" t="s">
        <v>1538</v>
      </c>
      <c r="AZ221" s="20">
        <f t="shared" si="9"/>
        <v>-40</v>
      </c>
      <c r="BA221" s="17" t="e">
        <f t="shared" si="10"/>
        <v>#N/A</v>
      </c>
      <c r="BB221" s="21" t="s">
        <v>335</v>
      </c>
    </row>
    <row r="222" spans="1:54" x14ac:dyDescent="0.35">
      <c r="A222" s="25" t="s">
        <v>1560</v>
      </c>
      <c r="B222" s="25" t="s">
        <v>347</v>
      </c>
      <c r="C222" s="25" t="s">
        <v>116</v>
      </c>
      <c r="D222" s="25" t="s">
        <v>465</v>
      </c>
      <c r="E222" s="25" t="s">
        <v>52</v>
      </c>
      <c r="F222" s="25" t="s">
        <v>1561</v>
      </c>
      <c r="G222" s="25" t="s">
        <v>54</v>
      </c>
      <c r="H222" s="25" t="s">
        <v>1711</v>
      </c>
      <c r="I222" s="25" t="s">
        <v>119</v>
      </c>
      <c r="J222" s="25" t="s">
        <v>1384</v>
      </c>
      <c r="K222" s="25" t="s">
        <v>603</v>
      </c>
      <c r="L222" s="25" t="s">
        <v>55</v>
      </c>
      <c r="M222" s="25" t="s">
        <v>1386</v>
      </c>
      <c r="N222" s="25" t="s">
        <v>55</v>
      </c>
      <c r="O222" s="25" t="s">
        <v>1562</v>
      </c>
      <c r="P222" s="25" t="s">
        <v>1563</v>
      </c>
      <c r="Q222" s="25" t="s">
        <v>1564</v>
      </c>
      <c r="R222" s="25" t="s">
        <v>55</v>
      </c>
      <c r="S222" s="25" t="s">
        <v>55</v>
      </c>
      <c r="T222" s="25" t="s">
        <v>1565</v>
      </c>
      <c r="U222" s="25" t="s">
        <v>63</v>
      </c>
      <c r="V222" s="26">
        <v>46022</v>
      </c>
      <c r="W222" s="25" t="s">
        <v>55</v>
      </c>
      <c r="X222" s="25" t="s">
        <v>1566</v>
      </c>
      <c r="Y222" s="25" t="s">
        <v>65</v>
      </c>
      <c r="Z222" s="25" t="s">
        <v>55</v>
      </c>
      <c r="AA222" s="25" t="s">
        <v>221</v>
      </c>
      <c r="AB222" s="25" t="s">
        <v>55</v>
      </c>
      <c r="AC222" s="25" t="s">
        <v>55</v>
      </c>
      <c r="AD222" s="25" t="s">
        <v>118</v>
      </c>
      <c r="AE222" s="25" t="s">
        <v>97</v>
      </c>
      <c r="AF222" s="25" t="s">
        <v>1238</v>
      </c>
      <c r="AG222" s="25" t="s">
        <v>55</v>
      </c>
      <c r="AH222" s="25" t="s">
        <v>55</v>
      </c>
      <c r="AI222" s="25" t="s">
        <v>55</v>
      </c>
      <c r="AJ222" s="25" t="s">
        <v>55</v>
      </c>
      <c r="AK222" s="25" t="s">
        <v>55</v>
      </c>
      <c r="AL222" s="25" t="s">
        <v>55</v>
      </c>
      <c r="AM222" s="25" t="s">
        <v>55</v>
      </c>
      <c r="AN222" s="25" t="s">
        <v>55</v>
      </c>
      <c r="AO222" s="25" t="s">
        <v>55</v>
      </c>
      <c r="AP222" s="25" t="s">
        <v>55</v>
      </c>
      <c r="AQ222" s="25" t="s">
        <v>55</v>
      </c>
      <c r="AR222" s="25" t="s">
        <v>55</v>
      </c>
      <c r="AS222" s="25" t="s">
        <v>55</v>
      </c>
      <c r="AT222" s="25" t="s">
        <v>55</v>
      </c>
      <c r="AU222" s="25" t="s">
        <v>55</v>
      </c>
      <c r="AV222" s="25" t="s">
        <v>55</v>
      </c>
      <c r="AW222" s="25" t="s">
        <v>55</v>
      </c>
      <c r="AX222" s="25" t="s">
        <v>55</v>
      </c>
      <c r="AY222" s="25" t="s">
        <v>1538</v>
      </c>
      <c r="AZ222" s="20">
        <f t="shared" si="9"/>
        <v>-40</v>
      </c>
      <c r="BA222" s="17" t="e">
        <f t="shared" si="10"/>
        <v>#N/A</v>
      </c>
      <c r="BB222" s="21" t="s">
        <v>335</v>
      </c>
    </row>
    <row r="223" spans="1:54" x14ac:dyDescent="0.35">
      <c r="A223" s="25" t="s">
        <v>1567</v>
      </c>
      <c r="B223" s="25" t="s">
        <v>347</v>
      </c>
      <c r="C223" s="25" t="s">
        <v>116</v>
      </c>
      <c r="D223" s="25" t="s">
        <v>465</v>
      </c>
      <c r="E223" s="25" t="s">
        <v>52</v>
      </c>
      <c r="F223" s="25" t="s">
        <v>611</v>
      </c>
      <c r="G223" s="25" t="s">
        <v>54</v>
      </c>
      <c r="H223" s="25" t="s">
        <v>1719</v>
      </c>
      <c r="I223" s="25" t="s">
        <v>121</v>
      </c>
      <c r="J223" s="25" t="s">
        <v>223</v>
      </c>
      <c r="K223" s="25" t="s">
        <v>868</v>
      </c>
      <c r="L223" s="25" t="s">
        <v>55</v>
      </c>
      <c r="M223" s="25" t="s">
        <v>1233</v>
      </c>
      <c r="N223" s="25" t="s">
        <v>55</v>
      </c>
      <c r="O223" s="25" t="s">
        <v>1444</v>
      </c>
      <c r="P223" s="25" t="s">
        <v>1568</v>
      </c>
      <c r="Q223" s="25" t="s">
        <v>1569</v>
      </c>
      <c r="R223" s="25" t="s">
        <v>55</v>
      </c>
      <c r="S223" s="25" t="s">
        <v>55</v>
      </c>
      <c r="T223" s="25" t="s">
        <v>1570</v>
      </c>
      <c r="U223" s="25" t="s">
        <v>63</v>
      </c>
      <c r="V223" s="26">
        <v>46022</v>
      </c>
      <c r="W223" s="25" t="s">
        <v>55</v>
      </c>
      <c r="X223" s="25" t="s">
        <v>1571</v>
      </c>
      <c r="Y223" s="25" t="s">
        <v>65</v>
      </c>
      <c r="Z223" s="25" t="s">
        <v>55</v>
      </c>
      <c r="AA223" s="25" t="s">
        <v>221</v>
      </c>
      <c r="AB223" s="25" t="s">
        <v>55</v>
      </c>
      <c r="AC223" s="25" t="s">
        <v>55</v>
      </c>
      <c r="AD223" s="25" t="s">
        <v>118</v>
      </c>
      <c r="AE223" s="25" t="s">
        <v>97</v>
      </c>
      <c r="AF223" s="25" t="s">
        <v>1238</v>
      </c>
      <c r="AG223" s="25" t="s">
        <v>55</v>
      </c>
      <c r="AH223" s="25" t="s">
        <v>55</v>
      </c>
      <c r="AI223" s="25" t="s">
        <v>55</v>
      </c>
      <c r="AJ223" s="25" t="s">
        <v>55</v>
      </c>
      <c r="AK223" s="25" t="s">
        <v>55</v>
      </c>
      <c r="AL223" s="25" t="s">
        <v>55</v>
      </c>
      <c r="AM223" s="25" t="s">
        <v>55</v>
      </c>
      <c r="AN223" s="25" t="s">
        <v>55</v>
      </c>
      <c r="AO223" s="25" t="s">
        <v>55</v>
      </c>
      <c r="AP223" s="25" t="s">
        <v>55</v>
      </c>
      <c r="AQ223" s="25" t="s">
        <v>55</v>
      </c>
      <c r="AR223" s="25" t="s">
        <v>55</v>
      </c>
      <c r="AS223" s="25" t="s">
        <v>55</v>
      </c>
      <c r="AT223" s="25" t="s">
        <v>55</v>
      </c>
      <c r="AU223" s="25" t="s">
        <v>55</v>
      </c>
      <c r="AV223" s="25" t="s">
        <v>55</v>
      </c>
      <c r="AW223" s="25" t="s">
        <v>55</v>
      </c>
      <c r="AX223" s="25" t="s">
        <v>55</v>
      </c>
      <c r="AY223" s="25" t="s">
        <v>1538</v>
      </c>
      <c r="AZ223" s="20">
        <f t="shared" si="9"/>
        <v>-40</v>
      </c>
      <c r="BA223" s="17" t="e">
        <f t="shared" si="10"/>
        <v>#N/A</v>
      </c>
      <c r="BB223" s="21" t="s">
        <v>335</v>
      </c>
    </row>
    <row r="224" spans="1:54" x14ac:dyDescent="0.35">
      <c r="A224" s="25" t="s">
        <v>1572</v>
      </c>
      <c r="B224" s="25" t="s">
        <v>347</v>
      </c>
      <c r="C224" s="25" t="s">
        <v>116</v>
      </c>
      <c r="D224" s="25" t="s">
        <v>465</v>
      </c>
      <c r="E224" s="25" t="s">
        <v>52</v>
      </c>
      <c r="F224" s="25" t="s">
        <v>1413</v>
      </c>
      <c r="G224" s="25" t="s">
        <v>54</v>
      </c>
      <c r="H224" s="25" t="s">
        <v>1713</v>
      </c>
      <c r="I224" s="25" t="s">
        <v>117</v>
      </c>
      <c r="J224" s="25" t="s">
        <v>842</v>
      </c>
      <c r="K224" s="25" t="s">
        <v>576</v>
      </c>
      <c r="L224" s="25" t="s">
        <v>55</v>
      </c>
      <c r="M224" s="25" t="s">
        <v>1573</v>
      </c>
      <c r="N224" s="25" t="s">
        <v>55</v>
      </c>
      <c r="O224" s="25" t="s">
        <v>1574</v>
      </c>
      <c r="P224" s="25" t="s">
        <v>1575</v>
      </c>
      <c r="Q224" s="25" t="s">
        <v>1575</v>
      </c>
      <c r="R224" s="25" t="s">
        <v>55</v>
      </c>
      <c r="S224" s="25" t="s">
        <v>55</v>
      </c>
      <c r="T224" s="25" t="s">
        <v>1576</v>
      </c>
      <c r="U224" s="25" t="s">
        <v>63</v>
      </c>
      <c r="V224" s="26">
        <v>45961</v>
      </c>
      <c r="W224" s="25" t="s">
        <v>55</v>
      </c>
      <c r="X224" s="25" t="s">
        <v>1577</v>
      </c>
      <c r="Y224" s="25" t="s">
        <v>65</v>
      </c>
      <c r="Z224" s="25" t="s">
        <v>55</v>
      </c>
      <c r="AA224" s="25" t="s">
        <v>66</v>
      </c>
      <c r="AB224" s="25" t="s">
        <v>55</v>
      </c>
      <c r="AC224" s="25" t="s">
        <v>55</v>
      </c>
      <c r="AD224" s="25" t="s">
        <v>118</v>
      </c>
      <c r="AE224" s="25" t="s">
        <v>97</v>
      </c>
      <c r="AF224" s="25" t="s">
        <v>1578</v>
      </c>
      <c r="AG224" s="25" t="s">
        <v>55</v>
      </c>
      <c r="AH224" s="25" t="s">
        <v>55</v>
      </c>
      <c r="AI224" s="25" t="s">
        <v>55</v>
      </c>
      <c r="AJ224" s="25" t="s">
        <v>55</v>
      </c>
      <c r="AK224" s="25" t="s">
        <v>55</v>
      </c>
      <c r="AL224" s="25" t="s">
        <v>55</v>
      </c>
      <c r="AM224" s="25" t="s">
        <v>55</v>
      </c>
      <c r="AN224" s="25" t="s">
        <v>55</v>
      </c>
      <c r="AO224" s="25" t="s">
        <v>55</v>
      </c>
      <c r="AP224" s="25" t="s">
        <v>55</v>
      </c>
      <c r="AQ224" s="25" t="s">
        <v>55</v>
      </c>
      <c r="AR224" s="25" t="s">
        <v>55</v>
      </c>
      <c r="AS224" s="25" t="s">
        <v>55</v>
      </c>
      <c r="AT224" s="25" t="s">
        <v>55</v>
      </c>
      <c r="AU224" s="25" t="s">
        <v>55</v>
      </c>
      <c r="AV224" s="25" t="s">
        <v>55</v>
      </c>
      <c r="AW224" s="25" t="s">
        <v>55</v>
      </c>
      <c r="AX224" s="25" t="s">
        <v>55</v>
      </c>
      <c r="AY224" s="25" t="s">
        <v>1538</v>
      </c>
      <c r="AZ224" s="20">
        <f t="shared" si="9"/>
        <v>21</v>
      </c>
      <c r="BA224" s="17" t="str">
        <f t="shared" si="10"/>
        <v>&lt; 3 months</v>
      </c>
      <c r="BB224" s="21" t="s">
        <v>66</v>
      </c>
    </row>
    <row r="225" spans="1:54" x14ac:dyDescent="0.35">
      <c r="A225" s="25" t="s">
        <v>1579</v>
      </c>
      <c r="B225" s="25" t="s">
        <v>347</v>
      </c>
      <c r="C225" s="25" t="s">
        <v>116</v>
      </c>
      <c r="D225" s="25" t="s">
        <v>465</v>
      </c>
      <c r="E225" s="25" t="s">
        <v>52</v>
      </c>
      <c r="F225" s="25" t="s">
        <v>1413</v>
      </c>
      <c r="G225" s="25" t="s">
        <v>54</v>
      </c>
      <c r="H225" s="25" t="s">
        <v>1713</v>
      </c>
      <c r="I225" s="25" t="s">
        <v>119</v>
      </c>
      <c r="J225" s="25" t="s">
        <v>242</v>
      </c>
      <c r="K225" s="25" t="s">
        <v>552</v>
      </c>
      <c r="L225" s="25" t="s">
        <v>55</v>
      </c>
      <c r="M225" s="25" t="s">
        <v>243</v>
      </c>
      <c r="N225" s="25" t="s">
        <v>55</v>
      </c>
      <c r="O225" s="25" t="s">
        <v>1574</v>
      </c>
      <c r="P225" s="25" t="s">
        <v>1580</v>
      </c>
      <c r="Q225" s="25" t="s">
        <v>1581</v>
      </c>
      <c r="R225" s="25" t="s">
        <v>55</v>
      </c>
      <c r="S225" s="25" t="s">
        <v>55</v>
      </c>
      <c r="T225" s="25" t="s">
        <v>1582</v>
      </c>
      <c r="U225" s="25" t="s">
        <v>63</v>
      </c>
      <c r="V225" s="26">
        <v>46006</v>
      </c>
      <c r="W225" s="25" t="s">
        <v>55</v>
      </c>
      <c r="X225" s="25" t="s">
        <v>1583</v>
      </c>
      <c r="Y225" s="25" t="s">
        <v>65</v>
      </c>
      <c r="Z225" s="25" t="s">
        <v>55</v>
      </c>
      <c r="AA225" s="25" t="s">
        <v>152</v>
      </c>
      <c r="AB225" s="25" t="s">
        <v>55</v>
      </c>
      <c r="AC225" s="25" t="s">
        <v>55</v>
      </c>
      <c r="AD225" s="25" t="s">
        <v>118</v>
      </c>
      <c r="AE225" s="25" t="s">
        <v>97</v>
      </c>
      <c r="AF225" s="25" t="s">
        <v>92</v>
      </c>
      <c r="AG225" s="25" t="s">
        <v>55</v>
      </c>
      <c r="AH225" s="25" t="s">
        <v>55</v>
      </c>
      <c r="AI225" s="25" t="s">
        <v>55</v>
      </c>
      <c r="AJ225" s="25" t="s">
        <v>55</v>
      </c>
      <c r="AK225" s="25" t="s">
        <v>55</v>
      </c>
      <c r="AL225" s="25" t="s">
        <v>55</v>
      </c>
      <c r="AM225" s="25" t="s">
        <v>55</v>
      </c>
      <c r="AN225" s="25" t="s">
        <v>55</v>
      </c>
      <c r="AO225" s="25" t="s">
        <v>55</v>
      </c>
      <c r="AP225" s="25" t="s">
        <v>55</v>
      </c>
      <c r="AQ225" s="25" t="s">
        <v>55</v>
      </c>
      <c r="AR225" s="25" t="s">
        <v>55</v>
      </c>
      <c r="AS225" s="25" t="s">
        <v>55</v>
      </c>
      <c r="AT225" s="25" t="s">
        <v>55</v>
      </c>
      <c r="AU225" s="25" t="s">
        <v>55</v>
      </c>
      <c r="AV225" s="25" t="s">
        <v>55</v>
      </c>
      <c r="AW225" s="25" t="s">
        <v>55</v>
      </c>
      <c r="AX225" s="25" t="s">
        <v>55</v>
      </c>
      <c r="AY225" s="25" t="s">
        <v>1584</v>
      </c>
      <c r="AZ225" s="20">
        <f t="shared" si="9"/>
        <v>-24</v>
      </c>
      <c r="BA225" s="17" t="e">
        <f t="shared" si="10"/>
        <v>#N/A</v>
      </c>
      <c r="BB225" s="21" t="s">
        <v>335</v>
      </c>
    </row>
    <row r="226" spans="1:54" x14ac:dyDescent="0.35">
      <c r="A226" s="25" t="s">
        <v>1586</v>
      </c>
      <c r="B226" s="25" t="s">
        <v>347</v>
      </c>
      <c r="C226" s="25" t="s">
        <v>116</v>
      </c>
      <c r="D226" s="25" t="s">
        <v>465</v>
      </c>
      <c r="E226" s="25" t="s">
        <v>52</v>
      </c>
      <c r="F226" s="25" t="s">
        <v>300</v>
      </c>
      <c r="G226" s="25" t="s">
        <v>126</v>
      </c>
      <c r="H226" s="25" t="s">
        <v>157</v>
      </c>
      <c r="I226" s="25" t="s">
        <v>160</v>
      </c>
      <c r="J226" s="25" t="s">
        <v>160</v>
      </c>
      <c r="K226" s="25" t="s">
        <v>600</v>
      </c>
      <c r="L226" s="25" t="s">
        <v>55</v>
      </c>
      <c r="M226" s="25" t="s">
        <v>161</v>
      </c>
      <c r="N226" s="25" t="s">
        <v>55</v>
      </c>
      <c r="O226" s="25" t="s">
        <v>1587</v>
      </c>
      <c r="P226" s="25" t="s">
        <v>1588</v>
      </c>
      <c r="Q226" s="25" t="s">
        <v>1589</v>
      </c>
      <c r="R226" s="25" t="s">
        <v>55</v>
      </c>
      <c r="S226" s="25" t="s">
        <v>55</v>
      </c>
      <c r="T226" s="25" t="s">
        <v>1590</v>
      </c>
      <c r="U226" s="25" t="s">
        <v>132</v>
      </c>
      <c r="V226" s="26">
        <v>46081</v>
      </c>
      <c r="W226" s="25" t="s">
        <v>55</v>
      </c>
      <c r="X226" s="25" t="s">
        <v>1591</v>
      </c>
      <c r="Y226" s="25" t="s">
        <v>65</v>
      </c>
      <c r="Z226" s="25" t="s">
        <v>55</v>
      </c>
      <c r="AA226" s="25" t="s">
        <v>155</v>
      </c>
      <c r="AB226" s="25" t="s">
        <v>55</v>
      </c>
      <c r="AC226" s="25" t="s">
        <v>55</v>
      </c>
      <c r="AD226" s="25" t="s">
        <v>118</v>
      </c>
      <c r="AE226" s="25" t="s">
        <v>97</v>
      </c>
      <c r="AF226" s="25" t="s">
        <v>69</v>
      </c>
      <c r="AG226" s="25" t="s">
        <v>55</v>
      </c>
      <c r="AH226" s="25" t="s">
        <v>55</v>
      </c>
      <c r="AI226" s="25" t="s">
        <v>55</v>
      </c>
      <c r="AJ226" s="25" t="s">
        <v>55</v>
      </c>
      <c r="AK226" s="25" t="s">
        <v>55</v>
      </c>
      <c r="AL226" s="25" t="s">
        <v>55</v>
      </c>
      <c r="AM226" s="25" t="s">
        <v>55</v>
      </c>
      <c r="AN226" s="25" t="s">
        <v>55</v>
      </c>
      <c r="AO226" s="25" t="s">
        <v>55</v>
      </c>
      <c r="AP226" s="25" t="s">
        <v>55</v>
      </c>
      <c r="AQ226" s="25" t="s">
        <v>55</v>
      </c>
      <c r="AR226" s="25" t="s">
        <v>55</v>
      </c>
      <c r="AS226" s="25" t="s">
        <v>55</v>
      </c>
      <c r="AT226" s="25" t="s">
        <v>55</v>
      </c>
      <c r="AU226" s="25" t="s">
        <v>55</v>
      </c>
      <c r="AV226" s="25" t="s">
        <v>55</v>
      </c>
      <c r="AW226" s="25" t="s">
        <v>55</v>
      </c>
      <c r="AX226" s="25" t="s">
        <v>55</v>
      </c>
      <c r="AY226" s="25" t="s">
        <v>1584</v>
      </c>
      <c r="AZ226" s="20">
        <f t="shared" si="9"/>
        <v>-99</v>
      </c>
      <c r="BA226" s="17" t="e">
        <f t="shared" si="10"/>
        <v>#N/A</v>
      </c>
      <c r="BB226" s="21" t="s">
        <v>335</v>
      </c>
    </row>
    <row r="227" spans="1:54" x14ac:dyDescent="0.35">
      <c r="A227" s="25" t="s">
        <v>1592</v>
      </c>
      <c r="B227" s="25" t="s">
        <v>347</v>
      </c>
      <c r="C227" s="25" t="s">
        <v>116</v>
      </c>
      <c r="D227" s="25" t="s">
        <v>465</v>
      </c>
      <c r="E227" s="25" t="s">
        <v>52</v>
      </c>
      <c r="F227" s="25" t="s">
        <v>1420</v>
      </c>
      <c r="G227" s="25" t="s">
        <v>54</v>
      </c>
      <c r="H227" s="25" t="s">
        <v>1716</v>
      </c>
      <c r="I227" s="25" t="s">
        <v>117</v>
      </c>
      <c r="J227" s="25" t="s">
        <v>819</v>
      </c>
      <c r="K227" s="25" t="s">
        <v>576</v>
      </c>
      <c r="L227" s="25" t="s">
        <v>55</v>
      </c>
      <c r="M227" s="25" t="s">
        <v>577</v>
      </c>
      <c r="N227" s="25" t="s">
        <v>55</v>
      </c>
      <c r="O227" s="25" t="s">
        <v>1593</v>
      </c>
      <c r="P227" s="25" t="s">
        <v>1594</v>
      </c>
      <c r="Q227" s="25" t="s">
        <v>1594</v>
      </c>
      <c r="R227" s="25" t="s">
        <v>55</v>
      </c>
      <c r="S227" s="25" t="s">
        <v>55</v>
      </c>
      <c r="T227" s="25" t="s">
        <v>1595</v>
      </c>
      <c r="U227" s="25" t="s">
        <v>63</v>
      </c>
      <c r="V227" s="26">
        <v>45961</v>
      </c>
      <c r="W227" s="25" t="s">
        <v>55</v>
      </c>
      <c r="X227" s="25" t="s">
        <v>1430</v>
      </c>
      <c r="Y227" s="25" t="s">
        <v>65</v>
      </c>
      <c r="Z227" s="25" t="s">
        <v>55</v>
      </c>
      <c r="AA227" s="25" t="s">
        <v>66</v>
      </c>
      <c r="AB227" s="25" t="s">
        <v>55</v>
      </c>
      <c r="AC227" s="25" t="s">
        <v>55</v>
      </c>
      <c r="AD227" s="25" t="s">
        <v>118</v>
      </c>
      <c r="AE227" s="25" t="s">
        <v>97</v>
      </c>
      <c r="AF227" s="25" t="s">
        <v>583</v>
      </c>
      <c r="AG227" s="25" t="s">
        <v>55</v>
      </c>
      <c r="AH227" s="25" t="s">
        <v>55</v>
      </c>
      <c r="AI227" s="25" t="s">
        <v>55</v>
      </c>
      <c r="AJ227" s="25" t="s">
        <v>55</v>
      </c>
      <c r="AK227" s="25" t="s">
        <v>55</v>
      </c>
      <c r="AL227" s="25" t="s">
        <v>55</v>
      </c>
      <c r="AM227" s="25" t="s">
        <v>55</v>
      </c>
      <c r="AN227" s="25" t="s">
        <v>55</v>
      </c>
      <c r="AO227" s="25" t="s">
        <v>55</v>
      </c>
      <c r="AP227" s="25" t="s">
        <v>55</v>
      </c>
      <c r="AQ227" s="25" t="s">
        <v>55</v>
      </c>
      <c r="AR227" s="25" t="s">
        <v>55</v>
      </c>
      <c r="AS227" s="25" t="s">
        <v>55</v>
      </c>
      <c r="AT227" s="25" t="s">
        <v>55</v>
      </c>
      <c r="AU227" s="25" t="s">
        <v>55</v>
      </c>
      <c r="AV227" s="25" t="s">
        <v>55</v>
      </c>
      <c r="AW227" s="25" t="s">
        <v>55</v>
      </c>
      <c r="AX227" s="25" t="s">
        <v>55</v>
      </c>
      <c r="AY227" s="25" t="s">
        <v>1584</v>
      </c>
      <c r="AZ227" s="20">
        <f t="shared" si="9"/>
        <v>21</v>
      </c>
      <c r="BA227" s="17" t="str">
        <f t="shared" si="10"/>
        <v>&lt; 3 months</v>
      </c>
      <c r="BB227" s="21" t="s">
        <v>66</v>
      </c>
    </row>
    <row r="228" spans="1:54" x14ac:dyDescent="0.35">
      <c r="A228" s="25" t="s">
        <v>1596</v>
      </c>
      <c r="B228" s="25" t="s">
        <v>347</v>
      </c>
      <c r="C228" s="25" t="s">
        <v>116</v>
      </c>
      <c r="D228" s="25" t="s">
        <v>465</v>
      </c>
      <c r="E228" s="25" t="s">
        <v>52</v>
      </c>
      <c r="F228" s="25" t="s">
        <v>1420</v>
      </c>
      <c r="G228" s="25" t="s">
        <v>54</v>
      </c>
      <c r="H228" s="25" t="s">
        <v>1716</v>
      </c>
      <c r="I228" s="25" t="s">
        <v>121</v>
      </c>
      <c r="J228" s="25" t="s">
        <v>843</v>
      </c>
      <c r="K228" s="25" t="s">
        <v>561</v>
      </c>
      <c r="L228" s="25" t="s">
        <v>55</v>
      </c>
      <c r="M228" s="25" t="s">
        <v>1316</v>
      </c>
      <c r="N228" s="25" t="s">
        <v>55</v>
      </c>
      <c r="O228" s="25" t="s">
        <v>1593</v>
      </c>
      <c r="P228" s="25" t="s">
        <v>1597</v>
      </c>
      <c r="Q228" s="25" t="s">
        <v>1597</v>
      </c>
      <c r="R228" s="25" t="s">
        <v>55</v>
      </c>
      <c r="S228" s="25" t="s">
        <v>55</v>
      </c>
      <c r="T228" s="25" t="s">
        <v>1598</v>
      </c>
      <c r="U228" s="25" t="s">
        <v>63</v>
      </c>
      <c r="V228" s="26">
        <v>46022</v>
      </c>
      <c r="W228" s="25" t="s">
        <v>55</v>
      </c>
      <c r="X228" s="25" t="s">
        <v>1599</v>
      </c>
      <c r="Y228" s="25" t="s">
        <v>65</v>
      </c>
      <c r="Z228" s="25" t="s">
        <v>55</v>
      </c>
      <c r="AA228" s="25" t="s">
        <v>221</v>
      </c>
      <c r="AB228" s="25" t="s">
        <v>55</v>
      </c>
      <c r="AC228" s="25" t="s">
        <v>55</v>
      </c>
      <c r="AD228" s="25" t="s">
        <v>118</v>
      </c>
      <c r="AE228" s="25" t="s">
        <v>97</v>
      </c>
      <c r="AF228" s="25" t="s">
        <v>98</v>
      </c>
      <c r="AG228" s="25" t="s">
        <v>55</v>
      </c>
      <c r="AH228" s="25" t="s">
        <v>55</v>
      </c>
      <c r="AI228" s="25" t="s">
        <v>55</v>
      </c>
      <c r="AJ228" s="25" t="s">
        <v>55</v>
      </c>
      <c r="AK228" s="25" t="s">
        <v>55</v>
      </c>
      <c r="AL228" s="25" t="s">
        <v>55</v>
      </c>
      <c r="AM228" s="25" t="s">
        <v>55</v>
      </c>
      <c r="AN228" s="25" t="s">
        <v>55</v>
      </c>
      <c r="AO228" s="25" t="s">
        <v>55</v>
      </c>
      <c r="AP228" s="25" t="s">
        <v>55</v>
      </c>
      <c r="AQ228" s="25" t="s">
        <v>55</v>
      </c>
      <c r="AR228" s="25" t="s">
        <v>55</v>
      </c>
      <c r="AS228" s="25" t="s">
        <v>55</v>
      </c>
      <c r="AT228" s="25" t="s">
        <v>55</v>
      </c>
      <c r="AU228" s="25" t="s">
        <v>55</v>
      </c>
      <c r="AV228" s="25" t="s">
        <v>55</v>
      </c>
      <c r="AW228" s="25" t="s">
        <v>55</v>
      </c>
      <c r="AX228" s="25" t="s">
        <v>55</v>
      </c>
      <c r="AY228" s="25" t="s">
        <v>1584</v>
      </c>
      <c r="AZ228" s="20">
        <f t="shared" si="9"/>
        <v>-40</v>
      </c>
      <c r="BA228" s="17" t="e">
        <f t="shared" si="10"/>
        <v>#N/A</v>
      </c>
      <c r="BB228" s="21" t="s">
        <v>335</v>
      </c>
    </row>
    <row r="229" spans="1:54" x14ac:dyDescent="0.35">
      <c r="A229" s="25" t="s">
        <v>1600</v>
      </c>
      <c r="B229" s="25" t="s">
        <v>347</v>
      </c>
      <c r="C229" s="25" t="s">
        <v>116</v>
      </c>
      <c r="D229" s="25" t="s">
        <v>465</v>
      </c>
      <c r="E229" s="25" t="s">
        <v>52</v>
      </c>
      <c r="F229" s="25" t="s">
        <v>1420</v>
      </c>
      <c r="G229" s="25" t="s">
        <v>54</v>
      </c>
      <c r="H229" s="25" t="s">
        <v>1716</v>
      </c>
      <c r="I229" s="25" t="s">
        <v>119</v>
      </c>
      <c r="J229" s="25" t="s">
        <v>242</v>
      </c>
      <c r="K229" s="25" t="s">
        <v>552</v>
      </c>
      <c r="L229" s="25" t="s">
        <v>55</v>
      </c>
      <c r="M229" s="25" t="s">
        <v>243</v>
      </c>
      <c r="N229" s="25" t="s">
        <v>55</v>
      </c>
      <c r="O229" s="25" t="s">
        <v>1593</v>
      </c>
      <c r="P229" s="25" t="s">
        <v>1601</v>
      </c>
      <c r="Q229" s="25" t="s">
        <v>1601</v>
      </c>
      <c r="R229" s="25" t="s">
        <v>55</v>
      </c>
      <c r="S229" s="25" t="s">
        <v>55</v>
      </c>
      <c r="T229" s="25" t="s">
        <v>1602</v>
      </c>
      <c r="U229" s="25" t="s">
        <v>63</v>
      </c>
      <c r="V229" s="26">
        <v>46022</v>
      </c>
      <c r="W229" s="25" t="s">
        <v>55</v>
      </c>
      <c r="X229" s="25" t="s">
        <v>1436</v>
      </c>
      <c r="Y229" s="25" t="s">
        <v>65</v>
      </c>
      <c r="Z229" s="25" t="s">
        <v>55</v>
      </c>
      <c r="AA229" s="25" t="s">
        <v>221</v>
      </c>
      <c r="AB229" s="25" t="s">
        <v>55</v>
      </c>
      <c r="AC229" s="25" t="s">
        <v>55</v>
      </c>
      <c r="AD229" s="25" t="s">
        <v>118</v>
      </c>
      <c r="AE229" s="25" t="s">
        <v>97</v>
      </c>
      <c r="AF229" s="25" t="s">
        <v>92</v>
      </c>
      <c r="AG229" s="25" t="s">
        <v>55</v>
      </c>
      <c r="AH229" s="25" t="s">
        <v>55</v>
      </c>
      <c r="AI229" s="25" t="s">
        <v>55</v>
      </c>
      <c r="AJ229" s="25" t="s">
        <v>55</v>
      </c>
      <c r="AK229" s="25" t="s">
        <v>55</v>
      </c>
      <c r="AL229" s="25" t="s">
        <v>55</v>
      </c>
      <c r="AM229" s="25" t="s">
        <v>55</v>
      </c>
      <c r="AN229" s="25" t="s">
        <v>55</v>
      </c>
      <c r="AO229" s="25" t="s">
        <v>55</v>
      </c>
      <c r="AP229" s="25" t="s">
        <v>55</v>
      </c>
      <c r="AQ229" s="25" t="s">
        <v>55</v>
      </c>
      <c r="AR229" s="25" t="s">
        <v>55</v>
      </c>
      <c r="AS229" s="25" t="s">
        <v>55</v>
      </c>
      <c r="AT229" s="25" t="s">
        <v>55</v>
      </c>
      <c r="AU229" s="25" t="s">
        <v>55</v>
      </c>
      <c r="AV229" s="25" t="s">
        <v>55</v>
      </c>
      <c r="AW229" s="25" t="s">
        <v>55</v>
      </c>
      <c r="AX229" s="25" t="s">
        <v>55</v>
      </c>
      <c r="AY229" s="25" t="s">
        <v>1584</v>
      </c>
      <c r="AZ229" s="20">
        <f t="shared" si="9"/>
        <v>-40</v>
      </c>
      <c r="BA229" s="17" t="e">
        <f t="shared" si="10"/>
        <v>#N/A</v>
      </c>
      <c r="BB229" s="21" t="s">
        <v>335</v>
      </c>
    </row>
    <row r="230" spans="1:54" x14ac:dyDescent="0.35">
      <c r="A230" s="25" t="s">
        <v>1603</v>
      </c>
      <c r="B230" s="25" t="s">
        <v>347</v>
      </c>
      <c r="C230" s="25" t="s">
        <v>116</v>
      </c>
      <c r="D230" s="25" t="s">
        <v>465</v>
      </c>
      <c r="E230" s="25" t="s">
        <v>52</v>
      </c>
      <c r="F230" s="25" t="s">
        <v>1604</v>
      </c>
      <c r="G230" s="25" t="s">
        <v>606</v>
      </c>
      <c r="H230" s="25" t="s">
        <v>607</v>
      </c>
      <c r="I230" s="25" t="s">
        <v>117</v>
      </c>
      <c r="J230" s="25" t="s">
        <v>842</v>
      </c>
      <c r="K230" s="25" t="s">
        <v>868</v>
      </c>
      <c r="L230" s="25" t="s">
        <v>55</v>
      </c>
      <c r="M230" s="25" t="s">
        <v>703</v>
      </c>
      <c r="N230" s="25" t="s">
        <v>55</v>
      </c>
      <c r="O230" s="25" t="s">
        <v>1605</v>
      </c>
      <c r="P230" s="25" t="s">
        <v>1606</v>
      </c>
      <c r="Q230" s="25" t="s">
        <v>1607</v>
      </c>
      <c r="R230" s="25" t="s">
        <v>55</v>
      </c>
      <c r="S230" s="25" t="s">
        <v>55</v>
      </c>
      <c r="T230" s="25" t="s">
        <v>1608</v>
      </c>
      <c r="U230" s="25" t="s">
        <v>63</v>
      </c>
      <c r="V230" s="26">
        <v>45991</v>
      </c>
      <c r="W230" s="25" t="s">
        <v>55</v>
      </c>
      <c r="X230" s="25" t="s">
        <v>1609</v>
      </c>
      <c r="Y230" s="25" t="s">
        <v>65</v>
      </c>
      <c r="Z230" s="25" t="s">
        <v>55</v>
      </c>
      <c r="AA230" s="25" t="s">
        <v>152</v>
      </c>
      <c r="AB230" s="25" t="s">
        <v>55</v>
      </c>
      <c r="AC230" s="25" t="s">
        <v>55</v>
      </c>
      <c r="AD230" s="25" t="s">
        <v>118</v>
      </c>
      <c r="AE230" s="25" t="s">
        <v>97</v>
      </c>
      <c r="AF230" s="25" t="s">
        <v>98</v>
      </c>
      <c r="AG230" s="25" t="s">
        <v>55</v>
      </c>
      <c r="AH230" s="25" t="s">
        <v>55</v>
      </c>
      <c r="AI230" s="25" t="s">
        <v>55</v>
      </c>
      <c r="AJ230" s="25" t="s">
        <v>55</v>
      </c>
      <c r="AK230" s="25" t="s">
        <v>55</v>
      </c>
      <c r="AL230" s="25" t="s">
        <v>55</v>
      </c>
      <c r="AM230" s="25" t="s">
        <v>55</v>
      </c>
      <c r="AN230" s="25" t="s">
        <v>55</v>
      </c>
      <c r="AO230" s="25" t="s">
        <v>55</v>
      </c>
      <c r="AP230" s="25" t="s">
        <v>55</v>
      </c>
      <c r="AQ230" s="25" t="s">
        <v>55</v>
      </c>
      <c r="AR230" s="25" t="s">
        <v>55</v>
      </c>
      <c r="AS230" s="25" t="s">
        <v>55</v>
      </c>
      <c r="AT230" s="25" t="s">
        <v>55</v>
      </c>
      <c r="AU230" s="25" t="s">
        <v>55</v>
      </c>
      <c r="AV230" s="25" t="s">
        <v>55</v>
      </c>
      <c r="AW230" s="25" t="s">
        <v>55</v>
      </c>
      <c r="AX230" s="25" t="s">
        <v>55</v>
      </c>
      <c r="AY230" s="25" t="s">
        <v>1584</v>
      </c>
      <c r="AZ230" s="20">
        <f t="shared" si="9"/>
        <v>-9</v>
      </c>
      <c r="BA230" s="17" t="e">
        <f t="shared" si="10"/>
        <v>#N/A</v>
      </c>
      <c r="BB230" s="21" t="s">
        <v>335</v>
      </c>
    </row>
    <row r="231" spans="1:54" x14ac:dyDescent="0.35">
      <c r="A231" s="25" t="s">
        <v>1610</v>
      </c>
      <c r="B231" s="25" t="s">
        <v>347</v>
      </c>
      <c r="C231" s="25" t="s">
        <v>116</v>
      </c>
      <c r="D231" s="25" t="s">
        <v>465</v>
      </c>
      <c r="E231" s="25" t="s">
        <v>52</v>
      </c>
      <c r="F231" s="25" t="s">
        <v>1611</v>
      </c>
      <c r="G231" s="25" t="s">
        <v>54</v>
      </c>
      <c r="H231" s="25" t="s">
        <v>1728</v>
      </c>
      <c r="I231" s="25" t="s">
        <v>803</v>
      </c>
      <c r="J231" s="25" t="s">
        <v>815</v>
      </c>
      <c r="K231" s="25" t="s">
        <v>584</v>
      </c>
      <c r="L231" s="25" t="s">
        <v>55</v>
      </c>
      <c r="M231" s="25" t="s">
        <v>816</v>
      </c>
      <c r="N231" s="25" t="s">
        <v>55</v>
      </c>
      <c r="O231" s="25" t="s">
        <v>1612</v>
      </c>
      <c r="P231" s="25" t="s">
        <v>1585</v>
      </c>
      <c r="Q231" s="25" t="s">
        <v>1613</v>
      </c>
      <c r="R231" s="25" t="s">
        <v>55</v>
      </c>
      <c r="S231" s="25" t="s">
        <v>55</v>
      </c>
      <c r="T231" s="25" t="s">
        <v>1614</v>
      </c>
      <c r="U231" s="25" t="s">
        <v>63</v>
      </c>
      <c r="V231" s="26">
        <v>46003</v>
      </c>
      <c r="W231" s="25" t="s">
        <v>55</v>
      </c>
      <c r="X231" s="25" t="s">
        <v>1615</v>
      </c>
      <c r="Y231" s="25" t="s">
        <v>65</v>
      </c>
      <c r="Z231" s="25" t="s">
        <v>55</v>
      </c>
      <c r="AA231" s="25" t="s">
        <v>152</v>
      </c>
      <c r="AB231" s="25" t="s">
        <v>55</v>
      </c>
      <c r="AC231" s="25" t="s">
        <v>55</v>
      </c>
      <c r="AD231" s="25" t="s">
        <v>118</v>
      </c>
      <c r="AE231" s="25" t="s">
        <v>97</v>
      </c>
      <c r="AF231" s="25" t="s">
        <v>69</v>
      </c>
      <c r="AG231" s="25" t="s">
        <v>55</v>
      </c>
      <c r="AH231" s="25" t="s">
        <v>55</v>
      </c>
      <c r="AI231" s="25" t="s">
        <v>55</v>
      </c>
      <c r="AJ231" s="25" t="s">
        <v>55</v>
      </c>
      <c r="AK231" s="25" t="s">
        <v>55</v>
      </c>
      <c r="AL231" s="25" t="s">
        <v>55</v>
      </c>
      <c r="AM231" s="25" t="s">
        <v>55</v>
      </c>
      <c r="AN231" s="25" t="s">
        <v>55</v>
      </c>
      <c r="AO231" s="25" t="s">
        <v>55</v>
      </c>
      <c r="AP231" s="25" t="s">
        <v>55</v>
      </c>
      <c r="AQ231" s="25" t="s">
        <v>55</v>
      </c>
      <c r="AR231" s="25" t="s">
        <v>55</v>
      </c>
      <c r="AS231" s="25" t="s">
        <v>55</v>
      </c>
      <c r="AT231" s="25" t="s">
        <v>55</v>
      </c>
      <c r="AU231" s="25" t="s">
        <v>55</v>
      </c>
      <c r="AV231" s="25" t="s">
        <v>55</v>
      </c>
      <c r="AW231" s="25" t="s">
        <v>55</v>
      </c>
      <c r="AX231" s="25" t="s">
        <v>55</v>
      </c>
      <c r="AY231" s="25" t="s">
        <v>1584</v>
      </c>
      <c r="AZ231" s="20">
        <f t="shared" si="9"/>
        <v>-21</v>
      </c>
      <c r="BA231" s="17" t="e">
        <f t="shared" si="10"/>
        <v>#N/A</v>
      </c>
      <c r="BB231" s="21" t="s">
        <v>335</v>
      </c>
    </row>
    <row r="232" spans="1:54" x14ac:dyDescent="0.35">
      <c r="A232" s="25" t="s">
        <v>1616</v>
      </c>
      <c r="B232" s="25" t="s">
        <v>347</v>
      </c>
      <c r="C232" s="25" t="s">
        <v>116</v>
      </c>
      <c r="D232" s="25" t="s">
        <v>465</v>
      </c>
      <c r="E232" s="25" t="s">
        <v>52</v>
      </c>
      <c r="F232" s="25" t="s">
        <v>1611</v>
      </c>
      <c r="G232" s="25" t="s">
        <v>54</v>
      </c>
      <c r="H232" s="25" t="s">
        <v>1728</v>
      </c>
      <c r="I232" s="25" t="s">
        <v>160</v>
      </c>
      <c r="J232" s="25" t="s">
        <v>857</v>
      </c>
      <c r="K232" s="25" t="s">
        <v>594</v>
      </c>
      <c r="L232" s="25" t="s">
        <v>55</v>
      </c>
      <c r="M232" s="25" t="s">
        <v>1328</v>
      </c>
      <c r="N232" s="25" t="s">
        <v>55</v>
      </c>
      <c r="O232" s="25" t="s">
        <v>1612</v>
      </c>
      <c r="P232" s="25" t="s">
        <v>1617</v>
      </c>
      <c r="Q232" s="25" t="s">
        <v>1618</v>
      </c>
      <c r="R232" s="25" t="s">
        <v>55</v>
      </c>
      <c r="S232" s="25" t="s">
        <v>55</v>
      </c>
      <c r="T232" s="25" t="s">
        <v>1619</v>
      </c>
      <c r="U232" s="25" t="s">
        <v>63</v>
      </c>
      <c r="V232" s="26">
        <v>45975</v>
      </c>
      <c r="W232" s="25" t="s">
        <v>55</v>
      </c>
      <c r="X232" s="25" t="s">
        <v>1615</v>
      </c>
      <c r="Y232" s="25" t="s">
        <v>65</v>
      </c>
      <c r="Z232" s="25" t="s">
        <v>55</v>
      </c>
      <c r="AA232" s="25" t="s">
        <v>66</v>
      </c>
      <c r="AB232" s="25" t="s">
        <v>55</v>
      </c>
      <c r="AC232" s="25" t="s">
        <v>55</v>
      </c>
      <c r="AD232" s="25" t="s">
        <v>118</v>
      </c>
      <c r="AE232" s="25" t="s">
        <v>97</v>
      </c>
      <c r="AF232" s="25" t="s">
        <v>779</v>
      </c>
      <c r="AG232" s="25" t="s">
        <v>55</v>
      </c>
      <c r="AH232" s="25" t="s">
        <v>55</v>
      </c>
      <c r="AI232" s="25" t="s">
        <v>55</v>
      </c>
      <c r="AJ232" s="25" t="s">
        <v>55</v>
      </c>
      <c r="AK232" s="25" t="s">
        <v>55</v>
      </c>
      <c r="AL232" s="25" t="s">
        <v>55</v>
      </c>
      <c r="AM232" s="25" t="s">
        <v>55</v>
      </c>
      <c r="AN232" s="25" t="s">
        <v>55</v>
      </c>
      <c r="AO232" s="25" t="s">
        <v>55</v>
      </c>
      <c r="AP232" s="25" t="s">
        <v>55</v>
      </c>
      <c r="AQ232" s="25" t="s">
        <v>55</v>
      </c>
      <c r="AR232" s="25" t="s">
        <v>55</v>
      </c>
      <c r="AS232" s="25" t="s">
        <v>55</v>
      </c>
      <c r="AT232" s="25" t="s">
        <v>55</v>
      </c>
      <c r="AU232" s="25" t="s">
        <v>55</v>
      </c>
      <c r="AV232" s="25" t="s">
        <v>55</v>
      </c>
      <c r="AW232" s="25" t="s">
        <v>55</v>
      </c>
      <c r="AX232" s="25" t="s">
        <v>55</v>
      </c>
      <c r="AY232" s="25" t="s">
        <v>1584</v>
      </c>
      <c r="AZ232" s="20">
        <f t="shared" si="9"/>
        <v>7</v>
      </c>
      <c r="BA232" s="17" t="str">
        <f t="shared" si="10"/>
        <v>&lt; 3 months</v>
      </c>
      <c r="BB232" s="21" t="s">
        <v>66</v>
      </c>
    </row>
    <row r="233" spans="1:54" x14ac:dyDescent="0.35">
      <c r="A233" s="25" t="s">
        <v>1620</v>
      </c>
      <c r="B233" s="25" t="s">
        <v>347</v>
      </c>
      <c r="C233" s="25" t="s">
        <v>116</v>
      </c>
      <c r="D233" s="25" t="s">
        <v>465</v>
      </c>
      <c r="E233" s="25" t="s">
        <v>52</v>
      </c>
      <c r="F233" s="25" t="s">
        <v>1611</v>
      </c>
      <c r="G233" s="25" t="s">
        <v>54</v>
      </c>
      <c r="H233" s="25" t="s">
        <v>1728</v>
      </c>
      <c r="I233" s="25" t="s">
        <v>160</v>
      </c>
      <c r="J233" s="25" t="s">
        <v>857</v>
      </c>
      <c r="K233" s="25" t="s">
        <v>594</v>
      </c>
      <c r="L233" s="25" t="s">
        <v>55</v>
      </c>
      <c r="M233" s="25" t="s">
        <v>161</v>
      </c>
      <c r="N233" s="25" t="s">
        <v>55</v>
      </c>
      <c r="O233" s="25" t="s">
        <v>1612</v>
      </c>
      <c r="P233" s="25" t="s">
        <v>1617</v>
      </c>
      <c r="Q233" s="25" t="s">
        <v>1618</v>
      </c>
      <c r="R233" s="25" t="s">
        <v>55</v>
      </c>
      <c r="S233" s="25" t="s">
        <v>55</v>
      </c>
      <c r="T233" s="25" t="s">
        <v>1619</v>
      </c>
      <c r="U233" s="25" t="s">
        <v>63</v>
      </c>
      <c r="V233" s="26">
        <v>45975</v>
      </c>
      <c r="W233" s="25" t="s">
        <v>55</v>
      </c>
      <c r="X233" s="25" t="s">
        <v>1615</v>
      </c>
      <c r="Y233" s="25" t="s">
        <v>65</v>
      </c>
      <c r="Z233" s="25" t="s">
        <v>55</v>
      </c>
      <c r="AA233" s="25" t="s">
        <v>66</v>
      </c>
      <c r="AB233" s="25" t="s">
        <v>55</v>
      </c>
      <c r="AC233" s="25" t="s">
        <v>55</v>
      </c>
      <c r="AD233" s="25" t="s">
        <v>118</v>
      </c>
      <c r="AE233" s="25" t="s">
        <v>97</v>
      </c>
      <c r="AF233" s="25" t="s">
        <v>69</v>
      </c>
      <c r="AG233" s="25" t="s">
        <v>55</v>
      </c>
      <c r="AH233" s="25" t="s">
        <v>55</v>
      </c>
      <c r="AI233" s="25" t="s">
        <v>55</v>
      </c>
      <c r="AJ233" s="25" t="s">
        <v>55</v>
      </c>
      <c r="AK233" s="25" t="s">
        <v>55</v>
      </c>
      <c r="AL233" s="25" t="s">
        <v>55</v>
      </c>
      <c r="AM233" s="25" t="s">
        <v>55</v>
      </c>
      <c r="AN233" s="25" t="s">
        <v>55</v>
      </c>
      <c r="AO233" s="25" t="s">
        <v>55</v>
      </c>
      <c r="AP233" s="25" t="s">
        <v>55</v>
      </c>
      <c r="AQ233" s="25" t="s">
        <v>55</v>
      </c>
      <c r="AR233" s="25" t="s">
        <v>55</v>
      </c>
      <c r="AS233" s="25" t="s">
        <v>55</v>
      </c>
      <c r="AT233" s="25" t="s">
        <v>55</v>
      </c>
      <c r="AU233" s="25" t="s">
        <v>55</v>
      </c>
      <c r="AV233" s="25" t="s">
        <v>55</v>
      </c>
      <c r="AW233" s="25" t="s">
        <v>55</v>
      </c>
      <c r="AX233" s="25" t="s">
        <v>55</v>
      </c>
      <c r="AY233" s="25" t="s">
        <v>1584</v>
      </c>
      <c r="AZ233" s="20">
        <f t="shared" si="9"/>
        <v>7</v>
      </c>
      <c r="BA233" s="17" t="str">
        <f t="shared" si="10"/>
        <v>&lt; 3 months</v>
      </c>
      <c r="BB233" s="21" t="s">
        <v>66</v>
      </c>
    </row>
    <row r="234" spans="1:54" x14ac:dyDescent="0.35">
      <c r="A234" s="25" t="s">
        <v>1621</v>
      </c>
      <c r="B234" s="25" t="s">
        <v>347</v>
      </c>
      <c r="C234" s="25" t="s">
        <v>116</v>
      </c>
      <c r="D234" s="25" t="s">
        <v>465</v>
      </c>
      <c r="E234" s="25" t="s">
        <v>52</v>
      </c>
      <c r="F234" s="25" t="s">
        <v>1611</v>
      </c>
      <c r="G234" s="25" t="s">
        <v>54</v>
      </c>
      <c r="H234" s="25" t="s">
        <v>1728</v>
      </c>
      <c r="I234" s="25" t="s">
        <v>526</v>
      </c>
      <c r="J234" s="25" t="s">
        <v>822</v>
      </c>
      <c r="K234" s="25" t="s">
        <v>594</v>
      </c>
      <c r="L234" s="25" t="s">
        <v>55</v>
      </c>
      <c r="M234" s="25" t="s">
        <v>252</v>
      </c>
      <c r="N234" s="25" t="s">
        <v>55</v>
      </c>
      <c r="O234" s="25" t="s">
        <v>1612</v>
      </c>
      <c r="P234" s="25" t="s">
        <v>1617</v>
      </c>
      <c r="Q234" s="25" t="s">
        <v>1618</v>
      </c>
      <c r="R234" s="25" t="s">
        <v>55</v>
      </c>
      <c r="S234" s="25" t="s">
        <v>55</v>
      </c>
      <c r="T234" s="25" t="s">
        <v>1619</v>
      </c>
      <c r="U234" s="25" t="s">
        <v>63</v>
      </c>
      <c r="V234" s="26">
        <v>45975</v>
      </c>
      <c r="W234" s="25" t="s">
        <v>55</v>
      </c>
      <c r="X234" s="25" t="s">
        <v>1615</v>
      </c>
      <c r="Y234" s="25" t="s">
        <v>65</v>
      </c>
      <c r="Z234" s="25" t="s">
        <v>55</v>
      </c>
      <c r="AA234" s="25" t="s">
        <v>66</v>
      </c>
      <c r="AB234" s="25" t="s">
        <v>55</v>
      </c>
      <c r="AC234" s="25" t="s">
        <v>55</v>
      </c>
      <c r="AD234" s="25" t="s">
        <v>118</v>
      </c>
      <c r="AE234" s="25" t="s">
        <v>97</v>
      </c>
      <c r="AF234" s="25" t="s">
        <v>98</v>
      </c>
      <c r="AG234" s="25" t="s">
        <v>55</v>
      </c>
      <c r="AH234" s="25" t="s">
        <v>55</v>
      </c>
      <c r="AI234" s="25" t="s">
        <v>55</v>
      </c>
      <c r="AJ234" s="25" t="s">
        <v>55</v>
      </c>
      <c r="AK234" s="25" t="s">
        <v>55</v>
      </c>
      <c r="AL234" s="25" t="s">
        <v>55</v>
      </c>
      <c r="AM234" s="25" t="s">
        <v>55</v>
      </c>
      <c r="AN234" s="25" t="s">
        <v>55</v>
      </c>
      <c r="AO234" s="25" t="s">
        <v>55</v>
      </c>
      <c r="AP234" s="25" t="s">
        <v>55</v>
      </c>
      <c r="AQ234" s="25" t="s">
        <v>55</v>
      </c>
      <c r="AR234" s="25" t="s">
        <v>55</v>
      </c>
      <c r="AS234" s="25" t="s">
        <v>55</v>
      </c>
      <c r="AT234" s="25" t="s">
        <v>55</v>
      </c>
      <c r="AU234" s="25" t="s">
        <v>55</v>
      </c>
      <c r="AV234" s="25" t="s">
        <v>55</v>
      </c>
      <c r="AW234" s="25" t="s">
        <v>55</v>
      </c>
      <c r="AX234" s="25" t="s">
        <v>55</v>
      </c>
      <c r="AY234" s="25" t="s">
        <v>1584</v>
      </c>
      <c r="AZ234" s="20">
        <f t="shared" si="9"/>
        <v>7</v>
      </c>
      <c r="BA234" s="17" t="str">
        <f t="shared" si="10"/>
        <v>&lt; 3 months</v>
      </c>
      <c r="BB234" s="21" t="s">
        <v>66</v>
      </c>
    </row>
    <row r="235" spans="1:54" x14ac:dyDescent="0.35">
      <c r="A235" s="25" t="s">
        <v>1622</v>
      </c>
      <c r="B235" s="25" t="s">
        <v>347</v>
      </c>
      <c r="C235" s="25" t="s">
        <v>116</v>
      </c>
      <c r="D235" s="25" t="s">
        <v>465</v>
      </c>
      <c r="E235" s="25" t="s">
        <v>52</v>
      </c>
      <c r="F235" s="25" t="s">
        <v>1611</v>
      </c>
      <c r="G235" s="25" t="s">
        <v>54</v>
      </c>
      <c r="H235" s="25" t="s">
        <v>1728</v>
      </c>
      <c r="I235" s="25" t="s">
        <v>526</v>
      </c>
      <c r="J235" s="25" t="s">
        <v>993</v>
      </c>
      <c r="K235" s="25" t="s">
        <v>594</v>
      </c>
      <c r="L235" s="25" t="s">
        <v>55</v>
      </c>
      <c r="M235" s="25" t="s">
        <v>58</v>
      </c>
      <c r="N235" s="25" t="s">
        <v>55</v>
      </c>
      <c r="O235" s="25" t="s">
        <v>1612</v>
      </c>
      <c r="P235" s="25" t="s">
        <v>1617</v>
      </c>
      <c r="Q235" s="25" t="s">
        <v>1618</v>
      </c>
      <c r="R235" s="25" t="s">
        <v>55</v>
      </c>
      <c r="S235" s="25" t="s">
        <v>55</v>
      </c>
      <c r="T235" s="25" t="s">
        <v>1619</v>
      </c>
      <c r="U235" s="25" t="s">
        <v>63</v>
      </c>
      <c r="V235" s="26">
        <v>45975</v>
      </c>
      <c r="W235" s="25" t="s">
        <v>55</v>
      </c>
      <c r="X235" s="25" t="s">
        <v>1615</v>
      </c>
      <c r="Y235" s="25" t="s">
        <v>65</v>
      </c>
      <c r="Z235" s="25" t="s">
        <v>55</v>
      </c>
      <c r="AA235" s="25" t="s">
        <v>66</v>
      </c>
      <c r="AB235" s="25" t="s">
        <v>55</v>
      </c>
      <c r="AC235" s="25" t="s">
        <v>55</v>
      </c>
      <c r="AD235" s="25" t="s">
        <v>118</v>
      </c>
      <c r="AE235" s="25" t="s">
        <v>97</v>
      </c>
      <c r="AF235" s="25" t="s">
        <v>69</v>
      </c>
      <c r="AG235" s="25" t="s">
        <v>55</v>
      </c>
      <c r="AH235" s="25" t="s">
        <v>55</v>
      </c>
      <c r="AI235" s="25" t="s">
        <v>55</v>
      </c>
      <c r="AJ235" s="25" t="s">
        <v>55</v>
      </c>
      <c r="AK235" s="25" t="s">
        <v>55</v>
      </c>
      <c r="AL235" s="25" t="s">
        <v>55</v>
      </c>
      <c r="AM235" s="25" t="s">
        <v>55</v>
      </c>
      <c r="AN235" s="25" t="s">
        <v>55</v>
      </c>
      <c r="AO235" s="25" t="s">
        <v>55</v>
      </c>
      <c r="AP235" s="25" t="s">
        <v>55</v>
      </c>
      <c r="AQ235" s="25" t="s">
        <v>55</v>
      </c>
      <c r="AR235" s="25" t="s">
        <v>55</v>
      </c>
      <c r="AS235" s="25" t="s">
        <v>55</v>
      </c>
      <c r="AT235" s="25" t="s">
        <v>55</v>
      </c>
      <c r="AU235" s="25" t="s">
        <v>55</v>
      </c>
      <c r="AV235" s="25" t="s">
        <v>55</v>
      </c>
      <c r="AW235" s="25" t="s">
        <v>55</v>
      </c>
      <c r="AX235" s="25" t="s">
        <v>55</v>
      </c>
      <c r="AY235" s="25" t="s">
        <v>1584</v>
      </c>
      <c r="AZ235" s="20">
        <f t="shared" si="9"/>
        <v>7</v>
      </c>
      <c r="BA235" s="17" t="str">
        <f t="shared" si="10"/>
        <v>&lt; 3 months</v>
      </c>
      <c r="BB235" s="21" t="s">
        <v>66</v>
      </c>
    </row>
    <row r="236" spans="1:54" x14ac:dyDescent="0.35">
      <c r="A236" s="25" t="s">
        <v>1623</v>
      </c>
      <c r="B236" s="25" t="s">
        <v>347</v>
      </c>
      <c r="C236" s="25" t="s">
        <v>116</v>
      </c>
      <c r="D236" s="25" t="s">
        <v>465</v>
      </c>
      <c r="E236" s="25" t="s">
        <v>52</v>
      </c>
      <c r="F236" s="25" t="s">
        <v>1128</v>
      </c>
      <c r="G236" s="25" t="s">
        <v>606</v>
      </c>
      <c r="H236" s="25" t="s">
        <v>607</v>
      </c>
      <c r="I236" s="25" t="s">
        <v>803</v>
      </c>
      <c r="J236" s="25" t="s">
        <v>812</v>
      </c>
      <c r="K236" s="25" t="s">
        <v>868</v>
      </c>
      <c r="L236" s="25" t="s">
        <v>55</v>
      </c>
      <c r="M236" s="25" t="s">
        <v>813</v>
      </c>
      <c r="N236" s="25" t="s">
        <v>55</v>
      </c>
      <c r="O236" s="25" t="s">
        <v>1624</v>
      </c>
      <c r="P236" s="25" t="s">
        <v>1625</v>
      </c>
      <c r="Q236" s="25" t="s">
        <v>1626</v>
      </c>
      <c r="R236" s="25" t="s">
        <v>55</v>
      </c>
      <c r="S236" s="25" t="s">
        <v>55</v>
      </c>
      <c r="T236" s="25" t="s">
        <v>1627</v>
      </c>
      <c r="U236" s="25" t="s">
        <v>63</v>
      </c>
      <c r="V236" s="26">
        <v>46022</v>
      </c>
      <c r="W236" s="25" t="s">
        <v>55</v>
      </c>
      <c r="X236" s="25" t="s">
        <v>1628</v>
      </c>
      <c r="Y236" s="25" t="s">
        <v>65</v>
      </c>
      <c r="Z236" s="25" t="s">
        <v>55</v>
      </c>
      <c r="AA236" s="25" t="s">
        <v>221</v>
      </c>
      <c r="AB236" s="25" t="s">
        <v>55</v>
      </c>
      <c r="AC236" s="25" t="s">
        <v>55</v>
      </c>
      <c r="AD236" s="25" t="s">
        <v>118</v>
      </c>
      <c r="AE236" s="25" t="s">
        <v>97</v>
      </c>
      <c r="AF236" s="25" t="s">
        <v>814</v>
      </c>
      <c r="AG236" s="25" t="s">
        <v>55</v>
      </c>
      <c r="AH236" s="25" t="s">
        <v>55</v>
      </c>
      <c r="AI236" s="25" t="s">
        <v>55</v>
      </c>
      <c r="AJ236" s="25" t="s">
        <v>55</v>
      </c>
      <c r="AK236" s="25" t="s">
        <v>55</v>
      </c>
      <c r="AL236" s="25" t="s">
        <v>55</v>
      </c>
      <c r="AM236" s="25" t="s">
        <v>55</v>
      </c>
      <c r="AN236" s="25" t="s">
        <v>55</v>
      </c>
      <c r="AO236" s="25" t="s">
        <v>55</v>
      </c>
      <c r="AP236" s="25" t="s">
        <v>55</v>
      </c>
      <c r="AQ236" s="25" t="s">
        <v>55</v>
      </c>
      <c r="AR236" s="25" t="s">
        <v>55</v>
      </c>
      <c r="AS236" s="25" t="s">
        <v>55</v>
      </c>
      <c r="AT236" s="25" t="s">
        <v>55</v>
      </c>
      <c r="AU236" s="25" t="s">
        <v>55</v>
      </c>
      <c r="AV236" s="25" t="s">
        <v>55</v>
      </c>
      <c r="AW236" s="25" t="s">
        <v>55</v>
      </c>
      <c r="AX236" s="25" t="s">
        <v>55</v>
      </c>
      <c r="AY236" s="25" t="s">
        <v>1584</v>
      </c>
      <c r="AZ236" s="20">
        <f t="shared" si="9"/>
        <v>-40</v>
      </c>
      <c r="BA236" s="17" t="e">
        <f t="shared" si="10"/>
        <v>#N/A</v>
      </c>
      <c r="BB236" s="21" t="s">
        <v>335</v>
      </c>
    </row>
    <row r="237" spans="1:54" x14ac:dyDescent="0.35">
      <c r="A237" s="25" t="s">
        <v>1629</v>
      </c>
      <c r="B237" s="25" t="s">
        <v>347</v>
      </c>
      <c r="C237" s="25" t="s">
        <v>116</v>
      </c>
      <c r="D237" s="25" t="s">
        <v>465</v>
      </c>
      <c r="E237" s="25" t="s">
        <v>52</v>
      </c>
      <c r="F237" s="25" t="s">
        <v>1128</v>
      </c>
      <c r="G237" s="25" t="s">
        <v>606</v>
      </c>
      <c r="H237" s="25" t="s">
        <v>607</v>
      </c>
      <c r="I237" s="25" t="s">
        <v>803</v>
      </c>
      <c r="J237" s="25" t="s">
        <v>812</v>
      </c>
      <c r="K237" s="25" t="s">
        <v>868</v>
      </c>
      <c r="L237" s="25" t="s">
        <v>55</v>
      </c>
      <c r="M237" s="25" t="s">
        <v>476</v>
      </c>
      <c r="N237" s="25" t="s">
        <v>55</v>
      </c>
      <c r="O237" s="25" t="s">
        <v>1624</v>
      </c>
      <c r="P237" s="25" t="s">
        <v>1630</v>
      </c>
      <c r="Q237" s="25" t="s">
        <v>1631</v>
      </c>
      <c r="R237" s="25" t="s">
        <v>55</v>
      </c>
      <c r="S237" s="25" t="s">
        <v>55</v>
      </c>
      <c r="T237" s="25" t="s">
        <v>1627</v>
      </c>
      <c r="U237" s="25" t="s">
        <v>63</v>
      </c>
      <c r="V237" s="26">
        <v>46022</v>
      </c>
      <c r="W237" s="25" t="s">
        <v>55</v>
      </c>
      <c r="X237" s="25" t="s">
        <v>1628</v>
      </c>
      <c r="Y237" s="25" t="s">
        <v>65</v>
      </c>
      <c r="Z237" s="25" t="s">
        <v>55</v>
      </c>
      <c r="AA237" s="25" t="s">
        <v>221</v>
      </c>
      <c r="AB237" s="25" t="s">
        <v>55</v>
      </c>
      <c r="AC237" s="25" t="s">
        <v>55</v>
      </c>
      <c r="AD237" s="25" t="s">
        <v>118</v>
      </c>
      <c r="AE237" s="25" t="s">
        <v>97</v>
      </c>
      <c r="AF237" s="25" t="s">
        <v>477</v>
      </c>
      <c r="AG237" s="25" t="s">
        <v>55</v>
      </c>
      <c r="AH237" s="25" t="s">
        <v>55</v>
      </c>
      <c r="AI237" s="25" t="s">
        <v>55</v>
      </c>
      <c r="AJ237" s="25" t="s">
        <v>55</v>
      </c>
      <c r="AK237" s="25" t="s">
        <v>55</v>
      </c>
      <c r="AL237" s="25" t="s">
        <v>55</v>
      </c>
      <c r="AM237" s="25" t="s">
        <v>55</v>
      </c>
      <c r="AN237" s="25" t="s">
        <v>55</v>
      </c>
      <c r="AO237" s="25" t="s">
        <v>55</v>
      </c>
      <c r="AP237" s="25" t="s">
        <v>55</v>
      </c>
      <c r="AQ237" s="25" t="s">
        <v>55</v>
      </c>
      <c r="AR237" s="25" t="s">
        <v>55</v>
      </c>
      <c r="AS237" s="25" t="s">
        <v>55</v>
      </c>
      <c r="AT237" s="25" t="s">
        <v>55</v>
      </c>
      <c r="AU237" s="25" t="s">
        <v>55</v>
      </c>
      <c r="AV237" s="25" t="s">
        <v>55</v>
      </c>
      <c r="AW237" s="25" t="s">
        <v>55</v>
      </c>
      <c r="AX237" s="25" t="s">
        <v>55</v>
      </c>
      <c r="AY237" s="25" t="s">
        <v>1584</v>
      </c>
      <c r="AZ237" s="20">
        <f t="shared" si="9"/>
        <v>-40</v>
      </c>
      <c r="BA237" s="17" t="e">
        <f t="shared" si="10"/>
        <v>#N/A</v>
      </c>
      <c r="BB237" s="21" t="s">
        <v>335</v>
      </c>
    </row>
    <row r="238" spans="1:54" x14ac:dyDescent="0.35">
      <c r="A238" s="25" t="s">
        <v>1632</v>
      </c>
      <c r="B238" s="25" t="s">
        <v>347</v>
      </c>
      <c r="C238" s="25" t="s">
        <v>116</v>
      </c>
      <c r="D238" s="25" t="s">
        <v>465</v>
      </c>
      <c r="E238" s="25" t="s">
        <v>52</v>
      </c>
      <c r="F238" s="25" t="s">
        <v>1128</v>
      </c>
      <c r="G238" s="25" t="s">
        <v>606</v>
      </c>
      <c r="H238" s="25" t="s">
        <v>607</v>
      </c>
      <c r="I238" s="25" t="s">
        <v>803</v>
      </c>
      <c r="J238" s="25" t="s">
        <v>815</v>
      </c>
      <c r="K238" s="25" t="s">
        <v>868</v>
      </c>
      <c r="L238" s="25" t="s">
        <v>55</v>
      </c>
      <c r="M238" s="25" t="s">
        <v>816</v>
      </c>
      <c r="N238" s="25" t="s">
        <v>55</v>
      </c>
      <c r="O238" s="25" t="s">
        <v>1624</v>
      </c>
      <c r="P238" s="25" t="s">
        <v>1633</v>
      </c>
      <c r="Q238" s="25" t="s">
        <v>1634</v>
      </c>
      <c r="R238" s="25" t="s">
        <v>55</v>
      </c>
      <c r="S238" s="25" t="s">
        <v>55</v>
      </c>
      <c r="T238" s="25" t="s">
        <v>1627</v>
      </c>
      <c r="U238" s="25" t="s">
        <v>63</v>
      </c>
      <c r="V238" s="26">
        <v>46022</v>
      </c>
      <c r="W238" s="25" t="s">
        <v>55</v>
      </c>
      <c r="X238" s="25" t="s">
        <v>1628</v>
      </c>
      <c r="Y238" s="25" t="s">
        <v>65</v>
      </c>
      <c r="Z238" s="25" t="s">
        <v>55</v>
      </c>
      <c r="AA238" s="25" t="s">
        <v>221</v>
      </c>
      <c r="AB238" s="25" t="s">
        <v>55</v>
      </c>
      <c r="AC238" s="25" t="s">
        <v>55</v>
      </c>
      <c r="AD238" s="25" t="s">
        <v>118</v>
      </c>
      <c r="AE238" s="25" t="s">
        <v>97</v>
      </c>
      <c r="AF238" s="25" t="s">
        <v>69</v>
      </c>
      <c r="AG238" s="25" t="s">
        <v>55</v>
      </c>
      <c r="AH238" s="25" t="s">
        <v>55</v>
      </c>
      <c r="AI238" s="25" t="s">
        <v>55</v>
      </c>
      <c r="AJ238" s="25" t="s">
        <v>55</v>
      </c>
      <c r="AK238" s="25" t="s">
        <v>55</v>
      </c>
      <c r="AL238" s="25" t="s">
        <v>55</v>
      </c>
      <c r="AM238" s="25" t="s">
        <v>55</v>
      </c>
      <c r="AN238" s="25" t="s">
        <v>55</v>
      </c>
      <c r="AO238" s="25" t="s">
        <v>55</v>
      </c>
      <c r="AP238" s="25" t="s">
        <v>55</v>
      </c>
      <c r="AQ238" s="25" t="s">
        <v>55</v>
      </c>
      <c r="AR238" s="25" t="s">
        <v>55</v>
      </c>
      <c r="AS238" s="25" t="s">
        <v>55</v>
      </c>
      <c r="AT238" s="25" t="s">
        <v>55</v>
      </c>
      <c r="AU238" s="25" t="s">
        <v>55</v>
      </c>
      <c r="AV238" s="25" t="s">
        <v>55</v>
      </c>
      <c r="AW238" s="25" t="s">
        <v>55</v>
      </c>
      <c r="AX238" s="25" t="s">
        <v>55</v>
      </c>
      <c r="AY238" s="25" t="s">
        <v>1584</v>
      </c>
      <c r="AZ238" s="20">
        <f t="shared" si="9"/>
        <v>-40</v>
      </c>
      <c r="BA238" s="17" t="e">
        <f t="shared" si="10"/>
        <v>#N/A</v>
      </c>
      <c r="BB238" s="21" t="s">
        <v>335</v>
      </c>
    </row>
    <row r="239" spans="1:54" x14ac:dyDescent="0.35">
      <c r="A239" s="25" t="s">
        <v>1635</v>
      </c>
      <c r="B239" s="25" t="s">
        <v>347</v>
      </c>
      <c r="C239" s="25" t="s">
        <v>116</v>
      </c>
      <c r="D239" s="25" t="s">
        <v>465</v>
      </c>
      <c r="E239" s="25" t="s">
        <v>52</v>
      </c>
      <c r="F239" s="25" t="s">
        <v>1128</v>
      </c>
      <c r="G239" s="25" t="s">
        <v>606</v>
      </c>
      <c r="H239" s="25" t="s">
        <v>607</v>
      </c>
      <c r="I239" s="25" t="s">
        <v>117</v>
      </c>
      <c r="J239" s="25" t="s">
        <v>819</v>
      </c>
      <c r="K239" s="25" t="s">
        <v>584</v>
      </c>
      <c r="L239" s="25" t="s">
        <v>55</v>
      </c>
      <c r="M239" s="25" t="s">
        <v>1006</v>
      </c>
      <c r="N239" s="25" t="s">
        <v>55</v>
      </c>
      <c r="O239" s="25" t="s">
        <v>1624</v>
      </c>
      <c r="P239" s="25" t="s">
        <v>1585</v>
      </c>
      <c r="Q239" s="25" t="s">
        <v>1636</v>
      </c>
      <c r="R239" s="25" t="s">
        <v>55</v>
      </c>
      <c r="S239" s="25" t="s">
        <v>55</v>
      </c>
      <c r="T239" s="25" t="s">
        <v>1637</v>
      </c>
      <c r="U239" s="25" t="s">
        <v>63</v>
      </c>
      <c r="V239" s="26">
        <v>46053</v>
      </c>
      <c r="W239" s="25" t="s">
        <v>55</v>
      </c>
      <c r="X239" s="25" t="s">
        <v>1638</v>
      </c>
      <c r="Y239" s="25" t="s">
        <v>65</v>
      </c>
      <c r="Z239" s="25" t="s">
        <v>55</v>
      </c>
      <c r="AA239" s="25" t="s">
        <v>155</v>
      </c>
      <c r="AB239" s="25" t="s">
        <v>55</v>
      </c>
      <c r="AC239" s="25" t="s">
        <v>55</v>
      </c>
      <c r="AD239" s="25" t="s">
        <v>118</v>
      </c>
      <c r="AE239" s="25" t="s">
        <v>97</v>
      </c>
      <c r="AF239" s="25" t="s">
        <v>583</v>
      </c>
      <c r="AG239" s="25" t="s">
        <v>55</v>
      </c>
      <c r="AH239" s="25" t="s">
        <v>55</v>
      </c>
      <c r="AI239" s="25" t="s">
        <v>55</v>
      </c>
      <c r="AJ239" s="25" t="s">
        <v>55</v>
      </c>
      <c r="AK239" s="25" t="s">
        <v>55</v>
      </c>
      <c r="AL239" s="25" t="s">
        <v>55</v>
      </c>
      <c r="AM239" s="25" t="s">
        <v>55</v>
      </c>
      <c r="AN239" s="25" t="s">
        <v>55</v>
      </c>
      <c r="AO239" s="25" t="s">
        <v>55</v>
      </c>
      <c r="AP239" s="25" t="s">
        <v>55</v>
      </c>
      <c r="AQ239" s="25" t="s">
        <v>55</v>
      </c>
      <c r="AR239" s="25" t="s">
        <v>55</v>
      </c>
      <c r="AS239" s="25" t="s">
        <v>55</v>
      </c>
      <c r="AT239" s="25" t="s">
        <v>55</v>
      </c>
      <c r="AU239" s="25" t="s">
        <v>55</v>
      </c>
      <c r="AV239" s="25" t="s">
        <v>55</v>
      </c>
      <c r="AW239" s="25" t="s">
        <v>55</v>
      </c>
      <c r="AX239" s="25" t="s">
        <v>55</v>
      </c>
      <c r="AY239" s="25" t="s">
        <v>1584</v>
      </c>
      <c r="AZ239" s="20">
        <f t="shared" si="9"/>
        <v>-71</v>
      </c>
      <c r="BA239" s="17" t="e">
        <f t="shared" si="10"/>
        <v>#N/A</v>
      </c>
      <c r="BB239" s="21" t="s">
        <v>335</v>
      </c>
    </row>
    <row r="240" spans="1:54" x14ac:dyDescent="0.35">
      <c r="A240" s="25" t="s">
        <v>1639</v>
      </c>
      <c r="B240" s="25" t="s">
        <v>347</v>
      </c>
      <c r="C240" s="25" t="s">
        <v>116</v>
      </c>
      <c r="D240" s="25" t="s">
        <v>465</v>
      </c>
      <c r="E240" s="25" t="s">
        <v>52</v>
      </c>
      <c r="F240" s="25" t="s">
        <v>1128</v>
      </c>
      <c r="G240" s="25" t="s">
        <v>606</v>
      </c>
      <c r="H240" s="25" t="s">
        <v>607</v>
      </c>
      <c r="I240" s="25" t="s">
        <v>117</v>
      </c>
      <c r="J240" s="25" t="s">
        <v>1023</v>
      </c>
      <c r="K240" s="25" t="s">
        <v>584</v>
      </c>
      <c r="L240" s="25" t="s">
        <v>55</v>
      </c>
      <c r="M240" s="25" t="s">
        <v>1640</v>
      </c>
      <c r="N240" s="25" t="s">
        <v>55</v>
      </c>
      <c r="O240" s="25" t="s">
        <v>1624</v>
      </c>
      <c r="P240" s="25" t="s">
        <v>1585</v>
      </c>
      <c r="Q240" s="25" t="s">
        <v>1641</v>
      </c>
      <c r="R240" s="25" t="s">
        <v>55</v>
      </c>
      <c r="S240" s="25" t="s">
        <v>55</v>
      </c>
      <c r="T240" s="25" t="s">
        <v>1642</v>
      </c>
      <c r="U240" s="25" t="s">
        <v>63</v>
      </c>
      <c r="V240" s="26">
        <v>46053</v>
      </c>
      <c r="W240" s="25" t="s">
        <v>55</v>
      </c>
      <c r="X240" s="25" t="s">
        <v>1638</v>
      </c>
      <c r="Y240" s="25" t="s">
        <v>65</v>
      </c>
      <c r="Z240" s="25" t="s">
        <v>55</v>
      </c>
      <c r="AA240" s="25" t="s">
        <v>155</v>
      </c>
      <c r="AB240" s="25" t="s">
        <v>55</v>
      </c>
      <c r="AC240" s="25" t="s">
        <v>55</v>
      </c>
      <c r="AD240" s="25" t="s">
        <v>118</v>
      </c>
      <c r="AE240" s="25" t="s">
        <v>97</v>
      </c>
      <c r="AF240" s="25" t="s">
        <v>1203</v>
      </c>
      <c r="AG240" s="25" t="s">
        <v>55</v>
      </c>
      <c r="AH240" s="25" t="s">
        <v>55</v>
      </c>
      <c r="AI240" s="25" t="s">
        <v>55</v>
      </c>
      <c r="AJ240" s="25" t="s">
        <v>55</v>
      </c>
      <c r="AK240" s="25" t="s">
        <v>55</v>
      </c>
      <c r="AL240" s="25" t="s">
        <v>55</v>
      </c>
      <c r="AM240" s="25" t="s">
        <v>55</v>
      </c>
      <c r="AN240" s="25" t="s">
        <v>55</v>
      </c>
      <c r="AO240" s="25" t="s">
        <v>55</v>
      </c>
      <c r="AP240" s="25" t="s">
        <v>55</v>
      </c>
      <c r="AQ240" s="25" t="s">
        <v>55</v>
      </c>
      <c r="AR240" s="25" t="s">
        <v>55</v>
      </c>
      <c r="AS240" s="25" t="s">
        <v>55</v>
      </c>
      <c r="AT240" s="25" t="s">
        <v>55</v>
      </c>
      <c r="AU240" s="25" t="s">
        <v>55</v>
      </c>
      <c r="AV240" s="25" t="s">
        <v>55</v>
      </c>
      <c r="AW240" s="25" t="s">
        <v>55</v>
      </c>
      <c r="AX240" s="25" t="s">
        <v>55</v>
      </c>
      <c r="AY240" s="25" t="s">
        <v>1584</v>
      </c>
      <c r="AZ240" s="20">
        <f t="shared" si="9"/>
        <v>-71</v>
      </c>
      <c r="BA240" s="17" t="e">
        <f t="shared" si="10"/>
        <v>#N/A</v>
      </c>
      <c r="BB240" s="21" t="s">
        <v>335</v>
      </c>
    </row>
    <row r="241" spans="1:54" x14ac:dyDescent="0.35">
      <c r="A241" s="25" t="s">
        <v>1643</v>
      </c>
      <c r="B241" s="25" t="s">
        <v>347</v>
      </c>
      <c r="C241" s="25" t="s">
        <v>116</v>
      </c>
      <c r="D241" s="25" t="s">
        <v>465</v>
      </c>
      <c r="E241" s="25" t="s">
        <v>52</v>
      </c>
      <c r="F241" s="25" t="s">
        <v>1644</v>
      </c>
      <c r="G241" s="25" t="s">
        <v>54</v>
      </c>
      <c r="H241" s="25" t="s">
        <v>1728</v>
      </c>
      <c r="I241" s="25" t="s">
        <v>121</v>
      </c>
      <c r="J241" s="25" t="s">
        <v>223</v>
      </c>
      <c r="K241" s="25" t="s">
        <v>589</v>
      </c>
      <c r="L241" s="25" t="s">
        <v>55</v>
      </c>
      <c r="M241" s="25" t="s">
        <v>258</v>
      </c>
      <c r="N241" s="25" t="s">
        <v>55</v>
      </c>
      <c r="O241" s="25" t="s">
        <v>1645</v>
      </c>
      <c r="P241" s="25" t="s">
        <v>1646</v>
      </c>
      <c r="Q241" s="25" t="s">
        <v>1647</v>
      </c>
      <c r="R241" s="25" t="s">
        <v>55</v>
      </c>
      <c r="S241" s="25" t="s">
        <v>55</v>
      </c>
      <c r="T241" s="25" t="s">
        <v>1648</v>
      </c>
      <c r="U241" s="25" t="s">
        <v>63</v>
      </c>
      <c r="V241" s="26">
        <v>46022</v>
      </c>
      <c r="W241" s="25" t="s">
        <v>55</v>
      </c>
      <c r="X241" s="25" t="s">
        <v>1649</v>
      </c>
      <c r="Y241" s="25" t="s">
        <v>65</v>
      </c>
      <c r="Z241" s="25" t="s">
        <v>55</v>
      </c>
      <c r="AA241" s="25" t="s">
        <v>221</v>
      </c>
      <c r="AB241" s="25" t="s">
        <v>55</v>
      </c>
      <c r="AC241" s="25" t="s">
        <v>55</v>
      </c>
      <c r="AD241" s="25" t="s">
        <v>118</v>
      </c>
      <c r="AE241" s="25" t="s">
        <v>97</v>
      </c>
      <c r="AF241" s="25" t="s">
        <v>226</v>
      </c>
      <c r="AG241" s="25" t="s">
        <v>55</v>
      </c>
      <c r="AH241" s="25" t="s">
        <v>55</v>
      </c>
      <c r="AI241" s="25" t="s">
        <v>55</v>
      </c>
      <c r="AJ241" s="25" t="s">
        <v>55</v>
      </c>
      <c r="AK241" s="25" t="s">
        <v>55</v>
      </c>
      <c r="AL241" s="25" t="s">
        <v>55</v>
      </c>
      <c r="AM241" s="25" t="s">
        <v>55</v>
      </c>
      <c r="AN241" s="25" t="s">
        <v>55</v>
      </c>
      <c r="AO241" s="25" t="s">
        <v>55</v>
      </c>
      <c r="AP241" s="25" t="s">
        <v>55</v>
      </c>
      <c r="AQ241" s="25" t="s">
        <v>55</v>
      </c>
      <c r="AR241" s="25" t="s">
        <v>55</v>
      </c>
      <c r="AS241" s="25" t="s">
        <v>55</v>
      </c>
      <c r="AT241" s="25" t="s">
        <v>55</v>
      </c>
      <c r="AU241" s="25" t="s">
        <v>55</v>
      </c>
      <c r="AV241" s="25" t="s">
        <v>55</v>
      </c>
      <c r="AW241" s="25" t="s">
        <v>55</v>
      </c>
      <c r="AX241" s="25" t="s">
        <v>55</v>
      </c>
      <c r="AY241" s="25" t="s">
        <v>1584</v>
      </c>
      <c r="AZ241" s="20">
        <f t="shared" si="9"/>
        <v>-40</v>
      </c>
      <c r="BA241" s="17" t="e">
        <f t="shared" si="10"/>
        <v>#N/A</v>
      </c>
      <c r="BB241" s="21" t="s">
        <v>335</v>
      </c>
    </row>
    <row r="242" spans="1:54" x14ac:dyDescent="0.35">
      <c r="A242" s="25" t="s">
        <v>1650</v>
      </c>
      <c r="B242" s="25" t="s">
        <v>347</v>
      </c>
      <c r="C242" s="25" t="s">
        <v>116</v>
      </c>
      <c r="D242" s="25" t="s">
        <v>465</v>
      </c>
      <c r="E242" s="25" t="s">
        <v>52</v>
      </c>
      <c r="F242" s="25" t="s">
        <v>1644</v>
      </c>
      <c r="G242" s="25" t="s">
        <v>54</v>
      </c>
      <c r="H242" s="25" t="s">
        <v>1728</v>
      </c>
      <c r="I242" s="25" t="s">
        <v>119</v>
      </c>
      <c r="J242" s="25" t="s">
        <v>242</v>
      </c>
      <c r="K242" s="25" t="s">
        <v>572</v>
      </c>
      <c r="L242" s="25" t="s">
        <v>55</v>
      </c>
      <c r="M242" s="25" t="s">
        <v>545</v>
      </c>
      <c r="N242" s="25" t="s">
        <v>55</v>
      </c>
      <c r="O242" s="25" t="s">
        <v>1645</v>
      </c>
      <c r="P242" s="25" t="s">
        <v>1651</v>
      </c>
      <c r="Q242" s="25" t="s">
        <v>1652</v>
      </c>
      <c r="R242" s="25" t="s">
        <v>55</v>
      </c>
      <c r="S242" s="25" t="s">
        <v>55</v>
      </c>
      <c r="T242" s="25" t="s">
        <v>1653</v>
      </c>
      <c r="U242" s="25" t="s">
        <v>63</v>
      </c>
      <c r="V242" s="26">
        <v>46022</v>
      </c>
      <c r="W242" s="25" t="s">
        <v>55</v>
      </c>
      <c r="X242" s="25" t="s">
        <v>1649</v>
      </c>
      <c r="Y242" s="25" t="s">
        <v>65</v>
      </c>
      <c r="Z242" s="25" t="s">
        <v>55</v>
      </c>
      <c r="AA242" s="25" t="s">
        <v>221</v>
      </c>
      <c r="AB242" s="25" t="s">
        <v>55</v>
      </c>
      <c r="AC242" s="25" t="s">
        <v>55</v>
      </c>
      <c r="AD242" s="25" t="s">
        <v>118</v>
      </c>
      <c r="AE242" s="25" t="s">
        <v>97</v>
      </c>
      <c r="AF242" s="25" t="s">
        <v>69</v>
      </c>
      <c r="AG242" s="25" t="s">
        <v>55</v>
      </c>
      <c r="AH242" s="25" t="s">
        <v>55</v>
      </c>
      <c r="AI242" s="25" t="s">
        <v>55</v>
      </c>
      <c r="AJ242" s="25" t="s">
        <v>55</v>
      </c>
      <c r="AK242" s="25" t="s">
        <v>55</v>
      </c>
      <c r="AL242" s="25" t="s">
        <v>55</v>
      </c>
      <c r="AM242" s="25" t="s">
        <v>55</v>
      </c>
      <c r="AN242" s="25" t="s">
        <v>55</v>
      </c>
      <c r="AO242" s="25" t="s">
        <v>55</v>
      </c>
      <c r="AP242" s="25" t="s">
        <v>55</v>
      </c>
      <c r="AQ242" s="25" t="s">
        <v>55</v>
      </c>
      <c r="AR242" s="25" t="s">
        <v>55</v>
      </c>
      <c r="AS242" s="25" t="s">
        <v>55</v>
      </c>
      <c r="AT242" s="25" t="s">
        <v>55</v>
      </c>
      <c r="AU242" s="25" t="s">
        <v>55</v>
      </c>
      <c r="AV242" s="25" t="s">
        <v>55</v>
      </c>
      <c r="AW242" s="25" t="s">
        <v>55</v>
      </c>
      <c r="AX242" s="25" t="s">
        <v>55</v>
      </c>
      <c r="AY242" s="25" t="s">
        <v>1584</v>
      </c>
      <c r="AZ242" s="20">
        <f t="shared" si="9"/>
        <v>-40</v>
      </c>
      <c r="BA242" s="17" t="e">
        <f t="shared" si="10"/>
        <v>#N/A</v>
      </c>
      <c r="BB242" s="21" t="s">
        <v>335</v>
      </c>
    </row>
    <row r="243" spans="1:54" x14ac:dyDescent="0.35">
      <c r="A243" s="25" t="s">
        <v>1654</v>
      </c>
      <c r="B243" s="25" t="s">
        <v>347</v>
      </c>
      <c r="C243" s="25" t="s">
        <v>116</v>
      </c>
      <c r="D243" s="25" t="s">
        <v>465</v>
      </c>
      <c r="E243" s="25" t="s">
        <v>52</v>
      </c>
      <c r="F243" s="25" t="s">
        <v>1655</v>
      </c>
      <c r="G243" s="25" t="s">
        <v>126</v>
      </c>
      <c r="H243" s="25" t="s">
        <v>138</v>
      </c>
      <c r="I243" s="25" t="s">
        <v>119</v>
      </c>
      <c r="J243" s="25" t="s">
        <v>242</v>
      </c>
      <c r="K243" s="25" t="s">
        <v>552</v>
      </c>
      <c r="L243" s="25" t="s">
        <v>55</v>
      </c>
      <c r="M243" s="25" t="s">
        <v>122</v>
      </c>
      <c r="N243" s="25" t="s">
        <v>55</v>
      </c>
      <c r="O243" s="25" t="s">
        <v>1656</v>
      </c>
      <c r="P243" s="25" t="s">
        <v>1657</v>
      </c>
      <c r="Q243" s="25" t="s">
        <v>1658</v>
      </c>
      <c r="R243" s="25" t="s">
        <v>55</v>
      </c>
      <c r="S243" s="25" t="s">
        <v>55</v>
      </c>
      <c r="T243" s="25" t="s">
        <v>1659</v>
      </c>
      <c r="U243" s="25" t="s">
        <v>63</v>
      </c>
      <c r="V243" s="26">
        <v>45985</v>
      </c>
      <c r="W243" s="25" t="s">
        <v>55</v>
      </c>
      <c r="X243" s="25" t="s">
        <v>1660</v>
      </c>
      <c r="Y243" s="25" t="s">
        <v>65</v>
      </c>
      <c r="Z243" s="25" t="s">
        <v>55</v>
      </c>
      <c r="AA243" s="25" t="s">
        <v>152</v>
      </c>
      <c r="AB243" s="25" t="s">
        <v>55</v>
      </c>
      <c r="AC243" s="25" t="s">
        <v>55</v>
      </c>
      <c r="AD243" s="25" t="s">
        <v>118</v>
      </c>
      <c r="AE243" s="25" t="s">
        <v>97</v>
      </c>
      <c r="AF243" s="25" t="s">
        <v>123</v>
      </c>
      <c r="AG243" s="25" t="s">
        <v>55</v>
      </c>
      <c r="AH243" s="25" t="s">
        <v>55</v>
      </c>
      <c r="AI243" s="25" t="s">
        <v>55</v>
      </c>
      <c r="AJ243" s="25" t="s">
        <v>55</v>
      </c>
      <c r="AK243" s="25" t="s">
        <v>55</v>
      </c>
      <c r="AL243" s="25" t="s">
        <v>55</v>
      </c>
      <c r="AM243" s="25" t="s">
        <v>55</v>
      </c>
      <c r="AN243" s="25" t="s">
        <v>55</v>
      </c>
      <c r="AO243" s="25" t="s">
        <v>55</v>
      </c>
      <c r="AP243" s="25" t="s">
        <v>55</v>
      </c>
      <c r="AQ243" s="25" t="s">
        <v>55</v>
      </c>
      <c r="AR243" s="25" t="s">
        <v>55</v>
      </c>
      <c r="AS243" s="25" t="s">
        <v>55</v>
      </c>
      <c r="AT243" s="25" t="s">
        <v>55</v>
      </c>
      <c r="AU243" s="25" t="s">
        <v>55</v>
      </c>
      <c r="AV243" s="25" t="s">
        <v>55</v>
      </c>
      <c r="AW243" s="25" t="s">
        <v>55</v>
      </c>
      <c r="AX243" s="25" t="s">
        <v>55</v>
      </c>
      <c r="AY243" s="25" t="s">
        <v>1584</v>
      </c>
      <c r="AZ243" s="20">
        <f t="shared" si="9"/>
        <v>-3</v>
      </c>
      <c r="BA243" s="17" t="e">
        <f t="shared" si="10"/>
        <v>#N/A</v>
      </c>
      <c r="BB243" s="21" t="s">
        <v>335</v>
      </c>
    </row>
    <row r="244" spans="1:54" x14ac:dyDescent="0.35">
      <c r="A244" s="25" t="s">
        <v>1661</v>
      </c>
      <c r="B244" s="25" t="s">
        <v>347</v>
      </c>
      <c r="C244" s="25" t="s">
        <v>116</v>
      </c>
      <c r="D244" s="25" t="s">
        <v>465</v>
      </c>
      <c r="E244" s="25" t="s">
        <v>52</v>
      </c>
      <c r="F244" s="25" t="s">
        <v>1662</v>
      </c>
      <c r="G244" s="25" t="s">
        <v>54</v>
      </c>
      <c r="H244" s="25" t="s">
        <v>1719</v>
      </c>
      <c r="I244" s="25" t="s">
        <v>526</v>
      </c>
      <c r="J244" s="25" t="s">
        <v>822</v>
      </c>
      <c r="K244" s="25" t="s">
        <v>572</v>
      </c>
      <c r="L244" s="25" t="s">
        <v>55</v>
      </c>
      <c r="M244" s="25" t="s">
        <v>252</v>
      </c>
      <c r="N244" s="25" t="s">
        <v>55</v>
      </c>
      <c r="O244" s="25" t="s">
        <v>1663</v>
      </c>
      <c r="P244" s="25" t="s">
        <v>1664</v>
      </c>
      <c r="Q244" s="25" t="s">
        <v>1665</v>
      </c>
      <c r="R244" s="25" t="s">
        <v>55</v>
      </c>
      <c r="S244" s="25" t="s">
        <v>55</v>
      </c>
      <c r="T244" s="25" t="s">
        <v>1666</v>
      </c>
      <c r="U244" s="25" t="s">
        <v>63</v>
      </c>
      <c r="V244" s="26">
        <v>45975</v>
      </c>
      <c r="W244" s="25" t="s">
        <v>55</v>
      </c>
      <c r="X244" s="25" t="s">
        <v>1667</v>
      </c>
      <c r="Y244" s="25" t="s">
        <v>65</v>
      </c>
      <c r="Z244" s="25" t="s">
        <v>55</v>
      </c>
      <c r="AA244" s="25" t="s">
        <v>66</v>
      </c>
      <c r="AB244" s="25" t="s">
        <v>55</v>
      </c>
      <c r="AC244" s="25" t="s">
        <v>55</v>
      </c>
      <c r="AD244" s="25" t="s">
        <v>118</v>
      </c>
      <c r="AE244" s="25" t="s">
        <v>97</v>
      </c>
      <c r="AF244" s="25" t="s">
        <v>98</v>
      </c>
      <c r="AG244" s="25" t="s">
        <v>55</v>
      </c>
      <c r="AH244" s="25" t="s">
        <v>55</v>
      </c>
      <c r="AI244" s="25" t="s">
        <v>55</v>
      </c>
      <c r="AJ244" s="25" t="s">
        <v>55</v>
      </c>
      <c r="AK244" s="25" t="s">
        <v>55</v>
      </c>
      <c r="AL244" s="25" t="s">
        <v>55</v>
      </c>
      <c r="AM244" s="25" t="s">
        <v>55</v>
      </c>
      <c r="AN244" s="25" t="s">
        <v>55</v>
      </c>
      <c r="AO244" s="25" t="s">
        <v>55</v>
      </c>
      <c r="AP244" s="25" t="s">
        <v>55</v>
      </c>
      <c r="AQ244" s="25" t="s">
        <v>55</v>
      </c>
      <c r="AR244" s="25" t="s">
        <v>55</v>
      </c>
      <c r="AS244" s="25" t="s">
        <v>55</v>
      </c>
      <c r="AT244" s="25" t="s">
        <v>55</v>
      </c>
      <c r="AU244" s="25" t="s">
        <v>55</v>
      </c>
      <c r="AV244" s="25" t="s">
        <v>55</v>
      </c>
      <c r="AW244" s="25" t="s">
        <v>55</v>
      </c>
      <c r="AX244" s="25" t="s">
        <v>55</v>
      </c>
      <c r="AY244" s="25" t="s">
        <v>1584</v>
      </c>
      <c r="AZ244" s="20">
        <f t="shared" si="9"/>
        <v>7</v>
      </c>
      <c r="BA244" s="17" t="str">
        <f t="shared" si="10"/>
        <v>&lt; 3 months</v>
      </c>
      <c r="BB244" s="21" t="s">
        <v>66</v>
      </c>
    </row>
    <row r="245" spans="1:54" x14ac:dyDescent="0.35">
      <c r="A245" s="25" t="s">
        <v>1668</v>
      </c>
      <c r="B245" s="25" t="s">
        <v>347</v>
      </c>
      <c r="C245" s="25" t="s">
        <v>116</v>
      </c>
      <c r="D245" s="25" t="s">
        <v>465</v>
      </c>
      <c r="E245" s="25" t="s">
        <v>52</v>
      </c>
      <c r="F245" s="25" t="s">
        <v>1327</v>
      </c>
      <c r="G245" s="25" t="s">
        <v>126</v>
      </c>
      <c r="H245" s="25" t="s">
        <v>138</v>
      </c>
      <c r="I245" s="25" t="s">
        <v>803</v>
      </c>
      <c r="J245" s="25" t="s">
        <v>815</v>
      </c>
      <c r="K245" s="25" t="s">
        <v>572</v>
      </c>
      <c r="L245" s="25" t="s">
        <v>55</v>
      </c>
      <c r="M245" s="25" t="s">
        <v>816</v>
      </c>
      <c r="N245" s="25" t="s">
        <v>55</v>
      </c>
      <c r="O245" s="25" t="s">
        <v>1329</v>
      </c>
      <c r="P245" s="25" t="s">
        <v>1664</v>
      </c>
      <c r="Q245" s="25" t="s">
        <v>1340</v>
      </c>
      <c r="R245" s="25" t="s">
        <v>55</v>
      </c>
      <c r="S245" s="25" t="s">
        <v>55</v>
      </c>
      <c r="T245" s="25" t="s">
        <v>1341</v>
      </c>
      <c r="U245" s="25" t="s">
        <v>132</v>
      </c>
      <c r="V245" s="26">
        <v>45961</v>
      </c>
      <c r="W245" s="25" t="s">
        <v>55</v>
      </c>
      <c r="X245" s="25" t="s">
        <v>1669</v>
      </c>
      <c r="Y245" s="25" t="s">
        <v>65</v>
      </c>
      <c r="Z245" s="25" t="s">
        <v>55</v>
      </c>
      <c r="AA245" s="25" t="s">
        <v>66</v>
      </c>
      <c r="AB245" s="25" t="s">
        <v>55</v>
      </c>
      <c r="AC245" s="25" t="s">
        <v>55</v>
      </c>
      <c r="AD245" s="25" t="s">
        <v>118</v>
      </c>
      <c r="AE245" s="25" t="s">
        <v>97</v>
      </c>
      <c r="AF245" s="25" t="s">
        <v>69</v>
      </c>
      <c r="AG245" s="25" t="s">
        <v>55</v>
      </c>
      <c r="AH245" s="25" t="s">
        <v>55</v>
      </c>
      <c r="AI245" s="25" t="s">
        <v>55</v>
      </c>
      <c r="AJ245" s="25" t="s">
        <v>55</v>
      </c>
      <c r="AK245" s="25" t="s">
        <v>55</v>
      </c>
      <c r="AL245" s="25" t="s">
        <v>55</v>
      </c>
      <c r="AM245" s="25" t="s">
        <v>55</v>
      </c>
      <c r="AN245" s="25" t="s">
        <v>55</v>
      </c>
      <c r="AO245" s="25" t="s">
        <v>55</v>
      </c>
      <c r="AP245" s="25" t="s">
        <v>55</v>
      </c>
      <c r="AQ245" s="25" t="s">
        <v>55</v>
      </c>
      <c r="AR245" s="25" t="s">
        <v>55</v>
      </c>
      <c r="AS245" s="25" t="s">
        <v>55</v>
      </c>
      <c r="AT245" s="25" t="s">
        <v>55</v>
      </c>
      <c r="AU245" s="25" t="s">
        <v>55</v>
      </c>
      <c r="AV245" s="25" t="s">
        <v>55</v>
      </c>
      <c r="AW245" s="25" t="s">
        <v>55</v>
      </c>
      <c r="AX245" s="25" t="s">
        <v>55</v>
      </c>
      <c r="AY245" s="25" t="s">
        <v>1584</v>
      </c>
      <c r="AZ245" s="20">
        <f t="shared" si="9"/>
        <v>21</v>
      </c>
      <c r="BA245" s="17" t="str">
        <f t="shared" si="10"/>
        <v>&lt; 3 months</v>
      </c>
      <c r="BB245" s="21" t="s">
        <v>66</v>
      </c>
    </row>
    <row r="246" spans="1:54" x14ac:dyDescent="0.35">
      <c r="A246" s="25" t="s">
        <v>1670</v>
      </c>
      <c r="B246" s="25" t="s">
        <v>347</v>
      </c>
      <c r="C246" s="25" t="s">
        <v>116</v>
      </c>
      <c r="D246" s="25" t="s">
        <v>465</v>
      </c>
      <c r="E246" s="25" t="s">
        <v>52</v>
      </c>
      <c r="F246" s="25" t="s">
        <v>1327</v>
      </c>
      <c r="G246" s="25" t="s">
        <v>126</v>
      </c>
      <c r="H246" s="25" t="s">
        <v>138</v>
      </c>
      <c r="I246" s="25" t="s">
        <v>526</v>
      </c>
      <c r="J246" s="25" t="s">
        <v>993</v>
      </c>
      <c r="K246" s="25" t="s">
        <v>572</v>
      </c>
      <c r="L246" s="25" t="s">
        <v>55</v>
      </c>
      <c r="M246" s="25" t="s">
        <v>58</v>
      </c>
      <c r="N246" s="25" t="s">
        <v>55</v>
      </c>
      <c r="O246" s="25" t="s">
        <v>1329</v>
      </c>
      <c r="P246" s="25" t="s">
        <v>1664</v>
      </c>
      <c r="Q246" s="25" t="s">
        <v>1350</v>
      </c>
      <c r="R246" s="25" t="s">
        <v>55</v>
      </c>
      <c r="S246" s="25" t="s">
        <v>55</v>
      </c>
      <c r="T246" s="25" t="s">
        <v>1351</v>
      </c>
      <c r="U246" s="25" t="s">
        <v>132</v>
      </c>
      <c r="V246" s="26">
        <v>45961</v>
      </c>
      <c r="W246" s="25" t="s">
        <v>55</v>
      </c>
      <c r="X246" s="25" t="s">
        <v>1669</v>
      </c>
      <c r="Y246" s="25" t="s">
        <v>65</v>
      </c>
      <c r="Z246" s="25" t="s">
        <v>55</v>
      </c>
      <c r="AA246" s="25" t="s">
        <v>66</v>
      </c>
      <c r="AB246" s="25" t="s">
        <v>55</v>
      </c>
      <c r="AC246" s="25" t="s">
        <v>55</v>
      </c>
      <c r="AD246" s="25" t="s">
        <v>118</v>
      </c>
      <c r="AE246" s="25" t="s">
        <v>97</v>
      </c>
      <c r="AF246" s="25" t="s">
        <v>69</v>
      </c>
      <c r="AG246" s="25" t="s">
        <v>55</v>
      </c>
      <c r="AH246" s="25" t="s">
        <v>55</v>
      </c>
      <c r="AI246" s="25" t="s">
        <v>55</v>
      </c>
      <c r="AJ246" s="25" t="s">
        <v>55</v>
      </c>
      <c r="AK246" s="25" t="s">
        <v>55</v>
      </c>
      <c r="AL246" s="25" t="s">
        <v>55</v>
      </c>
      <c r="AM246" s="25" t="s">
        <v>55</v>
      </c>
      <c r="AN246" s="25" t="s">
        <v>55</v>
      </c>
      <c r="AO246" s="25" t="s">
        <v>55</v>
      </c>
      <c r="AP246" s="25" t="s">
        <v>55</v>
      </c>
      <c r="AQ246" s="25" t="s">
        <v>55</v>
      </c>
      <c r="AR246" s="25" t="s">
        <v>55</v>
      </c>
      <c r="AS246" s="25" t="s">
        <v>55</v>
      </c>
      <c r="AT246" s="25" t="s">
        <v>55</v>
      </c>
      <c r="AU246" s="25" t="s">
        <v>55</v>
      </c>
      <c r="AV246" s="25" t="s">
        <v>55</v>
      </c>
      <c r="AW246" s="25" t="s">
        <v>55</v>
      </c>
      <c r="AX246" s="25" t="s">
        <v>55</v>
      </c>
      <c r="AY246" s="25" t="s">
        <v>1584</v>
      </c>
      <c r="AZ246" s="20">
        <f t="shared" si="9"/>
        <v>21</v>
      </c>
      <c r="BA246" s="17" t="str">
        <f t="shared" si="10"/>
        <v>&lt; 3 months</v>
      </c>
      <c r="BB246" s="21" t="s">
        <v>66</v>
      </c>
    </row>
    <row r="247" spans="1:54" x14ac:dyDescent="0.35">
      <c r="A247" s="25" t="s">
        <v>1671</v>
      </c>
      <c r="B247" s="25" t="s">
        <v>347</v>
      </c>
      <c r="C247" s="25" t="s">
        <v>116</v>
      </c>
      <c r="D247" s="25" t="s">
        <v>465</v>
      </c>
      <c r="E247" s="25" t="s">
        <v>52</v>
      </c>
      <c r="F247" s="25" t="s">
        <v>1672</v>
      </c>
      <c r="G247" s="25" t="s">
        <v>493</v>
      </c>
      <c r="H247" s="25" t="s">
        <v>1729</v>
      </c>
      <c r="I247" s="25" t="s">
        <v>526</v>
      </c>
      <c r="J247" s="25" t="s">
        <v>1343</v>
      </c>
      <c r="K247" s="25" t="s">
        <v>584</v>
      </c>
      <c r="L247" s="25" t="s">
        <v>55</v>
      </c>
      <c r="M247" s="25" t="s">
        <v>312</v>
      </c>
      <c r="N247" s="25" t="s">
        <v>55</v>
      </c>
      <c r="O247" s="25" t="s">
        <v>1673</v>
      </c>
      <c r="P247" s="25" t="s">
        <v>1585</v>
      </c>
      <c r="Q247" s="25" t="s">
        <v>1674</v>
      </c>
      <c r="R247" s="25" t="s">
        <v>55</v>
      </c>
      <c r="S247" s="25" t="s">
        <v>55</v>
      </c>
      <c r="T247" s="25" t="s">
        <v>1675</v>
      </c>
      <c r="U247" s="25" t="s">
        <v>63</v>
      </c>
      <c r="V247" s="26">
        <v>45991</v>
      </c>
      <c r="W247" s="25" t="s">
        <v>55</v>
      </c>
      <c r="X247" s="25" t="s">
        <v>1676</v>
      </c>
      <c r="Y247" s="25" t="s">
        <v>65</v>
      </c>
      <c r="Z247" s="25" t="s">
        <v>55</v>
      </c>
      <c r="AA247" s="25" t="s">
        <v>152</v>
      </c>
      <c r="AB247" s="25" t="s">
        <v>55</v>
      </c>
      <c r="AC247" s="25" t="s">
        <v>55</v>
      </c>
      <c r="AD247" s="25" t="s">
        <v>118</v>
      </c>
      <c r="AE247" s="25" t="s">
        <v>97</v>
      </c>
      <c r="AF247" s="25" t="s">
        <v>98</v>
      </c>
      <c r="AG247" s="25" t="s">
        <v>55</v>
      </c>
      <c r="AH247" s="25" t="s">
        <v>55</v>
      </c>
      <c r="AI247" s="25" t="s">
        <v>55</v>
      </c>
      <c r="AJ247" s="25" t="s">
        <v>55</v>
      </c>
      <c r="AK247" s="25" t="s">
        <v>55</v>
      </c>
      <c r="AL247" s="25" t="s">
        <v>55</v>
      </c>
      <c r="AM247" s="25" t="s">
        <v>55</v>
      </c>
      <c r="AN247" s="25" t="s">
        <v>55</v>
      </c>
      <c r="AO247" s="25" t="s">
        <v>55</v>
      </c>
      <c r="AP247" s="25" t="s">
        <v>55</v>
      </c>
      <c r="AQ247" s="25" t="s">
        <v>55</v>
      </c>
      <c r="AR247" s="25" t="s">
        <v>55</v>
      </c>
      <c r="AS247" s="25" t="s">
        <v>55</v>
      </c>
      <c r="AT247" s="25" t="s">
        <v>55</v>
      </c>
      <c r="AU247" s="25" t="s">
        <v>55</v>
      </c>
      <c r="AV247" s="25" t="s">
        <v>55</v>
      </c>
      <c r="AW247" s="25" t="s">
        <v>55</v>
      </c>
      <c r="AX247" s="25" t="s">
        <v>55</v>
      </c>
      <c r="AY247" s="25" t="s">
        <v>1584</v>
      </c>
      <c r="AZ247" s="20">
        <f t="shared" si="9"/>
        <v>-9</v>
      </c>
      <c r="BA247" s="17" t="e">
        <f t="shared" si="10"/>
        <v>#N/A</v>
      </c>
      <c r="BB247" s="21" t="s">
        <v>335</v>
      </c>
    </row>
    <row r="248" spans="1:54" x14ac:dyDescent="0.35">
      <c r="A248" s="25" t="s">
        <v>1680</v>
      </c>
      <c r="B248" s="25" t="s">
        <v>347</v>
      </c>
      <c r="C248" s="25" t="s">
        <v>116</v>
      </c>
      <c r="D248" s="25" t="s">
        <v>465</v>
      </c>
      <c r="E248" s="25" t="s">
        <v>52</v>
      </c>
      <c r="F248" s="25" t="s">
        <v>1672</v>
      </c>
      <c r="G248" s="25" t="s">
        <v>493</v>
      </c>
      <c r="H248" s="25" t="s">
        <v>1729</v>
      </c>
      <c r="I248" s="25" t="s">
        <v>526</v>
      </c>
      <c r="J248" s="25" t="s">
        <v>993</v>
      </c>
      <c r="K248" s="25" t="s">
        <v>602</v>
      </c>
      <c r="L248" s="25" t="s">
        <v>55</v>
      </c>
      <c r="M248" s="25" t="s">
        <v>1016</v>
      </c>
      <c r="N248" s="25" t="s">
        <v>55</v>
      </c>
      <c r="O248" s="25" t="s">
        <v>1673</v>
      </c>
      <c r="P248" s="25" t="s">
        <v>1677</v>
      </c>
      <c r="Q248" s="25" t="s">
        <v>1678</v>
      </c>
      <c r="R248" s="25" t="s">
        <v>55</v>
      </c>
      <c r="S248" s="25" t="s">
        <v>55</v>
      </c>
      <c r="T248" s="25" t="s">
        <v>1681</v>
      </c>
      <c r="U248" s="25" t="s">
        <v>63</v>
      </c>
      <c r="V248" s="26">
        <v>45991</v>
      </c>
      <c r="W248" s="25" t="s">
        <v>55</v>
      </c>
      <c r="X248" s="25" t="s">
        <v>1679</v>
      </c>
      <c r="Y248" s="25" t="s">
        <v>65</v>
      </c>
      <c r="Z248" s="25" t="s">
        <v>55</v>
      </c>
      <c r="AA248" s="25" t="s">
        <v>152</v>
      </c>
      <c r="AB248" s="25" t="s">
        <v>55</v>
      </c>
      <c r="AC248" s="25" t="s">
        <v>55</v>
      </c>
      <c r="AD248" s="25" t="s">
        <v>118</v>
      </c>
      <c r="AE248" s="25" t="s">
        <v>97</v>
      </c>
      <c r="AF248" s="25" t="s">
        <v>477</v>
      </c>
      <c r="AG248" s="25" t="s">
        <v>55</v>
      </c>
      <c r="AH248" s="25" t="s">
        <v>55</v>
      </c>
      <c r="AI248" s="25" t="s">
        <v>55</v>
      </c>
      <c r="AJ248" s="25" t="s">
        <v>55</v>
      </c>
      <c r="AK248" s="25" t="s">
        <v>55</v>
      </c>
      <c r="AL248" s="25" t="s">
        <v>55</v>
      </c>
      <c r="AM248" s="25" t="s">
        <v>55</v>
      </c>
      <c r="AN248" s="25" t="s">
        <v>55</v>
      </c>
      <c r="AO248" s="25" t="s">
        <v>55</v>
      </c>
      <c r="AP248" s="25" t="s">
        <v>55</v>
      </c>
      <c r="AQ248" s="25" t="s">
        <v>55</v>
      </c>
      <c r="AR248" s="25" t="s">
        <v>55</v>
      </c>
      <c r="AS248" s="25" t="s">
        <v>55</v>
      </c>
      <c r="AT248" s="25" t="s">
        <v>55</v>
      </c>
      <c r="AU248" s="25" t="s">
        <v>55</v>
      </c>
      <c r="AV248" s="25" t="s">
        <v>55</v>
      </c>
      <c r="AW248" s="25" t="s">
        <v>55</v>
      </c>
      <c r="AX248" s="25" t="s">
        <v>55</v>
      </c>
      <c r="AY248" s="25" t="s">
        <v>1584</v>
      </c>
      <c r="AZ248" s="20">
        <f t="shared" si="9"/>
        <v>-9</v>
      </c>
      <c r="BA248" s="17" t="e">
        <f t="shared" si="10"/>
        <v>#N/A</v>
      </c>
      <c r="BB248" s="21" t="s">
        <v>335</v>
      </c>
    </row>
    <row r="249" spans="1:54" x14ac:dyDescent="0.35">
      <c r="A249" s="25" t="s">
        <v>1682</v>
      </c>
      <c r="B249" s="25" t="s">
        <v>347</v>
      </c>
      <c r="C249" s="25" t="s">
        <v>116</v>
      </c>
      <c r="D249" s="25" t="s">
        <v>465</v>
      </c>
      <c r="E249" s="25" t="s">
        <v>52</v>
      </c>
      <c r="F249" s="25" t="s">
        <v>1672</v>
      </c>
      <c r="G249" s="25" t="s">
        <v>493</v>
      </c>
      <c r="H249" s="25" t="s">
        <v>1729</v>
      </c>
      <c r="I249" s="25" t="s">
        <v>121</v>
      </c>
      <c r="J249" s="25" t="s">
        <v>843</v>
      </c>
      <c r="K249" s="25" t="s">
        <v>584</v>
      </c>
      <c r="L249" s="25" t="s">
        <v>55</v>
      </c>
      <c r="M249" s="25" t="s">
        <v>1316</v>
      </c>
      <c r="N249" s="25" t="s">
        <v>55</v>
      </c>
      <c r="O249" s="25" t="s">
        <v>1673</v>
      </c>
      <c r="P249" s="25" t="s">
        <v>1585</v>
      </c>
      <c r="Q249" s="25" t="s">
        <v>1674</v>
      </c>
      <c r="R249" s="25" t="s">
        <v>55</v>
      </c>
      <c r="S249" s="25" t="s">
        <v>55</v>
      </c>
      <c r="T249" s="25" t="s">
        <v>1675</v>
      </c>
      <c r="U249" s="25" t="s">
        <v>63</v>
      </c>
      <c r="V249" s="26">
        <v>45991</v>
      </c>
      <c r="W249" s="25" t="s">
        <v>55</v>
      </c>
      <c r="X249" s="25" t="s">
        <v>1676</v>
      </c>
      <c r="Y249" s="25" t="s">
        <v>65</v>
      </c>
      <c r="Z249" s="25" t="s">
        <v>55</v>
      </c>
      <c r="AA249" s="25" t="s">
        <v>152</v>
      </c>
      <c r="AB249" s="25" t="s">
        <v>55</v>
      </c>
      <c r="AC249" s="25" t="s">
        <v>55</v>
      </c>
      <c r="AD249" s="25" t="s">
        <v>118</v>
      </c>
      <c r="AE249" s="25" t="s">
        <v>97</v>
      </c>
      <c r="AF249" s="25" t="s">
        <v>98</v>
      </c>
      <c r="AG249" s="25" t="s">
        <v>55</v>
      </c>
      <c r="AH249" s="25" t="s">
        <v>55</v>
      </c>
      <c r="AI249" s="25" t="s">
        <v>55</v>
      </c>
      <c r="AJ249" s="25" t="s">
        <v>55</v>
      </c>
      <c r="AK249" s="25" t="s">
        <v>55</v>
      </c>
      <c r="AL249" s="25" t="s">
        <v>55</v>
      </c>
      <c r="AM249" s="25" t="s">
        <v>55</v>
      </c>
      <c r="AN249" s="25" t="s">
        <v>55</v>
      </c>
      <c r="AO249" s="25" t="s">
        <v>55</v>
      </c>
      <c r="AP249" s="25" t="s">
        <v>55</v>
      </c>
      <c r="AQ249" s="25" t="s">
        <v>55</v>
      </c>
      <c r="AR249" s="25" t="s">
        <v>55</v>
      </c>
      <c r="AS249" s="25" t="s">
        <v>55</v>
      </c>
      <c r="AT249" s="25" t="s">
        <v>55</v>
      </c>
      <c r="AU249" s="25" t="s">
        <v>55</v>
      </c>
      <c r="AV249" s="25" t="s">
        <v>55</v>
      </c>
      <c r="AW249" s="25" t="s">
        <v>55</v>
      </c>
      <c r="AX249" s="25" t="s">
        <v>55</v>
      </c>
      <c r="AY249" s="25" t="s">
        <v>1584</v>
      </c>
      <c r="AZ249" s="20">
        <f t="shared" si="9"/>
        <v>-9</v>
      </c>
      <c r="BA249" s="17" t="e">
        <f t="shared" si="10"/>
        <v>#N/A</v>
      </c>
      <c r="BB249" s="21" t="s">
        <v>335</v>
      </c>
    </row>
    <row r="250" spans="1:54" x14ac:dyDescent="0.35">
      <c r="A250" s="25" t="s">
        <v>1683</v>
      </c>
      <c r="B250" s="25" t="s">
        <v>347</v>
      </c>
      <c r="C250" s="25" t="s">
        <v>116</v>
      </c>
      <c r="D250" s="25" t="s">
        <v>465</v>
      </c>
      <c r="E250" s="25" t="s">
        <v>52</v>
      </c>
      <c r="F250" s="25" t="s">
        <v>1672</v>
      </c>
      <c r="G250" s="25" t="s">
        <v>493</v>
      </c>
      <c r="H250" s="25" t="s">
        <v>1729</v>
      </c>
      <c r="I250" s="25" t="s">
        <v>361</v>
      </c>
      <c r="J250" s="25" t="s">
        <v>974</v>
      </c>
      <c r="K250" s="25" t="s">
        <v>584</v>
      </c>
      <c r="L250" s="25" t="s">
        <v>55</v>
      </c>
      <c r="M250" s="25" t="s">
        <v>1497</v>
      </c>
      <c r="N250" s="25" t="s">
        <v>55</v>
      </c>
      <c r="O250" s="25" t="s">
        <v>1673</v>
      </c>
      <c r="P250" s="25" t="s">
        <v>1585</v>
      </c>
      <c r="Q250" s="25" t="s">
        <v>1684</v>
      </c>
      <c r="R250" s="25" t="s">
        <v>55</v>
      </c>
      <c r="S250" s="25" t="s">
        <v>55</v>
      </c>
      <c r="T250" s="25" t="s">
        <v>1685</v>
      </c>
      <c r="U250" s="25" t="s">
        <v>63</v>
      </c>
      <c r="V250" s="26">
        <v>45991</v>
      </c>
      <c r="W250" s="25" t="s">
        <v>55</v>
      </c>
      <c r="X250" s="25" t="s">
        <v>1676</v>
      </c>
      <c r="Y250" s="25" t="s">
        <v>65</v>
      </c>
      <c r="Z250" s="25" t="s">
        <v>55</v>
      </c>
      <c r="AA250" s="25" t="s">
        <v>152</v>
      </c>
      <c r="AB250" s="25" t="s">
        <v>55</v>
      </c>
      <c r="AC250" s="25" t="s">
        <v>55</v>
      </c>
      <c r="AD250" s="25" t="s">
        <v>118</v>
      </c>
      <c r="AE250" s="25" t="s">
        <v>97</v>
      </c>
      <c r="AF250" s="25" t="s">
        <v>98</v>
      </c>
      <c r="AG250" s="25" t="s">
        <v>55</v>
      </c>
      <c r="AH250" s="25" t="s">
        <v>55</v>
      </c>
      <c r="AI250" s="25" t="s">
        <v>55</v>
      </c>
      <c r="AJ250" s="25" t="s">
        <v>55</v>
      </c>
      <c r="AK250" s="25" t="s">
        <v>55</v>
      </c>
      <c r="AL250" s="25" t="s">
        <v>55</v>
      </c>
      <c r="AM250" s="25" t="s">
        <v>55</v>
      </c>
      <c r="AN250" s="25" t="s">
        <v>55</v>
      </c>
      <c r="AO250" s="25" t="s">
        <v>55</v>
      </c>
      <c r="AP250" s="25" t="s">
        <v>55</v>
      </c>
      <c r="AQ250" s="25" t="s">
        <v>55</v>
      </c>
      <c r="AR250" s="25" t="s">
        <v>55</v>
      </c>
      <c r="AS250" s="25" t="s">
        <v>55</v>
      </c>
      <c r="AT250" s="25" t="s">
        <v>55</v>
      </c>
      <c r="AU250" s="25" t="s">
        <v>55</v>
      </c>
      <c r="AV250" s="25" t="s">
        <v>55</v>
      </c>
      <c r="AW250" s="25" t="s">
        <v>55</v>
      </c>
      <c r="AX250" s="25" t="s">
        <v>55</v>
      </c>
      <c r="AY250" s="25" t="s">
        <v>1584</v>
      </c>
      <c r="AZ250" s="20">
        <f t="shared" si="9"/>
        <v>-9</v>
      </c>
      <c r="BA250" s="17" t="e">
        <f t="shared" si="10"/>
        <v>#N/A</v>
      </c>
      <c r="BB250" s="21" t="s">
        <v>335</v>
      </c>
    </row>
    <row r="251" spans="1:54" x14ac:dyDescent="0.35">
      <c r="A251" s="25" t="s">
        <v>1686</v>
      </c>
      <c r="B251" s="25" t="s">
        <v>347</v>
      </c>
      <c r="C251" s="25" t="s">
        <v>116</v>
      </c>
      <c r="D251" s="25" t="s">
        <v>465</v>
      </c>
      <c r="E251" s="25" t="s">
        <v>52</v>
      </c>
      <c r="F251" s="25" t="s">
        <v>1687</v>
      </c>
      <c r="G251" s="25" t="s">
        <v>84</v>
      </c>
      <c r="H251" s="25" t="s">
        <v>84</v>
      </c>
      <c r="I251" s="25" t="s">
        <v>526</v>
      </c>
      <c r="J251" s="25" t="s">
        <v>1343</v>
      </c>
      <c r="K251" s="25" t="s">
        <v>594</v>
      </c>
      <c r="L251" s="25" t="s">
        <v>55</v>
      </c>
      <c r="M251" s="25" t="s">
        <v>1688</v>
      </c>
      <c r="N251" s="25" t="s">
        <v>55</v>
      </c>
      <c r="O251" s="25" t="s">
        <v>1689</v>
      </c>
      <c r="P251" s="25" t="s">
        <v>1690</v>
      </c>
      <c r="Q251" s="25" t="s">
        <v>1690</v>
      </c>
      <c r="R251" s="25" t="s">
        <v>55</v>
      </c>
      <c r="S251" s="25" t="s">
        <v>55</v>
      </c>
      <c r="T251" s="25" t="s">
        <v>1691</v>
      </c>
      <c r="U251" s="25" t="s">
        <v>63</v>
      </c>
      <c r="V251" s="26">
        <v>46022</v>
      </c>
      <c r="W251" s="25" t="s">
        <v>55</v>
      </c>
      <c r="X251" s="25" t="s">
        <v>1692</v>
      </c>
      <c r="Y251" s="25" t="s">
        <v>65</v>
      </c>
      <c r="Z251" s="25" t="s">
        <v>55</v>
      </c>
      <c r="AA251" s="25" t="s">
        <v>221</v>
      </c>
      <c r="AB251" s="25" t="s">
        <v>55</v>
      </c>
      <c r="AC251" s="25" t="s">
        <v>55</v>
      </c>
      <c r="AD251" s="25" t="s">
        <v>118</v>
      </c>
      <c r="AE251" s="25" t="s">
        <v>97</v>
      </c>
      <c r="AF251" s="25" t="s">
        <v>100</v>
      </c>
      <c r="AG251" s="25" t="s">
        <v>55</v>
      </c>
      <c r="AH251" s="25" t="s">
        <v>55</v>
      </c>
      <c r="AI251" s="25" t="s">
        <v>55</v>
      </c>
      <c r="AJ251" s="25" t="s">
        <v>55</v>
      </c>
      <c r="AK251" s="25" t="s">
        <v>55</v>
      </c>
      <c r="AL251" s="25" t="s">
        <v>55</v>
      </c>
      <c r="AM251" s="25" t="s">
        <v>55</v>
      </c>
      <c r="AN251" s="25" t="s">
        <v>55</v>
      </c>
      <c r="AO251" s="25" t="s">
        <v>55</v>
      </c>
      <c r="AP251" s="25" t="s">
        <v>55</v>
      </c>
      <c r="AQ251" s="25" t="s">
        <v>55</v>
      </c>
      <c r="AR251" s="25" t="s">
        <v>55</v>
      </c>
      <c r="AS251" s="25" t="s">
        <v>55</v>
      </c>
      <c r="AT251" s="25" t="s">
        <v>55</v>
      </c>
      <c r="AU251" s="25" t="s">
        <v>55</v>
      </c>
      <c r="AV251" s="25" t="s">
        <v>55</v>
      </c>
      <c r="AW251" s="25" t="s">
        <v>55</v>
      </c>
      <c r="AX251" s="25" t="s">
        <v>55</v>
      </c>
      <c r="AY251" s="25" t="s">
        <v>1693</v>
      </c>
      <c r="AZ251" s="20">
        <f t="shared" si="9"/>
        <v>-40</v>
      </c>
      <c r="BA251" s="17" t="e">
        <f t="shared" si="10"/>
        <v>#N/A</v>
      </c>
      <c r="BB251" s="21" t="s">
        <v>335</v>
      </c>
    </row>
    <row r="252" spans="1:54" x14ac:dyDescent="0.35">
      <c r="A252" s="25" t="s">
        <v>1694</v>
      </c>
      <c r="B252" s="25" t="s">
        <v>347</v>
      </c>
      <c r="C252" s="25" t="s">
        <v>116</v>
      </c>
      <c r="D252" s="25" t="s">
        <v>465</v>
      </c>
      <c r="E252" s="25" t="s">
        <v>52</v>
      </c>
      <c r="F252" s="25" t="s">
        <v>1695</v>
      </c>
      <c r="G252" s="25" t="s">
        <v>84</v>
      </c>
      <c r="H252" s="25" t="s">
        <v>1696</v>
      </c>
      <c r="I252" s="25" t="s">
        <v>526</v>
      </c>
      <c r="J252" s="25" t="s">
        <v>1343</v>
      </c>
      <c r="K252" s="25" t="s">
        <v>594</v>
      </c>
      <c r="L252" s="25" t="s">
        <v>55</v>
      </c>
      <c r="M252" s="25" t="s">
        <v>1688</v>
      </c>
      <c r="N252" s="25" t="s">
        <v>55</v>
      </c>
      <c r="O252" s="25" t="s">
        <v>1697</v>
      </c>
      <c r="P252" s="25" t="s">
        <v>1690</v>
      </c>
      <c r="Q252" s="25" t="s">
        <v>1690</v>
      </c>
      <c r="R252" s="25" t="s">
        <v>55</v>
      </c>
      <c r="S252" s="25" t="s">
        <v>55</v>
      </c>
      <c r="T252" s="25" t="s">
        <v>1691</v>
      </c>
      <c r="U252" s="25" t="s">
        <v>63</v>
      </c>
      <c r="V252" s="26">
        <v>46022</v>
      </c>
      <c r="W252" s="25" t="s">
        <v>55</v>
      </c>
      <c r="X252" s="25" t="s">
        <v>1692</v>
      </c>
      <c r="Y252" s="25" t="s">
        <v>65</v>
      </c>
      <c r="Z252" s="25" t="s">
        <v>55</v>
      </c>
      <c r="AA252" s="25" t="s">
        <v>221</v>
      </c>
      <c r="AB252" s="25" t="s">
        <v>55</v>
      </c>
      <c r="AC252" s="25" t="s">
        <v>55</v>
      </c>
      <c r="AD252" s="25" t="s">
        <v>118</v>
      </c>
      <c r="AE252" s="25" t="s">
        <v>97</v>
      </c>
      <c r="AF252" s="25" t="s">
        <v>100</v>
      </c>
      <c r="AG252" s="25" t="s">
        <v>55</v>
      </c>
      <c r="AH252" s="25" t="s">
        <v>55</v>
      </c>
      <c r="AI252" s="25" t="s">
        <v>55</v>
      </c>
      <c r="AJ252" s="25" t="s">
        <v>55</v>
      </c>
      <c r="AK252" s="25" t="s">
        <v>55</v>
      </c>
      <c r="AL252" s="25" t="s">
        <v>55</v>
      </c>
      <c r="AM252" s="25" t="s">
        <v>55</v>
      </c>
      <c r="AN252" s="25" t="s">
        <v>55</v>
      </c>
      <c r="AO252" s="25" t="s">
        <v>55</v>
      </c>
      <c r="AP252" s="25" t="s">
        <v>55</v>
      </c>
      <c r="AQ252" s="25" t="s">
        <v>55</v>
      </c>
      <c r="AR252" s="25" t="s">
        <v>55</v>
      </c>
      <c r="AS252" s="25" t="s">
        <v>55</v>
      </c>
      <c r="AT252" s="25" t="s">
        <v>55</v>
      </c>
      <c r="AU252" s="25" t="s">
        <v>55</v>
      </c>
      <c r="AV252" s="25" t="s">
        <v>55</v>
      </c>
      <c r="AW252" s="25" t="s">
        <v>55</v>
      </c>
      <c r="AX252" s="25" t="s">
        <v>55</v>
      </c>
      <c r="AY252" s="25" t="s">
        <v>1693</v>
      </c>
      <c r="AZ252" s="20">
        <f t="shared" si="9"/>
        <v>-40</v>
      </c>
      <c r="BA252" s="17" t="e">
        <f t="shared" si="10"/>
        <v>#N/A</v>
      </c>
      <c r="BB252" s="21" t="s">
        <v>335</v>
      </c>
    </row>
    <row r="253" spans="1:54" x14ac:dyDescent="0.35">
      <c r="A253" s="25" t="s">
        <v>1698</v>
      </c>
      <c r="B253" s="25" t="s">
        <v>347</v>
      </c>
      <c r="C253" s="25" t="s">
        <v>116</v>
      </c>
      <c r="D253" s="25" t="s">
        <v>465</v>
      </c>
      <c r="E253" s="25" t="s">
        <v>52</v>
      </c>
      <c r="F253" s="25" t="s">
        <v>611</v>
      </c>
      <c r="G253" s="25" t="s">
        <v>54</v>
      </c>
      <c r="H253" s="25" t="s">
        <v>1719</v>
      </c>
      <c r="I253" s="25" t="s">
        <v>361</v>
      </c>
      <c r="J253" s="25" t="s">
        <v>980</v>
      </c>
      <c r="K253" s="25" t="s">
        <v>868</v>
      </c>
      <c r="L253" s="25" t="s">
        <v>55</v>
      </c>
      <c r="M253" s="25" t="s">
        <v>1699</v>
      </c>
      <c r="N253" s="25" t="s">
        <v>55</v>
      </c>
      <c r="O253" s="25" t="s">
        <v>1444</v>
      </c>
      <c r="P253" s="25" t="s">
        <v>1700</v>
      </c>
      <c r="Q253" s="25" t="s">
        <v>1701</v>
      </c>
      <c r="R253" s="25" t="s">
        <v>55</v>
      </c>
      <c r="S253" s="25" t="s">
        <v>55</v>
      </c>
      <c r="T253" s="25" t="s">
        <v>1702</v>
      </c>
      <c r="U253" s="25" t="s">
        <v>63</v>
      </c>
      <c r="V253" s="26">
        <v>45991</v>
      </c>
      <c r="W253" s="25" t="s">
        <v>55</v>
      </c>
      <c r="X253" s="25" t="s">
        <v>1703</v>
      </c>
      <c r="Y253" s="25" t="s">
        <v>65</v>
      </c>
      <c r="Z253" s="25" t="s">
        <v>55</v>
      </c>
      <c r="AA253" s="25" t="s">
        <v>152</v>
      </c>
      <c r="AB253" s="25" t="s">
        <v>55</v>
      </c>
      <c r="AC253" s="25" t="s">
        <v>55</v>
      </c>
      <c r="AD253" s="25" t="s">
        <v>118</v>
      </c>
      <c r="AE253" s="25" t="s">
        <v>97</v>
      </c>
      <c r="AF253" s="25" t="s">
        <v>226</v>
      </c>
      <c r="AG253" s="25" t="s">
        <v>55</v>
      </c>
      <c r="AH253" s="25" t="s">
        <v>55</v>
      </c>
      <c r="AI253" s="25" t="s">
        <v>55</v>
      </c>
      <c r="AJ253" s="25" t="s">
        <v>55</v>
      </c>
      <c r="AK253" s="25" t="s">
        <v>55</v>
      </c>
      <c r="AL253" s="25" t="s">
        <v>55</v>
      </c>
      <c r="AM253" s="25" t="s">
        <v>55</v>
      </c>
      <c r="AN253" s="25" t="s">
        <v>55</v>
      </c>
      <c r="AO253" s="25" t="s">
        <v>55</v>
      </c>
      <c r="AP253" s="25" t="s">
        <v>55</v>
      </c>
      <c r="AQ253" s="25" t="s">
        <v>55</v>
      </c>
      <c r="AR253" s="25" t="s">
        <v>55</v>
      </c>
      <c r="AS253" s="25" t="s">
        <v>55</v>
      </c>
      <c r="AT253" s="25" t="s">
        <v>55</v>
      </c>
      <c r="AU253" s="25" t="s">
        <v>55</v>
      </c>
      <c r="AV253" s="25" t="s">
        <v>55</v>
      </c>
      <c r="AW253" s="25" t="s">
        <v>55</v>
      </c>
      <c r="AX253" s="25" t="s">
        <v>55</v>
      </c>
      <c r="AY253" s="25" t="s">
        <v>1693</v>
      </c>
      <c r="AZ253" s="20">
        <f t="shared" si="9"/>
        <v>-9</v>
      </c>
      <c r="BA253" s="17" t="e">
        <f t="shared" si="10"/>
        <v>#N/A</v>
      </c>
      <c r="BB253" s="21" t="s">
        <v>335</v>
      </c>
    </row>
    <row r="254" spans="1:54" x14ac:dyDescent="0.35">
      <c r="A254" s="25" t="s">
        <v>1704</v>
      </c>
      <c r="B254" s="25" t="s">
        <v>347</v>
      </c>
      <c r="C254" s="25" t="s">
        <v>116</v>
      </c>
      <c r="D254" s="25" t="s">
        <v>465</v>
      </c>
      <c r="E254" s="25" t="s">
        <v>52</v>
      </c>
      <c r="F254" s="25" t="s">
        <v>611</v>
      </c>
      <c r="G254" s="25" t="s">
        <v>54</v>
      </c>
      <c r="H254" s="25" t="s">
        <v>1719</v>
      </c>
      <c r="I254" s="25" t="s">
        <v>361</v>
      </c>
      <c r="J254" s="25" t="s">
        <v>1705</v>
      </c>
      <c r="K254" s="25" t="s">
        <v>868</v>
      </c>
      <c r="L254" s="25" t="s">
        <v>55</v>
      </c>
      <c r="M254" s="25" t="s">
        <v>1706</v>
      </c>
      <c r="N254" s="25" t="s">
        <v>55</v>
      </c>
      <c r="O254" s="25" t="s">
        <v>1444</v>
      </c>
      <c r="P254" s="25" t="s">
        <v>1700</v>
      </c>
      <c r="Q254" s="25" t="s">
        <v>1701</v>
      </c>
      <c r="R254" s="25" t="s">
        <v>55</v>
      </c>
      <c r="S254" s="25" t="s">
        <v>55</v>
      </c>
      <c r="T254" s="25" t="s">
        <v>1702</v>
      </c>
      <c r="U254" s="25" t="s">
        <v>63</v>
      </c>
      <c r="V254" s="26">
        <v>45991</v>
      </c>
      <c r="W254" s="25" t="s">
        <v>55</v>
      </c>
      <c r="X254" s="25" t="s">
        <v>1703</v>
      </c>
      <c r="Y254" s="25" t="s">
        <v>65</v>
      </c>
      <c r="Z254" s="25" t="s">
        <v>55</v>
      </c>
      <c r="AA254" s="25" t="s">
        <v>152</v>
      </c>
      <c r="AB254" s="25" t="s">
        <v>55</v>
      </c>
      <c r="AC254" s="25" t="s">
        <v>55</v>
      </c>
      <c r="AD254" s="25" t="s">
        <v>118</v>
      </c>
      <c r="AE254" s="25" t="s">
        <v>97</v>
      </c>
      <c r="AF254" s="25" t="s">
        <v>156</v>
      </c>
      <c r="AG254" s="25" t="s">
        <v>55</v>
      </c>
      <c r="AH254" s="25" t="s">
        <v>55</v>
      </c>
      <c r="AI254" s="25" t="s">
        <v>55</v>
      </c>
      <c r="AJ254" s="25" t="s">
        <v>55</v>
      </c>
      <c r="AK254" s="25" t="s">
        <v>55</v>
      </c>
      <c r="AL254" s="25" t="s">
        <v>55</v>
      </c>
      <c r="AM254" s="25" t="s">
        <v>55</v>
      </c>
      <c r="AN254" s="25" t="s">
        <v>55</v>
      </c>
      <c r="AO254" s="25" t="s">
        <v>55</v>
      </c>
      <c r="AP254" s="25" t="s">
        <v>55</v>
      </c>
      <c r="AQ254" s="25" t="s">
        <v>55</v>
      </c>
      <c r="AR254" s="25" t="s">
        <v>55</v>
      </c>
      <c r="AS254" s="25" t="s">
        <v>55</v>
      </c>
      <c r="AT254" s="25" t="s">
        <v>55</v>
      </c>
      <c r="AU254" s="25" t="s">
        <v>55</v>
      </c>
      <c r="AV254" s="25" t="s">
        <v>55</v>
      </c>
      <c r="AW254" s="25" t="s">
        <v>55</v>
      </c>
      <c r="AX254" s="25" t="s">
        <v>55</v>
      </c>
      <c r="AY254" s="25" t="s">
        <v>1693</v>
      </c>
      <c r="AZ254" s="20">
        <f t="shared" si="9"/>
        <v>-9</v>
      </c>
      <c r="BA254" s="17" t="e">
        <f t="shared" si="10"/>
        <v>#N/A</v>
      </c>
      <c r="BB254" s="21" t="s">
        <v>335</v>
      </c>
    </row>
    <row r="255" spans="1:54" x14ac:dyDescent="0.35">
      <c r="A255" s="25" t="s">
        <v>1707</v>
      </c>
      <c r="B255" s="25" t="s">
        <v>347</v>
      </c>
      <c r="C255" s="25" t="s">
        <v>116</v>
      </c>
      <c r="D255" s="25" t="s">
        <v>465</v>
      </c>
      <c r="E255" s="25" t="s">
        <v>52</v>
      </c>
      <c r="F255" s="25" t="s">
        <v>1672</v>
      </c>
      <c r="G255" s="25" t="s">
        <v>493</v>
      </c>
      <c r="H255" s="25" t="s">
        <v>1729</v>
      </c>
      <c r="I255" s="25" t="s">
        <v>119</v>
      </c>
      <c r="J255" s="25" t="s">
        <v>242</v>
      </c>
      <c r="K255" s="25" t="s">
        <v>868</v>
      </c>
      <c r="L255" s="25" t="s">
        <v>55</v>
      </c>
      <c r="M255" s="25" t="s">
        <v>122</v>
      </c>
      <c r="N255" s="25" t="s">
        <v>55</v>
      </c>
      <c r="O255" s="25" t="s">
        <v>1673</v>
      </c>
      <c r="P255" s="25" t="s">
        <v>1700</v>
      </c>
      <c r="Q255" s="25" t="s">
        <v>1708</v>
      </c>
      <c r="R255" s="25" t="s">
        <v>55</v>
      </c>
      <c r="S255" s="25" t="s">
        <v>55</v>
      </c>
      <c r="T255" s="25" t="s">
        <v>1709</v>
      </c>
      <c r="U255" s="25" t="s">
        <v>63</v>
      </c>
      <c r="V255" s="26">
        <v>46052</v>
      </c>
      <c r="W255" s="25" t="s">
        <v>55</v>
      </c>
      <c r="X255" s="25" t="s">
        <v>1679</v>
      </c>
      <c r="Y255" s="25" t="s">
        <v>65</v>
      </c>
      <c r="Z255" s="25" t="s">
        <v>55</v>
      </c>
      <c r="AA255" s="25" t="s">
        <v>155</v>
      </c>
      <c r="AB255" s="25" t="s">
        <v>55</v>
      </c>
      <c r="AC255" s="25" t="s">
        <v>55</v>
      </c>
      <c r="AD255" s="25" t="s">
        <v>118</v>
      </c>
      <c r="AE255" s="25" t="s">
        <v>97</v>
      </c>
      <c r="AF255" s="25" t="s">
        <v>123</v>
      </c>
      <c r="AG255" s="25" t="s">
        <v>55</v>
      </c>
      <c r="AH255" s="25" t="s">
        <v>55</v>
      </c>
      <c r="AI255" s="25" t="s">
        <v>55</v>
      </c>
      <c r="AJ255" s="25" t="s">
        <v>55</v>
      </c>
      <c r="AK255" s="25" t="s">
        <v>55</v>
      </c>
      <c r="AL255" s="25" t="s">
        <v>55</v>
      </c>
      <c r="AM255" s="25" t="s">
        <v>55</v>
      </c>
      <c r="AN255" s="25" t="s">
        <v>55</v>
      </c>
      <c r="AO255" s="25" t="s">
        <v>55</v>
      </c>
      <c r="AP255" s="25" t="s">
        <v>55</v>
      </c>
      <c r="AQ255" s="25" t="s">
        <v>55</v>
      </c>
      <c r="AR255" s="25" t="s">
        <v>55</v>
      </c>
      <c r="AS255" s="25" t="s">
        <v>55</v>
      </c>
      <c r="AT255" s="25" t="s">
        <v>55</v>
      </c>
      <c r="AU255" s="25" t="s">
        <v>55</v>
      </c>
      <c r="AV255" s="25" t="s">
        <v>55</v>
      </c>
      <c r="AW255" s="25" t="s">
        <v>55</v>
      </c>
      <c r="AX255" s="25" t="s">
        <v>55</v>
      </c>
      <c r="AY255" s="25" t="s">
        <v>1693</v>
      </c>
      <c r="AZ255" s="20">
        <f t="shared" si="9"/>
        <v>-70</v>
      </c>
      <c r="BA255" s="17" t="e">
        <f t="shared" si="10"/>
        <v>#N/A</v>
      </c>
      <c r="BB255" s="21" t="s">
        <v>335</v>
      </c>
    </row>
    <row r="256" spans="1:54" x14ac:dyDescent="0.35">
      <c r="A256" s="25" t="s">
        <v>1730</v>
      </c>
      <c r="B256" s="25" t="s">
        <v>347</v>
      </c>
      <c r="C256" s="25" t="s">
        <v>51</v>
      </c>
      <c r="D256" s="25" t="s">
        <v>465</v>
      </c>
      <c r="E256" s="25" t="s">
        <v>108</v>
      </c>
      <c r="F256" s="25" t="s">
        <v>1731</v>
      </c>
      <c r="G256" s="25" t="s">
        <v>606</v>
      </c>
      <c r="H256" s="25" t="s">
        <v>1732</v>
      </c>
      <c r="I256" s="25" t="s">
        <v>362</v>
      </c>
      <c r="J256" s="25" t="s">
        <v>1733</v>
      </c>
      <c r="K256" s="25" t="s">
        <v>593</v>
      </c>
      <c r="L256" s="25" t="s">
        <v>103</v>
      </c>
      <c r="M256" s="25" t="s">
        <v>55</v>
      </c>
      <c r="N256" s="25" t="s">
        <v>55</v>
      </c>
      <c r="O256" s="25" t="s">
        <v>1734</v>
      </c>
      <c r="P256" s="25" t="s">
        <v>1735</v>
      </c>
      <c r="Q256" s="25" t="s">
        <v>1736</v>
      </c>
      <c r="R256" s="25" t="s">
        <v>63</v>
      </c>
      <c r="S256" s="25" t="s">
        <v>1737</v>
      </c>
      <c r="T256" s="25" t="s">
        <v>1738</v>
      </c>
      <c r="U256" s="25" t="s">
        <v>132</v>
      </c>
      <c r="V256" s="26">
        <v>45989</v>
      </c>
      <c r="W256" s="25" t="s">
        <v>55</v>
      </c>
      <c r="X256" s="25" t="s">
        <v>1739</v>
      </c>
      <c r="Y256" s="25" t="s">
        <v>65</v>
      </c>
      <c r="Z256" s="25" t="s">
        <v>55</v>
      </c>
      <c r="AA256" s="25" t="s">
        <v>152</v>
      </c>
      <c r="AB256" s="25" t="s">
        <v>55</v>
      </c>
      <c r="AC256" s="25" t="s">
        <v>55</v>
      </c>
      <c r="AD256" s="25" t="s">
        <v>67</v>
      </c>
      <c r="AE256" s="25" t="s">
        <v>257</v>
      </c>
      <c r="AF256" s="25" t="s">
        <v>55</v>
      </c>
      <c r="AG256" s="25" t="s">
        <v>55</v>
      </c>
      <c r="AH256" s="25" t="s">
        <v>55</v>
      </c>
      <c r="AI256" s="25" t="s">
        <v>55</v>
      </c>
      <c r="AJ256" s="25" t="s">
        <v>55</v>
      </c>
      <c r="AK256" s="25" t="s">
        <v>55</v>
      </c>
      <c r="AL256" s="25" t="s">
        <v>55</v>
      </c>
      <c r="AM256" s="25" t="s">
        <v>55</v>
      </c>
      <c r="AN256" s="25" t="s">
        <v>55</v>
      </c>
      <c r="AO256" s="25" t="s">
        <v>55</v>
      </c>
      <c r="AP256" s="25" t="s">
        <v>55</v>
      </c>
      <c r="AQ256" s="25" t="s">
        <v>55</v>
      </c>
      <c r="AR256" s="25" t="s">
        <v>55</v>
      </c>
      <c r="AS256" s="25" t="s">
        <v>55</v>
      </c>
      <c r="AT256" s="25" t="s">
        <v>55</v>
      </c>
      <c r="AU256" s="25" t="s">
        <v>55</v>
      </c>
      <c r="AV256" s="25" t="s">
        <v>55</v>
      </c>
      <c r="AW256" s="26">
        <v>45877</v>
      </c>
      <c r="AX256" s="26">
        <v>45926</v>
      </c>
      <c r="AY256" s="25" t="s">
        <v>1740</v>
      </c>
      <c r="AZ256" s="20">
        <f t="shared" si="9"/>
        <v>-7</v>
      </c>
      <c r="BA256" s="17" t="e">
        <f t="shared" si="10"/>
        <v>#N/A</v>
      </c>
      <c r="BB256" s="21" t="s">
        <v>335</v>
      </c>
    </row>
    <row r="257" spans="1:54" x14ac:dyDescent="0.35">
      <c r="A257" s="25" t="s">
        <v>1741</v>
      </c>
      <c r="B257" s="25" t="s">
        <v>347</v>
      </c>
      <c r="C257" s="25" t="s">
        <v>51</v>
      </c>
      <c r="D257" s="25" t="s">
        <v>465</v>
      </c>
      <c r="E257" s="25" t="s">
        <v>108</v>
      </c>
      <c r="F257" s="25" t="s">
        <v>1731</v>
      </c>
      <c r="G257" s="25" t="s">
        <v>606</v>
      </c>
      <c r="H257" s="25" t="s">
        <v>1732</v>
      </c>
      <c r="I257" s="25" t="s">
        <v>109</v>
      </c>
      <c r="J257" s="25" t="s">
        <v>1742</v>
      </c>
      <c r="K257" s="25" t="s">
        <v>586</v>
      </c>
      <c r="L257" s="25" t="s">
        <v>57</v>
      </c>
      <c r="M257" s="25" t="s">
        <v>55</v>
      </c>
      <c r="N257" s="25" t="s">
        <v>55</v>
      </c>
      <c r="O257" s="25" t="s">
        <v>1734</v>
      </c>
      <c r="P257" s="25" t="s">
        <v>1743</v>
      </c>
      <c r="Q257" s="25" t="s">
        <v>1744</v>
      </c>
      <c r="R257" s="25" t="s">
        <v>63</v>
      </c>
      <c r="S257" s="25" t="s">
        <v>1745</v>
      </c>
      <c r="T257" s="25" t="s">
        <v>1746</v>
      </c>
      <c r="U257" s="25" t="s">
        <v>132</v>
      </c>
      <c r="V257" s="26">
        <v>45945</v>
      </c>
      <c r="W257" s="25" t="s">
        <v>55</v>
      </c>
      <c r="X257" s="25" t="s">
        <v>1747</v>
      </c>
      <c r="Y257" s="25" t="s">
        <v>65</v>
      </c>
      <c r="Z257" s="25" t="s">
        <v>55</v>
      </c>
      <c r="AA257" s="25" t="s">
        <v>66</v>
      </c>
      <c r="AB257" s="25" t="s">
        <v>55</v>
      </c>
      <c r="AC257" s="25" t="s">
        <v>55</v>
      </c>
      <c r="AD257" s="25" t="s">
        <v>67</v>
      </c>
      <c r="AE257" s="25" t="s">
        <v>257</v>
      </c>
      <c r="AF257" s="25" t="s">
        <v>55</v>
      </c>
      <c r="AG257" s="25" t="s">
        <v>55</v>
      </c>
      <c r="AH257" s="25" t="s">
        <v>55</v>
      </c>
      <c r="AI257" s="25" t="s">
        <v>55</v>
      </c>
      <c r="AJ257" s="25" t="s">
        <v>55</v>
      </c>
      <c r="AK257" s="25" t="s">
        <v>55</v>
      </c>
      <c r="AL257" s="25" t="s">
        <v>55</v>
      </c>
      <c r="AM257" s="25" t="s">
        <v>55</v>
      </c>
      <c r="AN257" s="25" t="s">
        <v>55</v>
      </c>
      <c r="AO257" s="25" t="s">
        <v>55</v>
      </c>
      <c r="AP257" s="25" t="s">
        <v>55</v>
      </c>
      <c r="AQ257" s="25" t="s">
        <v>55</v>
      </c>
      <c r="AR257" s="25" t="s">
        <v>55</v>
      </c>
      <c r="AS257" s="25" t="s">
        <v>55</v>
      </c>
      <c r="AT257" s="25" t="s">
        <v>55</v>
      </c>
      <c r="AU257" s="25" t="s">
        <v>55</v>
      </c>
      <c r="AV257" s="25" t="s">
        <v>55</v>
      </c>
      <c r="AW257" s="26">
        <v>45877</v>
      </c>
      <c r="AX257" s="26">
        <v>45926</v>
      </c>
      <c r="AY257" s="25" t="s">
        <v>1740</v>
      </c>
      <c r="AZ257" s="20">
        <f t="shared" si="9"/>
        <v>37</v>
      </c>
      <c r="BA257" s="17" t="str">
        <f t="shared" si="10"/>
        <v>&lt; 3 months</v>
      </c>
      <c r="BB257" s="21" t="s">
        <v>66</v>
      </c>
    </row>
    <row r="258" spans="1:54" x14ac:dyDescent="0.35">
      <c r="A258" s="25" t="s">
        <v>1748</v>
      </c>
      <c r="B258" s="25" t="s">
        <v>347</v>
      </c>
      <c r="C258" s="25" t="s">
        <v>51</v>
      </c>
      <c r="D258" s="25" t="s">
        <v>465</v>
      </c>
      <c r="E258" s="25" t="s">
        <v>108</v>
      </c>
      <c r="F258" s="25" t="s">
        <v>1731</v>
      </c>
      <c r="G258" s="25" t="s">
        <v>606</v>
      </c>
      <c r="H258" s="25" t="s">
        <v>1732</v>
      </c>
      <c r="I258" s="25" t="s">
        <v>117</v>
      </c>
      <c r="J258" s="25" t="s">
        <v>1749</v>
      </c>
      <c r="K258" s="25" t="s">
        <v>573</v>
      </c>
      <c r="L258" s="25" t="s">
        <v>57</v>
      </c>
      <c r="M258" s="25" t="s">
        <v>1024</v>
      </c>
      <c r="N258" s="25" t="s">
        <v>55</v>
      </c>
      <c r="O258" s="25" t="s">
        <v>1734</v>
      </c>
      <c r="P258" s="25" t="s">
        <v>1750</v>
      </c>
      <c r="Q258" s="25" t="s">
        <v>1751</v>
      </c>
      <c r="R258" s="25" t="s">
        <v>63</v>
      </c>
      <c r="S258" s="25" t="s">
        <v>1752</v>
      </c>
      <c r="T258" s="25" t="s">
        <v>1753</v>
      </c>
      <c r="U258" s="25" t="s">
        <v>63</v>
      </c>
      <c r="V258" s="26">
        <v>45930</v>
      </c>
      <c r="W258" s="25" t="s">
        <v>55</v>
      </c>
      <c r="X258" s="25" t="s">
        <v>1739</v>
      </c>
      <c r="Y258" s="25" t="s">
        <v>65</v>
      </c>
      <c r="Z258" s="25" t="s">
        <v>55</v>
      </c>
      <c r="AA258" s="25" t="s">
        <v>66</v>
      </c>
      <c r="AB258" s="25" t="s">
        <v>55</v>
      </c>
      <c r="AC258" s="25" t="s">
        <v>55</v>
      </c>
      <c r="AD258" s="25" t="s">
        <v>67</v>
      </c>
      <c r="AE258" s="25" t="s">
        <v>257</v>
      </c>
      <c r="AF258" s="25" t="s">
        <v>1025</v>
      </c>
      <c r="AG258" s="25" t="s">
        <v>55</v>
      </c>
      <c r="AH258" s="25" t="s">
        <v>55</v>
      </c>
      <c r="AI258" s="25" t="s">
        <v>55</v>
      </c>
      <c r="AJ258" s="25" t="s">
        <v>55</v>
      </c>
      <c r="AK258" s="25" t="s">
        <v>55</v>
      </c>
      <c r="AL258" s="25" t="s">
        <v>55</v>
      </c>
      <c r="AM258" s="25" t="s">
        <v>55</v>
      </c>
      <c r="AN258" s="25" t="s">
        <v>55</v>
      </c>
      <c r="AO258" s="25" t="s">
        <v>55</v>
      </c>
      <c r="AP258" s="25" t="s">
        <v>55</v>
      </c>
      <c r="AQ258" s="25" t="s">
        <v>55</v>
      </c>
      <c r="AR258" s="25" t="s">
        <v>55</v>
      </c>
      <c r="AS258" s="25" t="s">
        <v>55</v>
      </c>
      <c r="AT258" s="25" t="s">
        <v>55</v>
      </c>
      <c r="AU258" s="25" t="s">
        <v>55</v>
      </c>
      <c r="AV258" s="25" t="s">
        <v>55</v>
      </c>
      <c r="AW258" s="26">
        <v>45877</v>
      </c>
      <c r="AX258" s="26">
        <v>45926</v>
      </c>
      <c r="AY258" s="25" t="s">
        <v>1740</v>
      </c>
      <c r="AZ258" s="20">
        <f t="shared" si="9"/>
        <v>52</v>
      </c>
      <c r="BA258" s="17" t="str">
        <f t="shared" si="10"/>
        <v>&lt; 3 months</v>
      </c>
      <c r="BB258" s="21" t="s">
        <v>66</v>
      </c>
    </row>
    <row r="259" spans="1:54" x14ac:dyDescent="0.35">
      <c r="A259" s="25" t="s">
        <v>1754</v>
      </c>
      <c r="B259" s="25" t="s">
        <v>347</v>
      </c>
      <c r="C259" s="25" t="s">
        <v>51</v>
      </c>
      <c r="D259" s="25" t="s">
        <v>465</v>
      </c>
      <c r="E259" s="25" t="s">
        <v>108</v>
      </c>
      <c r="F259" s="25" t="s">
        <v>1731</v>
      </c>
      <c r="G259" s="25" t="s">
        <v>606</v>
      </c>
      <c r="H259" s="25" t="s">
        <v>1732</v>
      </c>
      <c r="I259" s="25" t="s">
        <v>121</v>
      </c>
      <c r="J259" s="25" t="s">
        <v>1755</v>
      </c>
      <c r="K259" s="25" t="s">
        <v>867</v>
      </c>
      <c r="L259" s="25" t="s">
        <v>57</v>
      </c>
      <c r="M259" s="25" t="s">
        <v>55</v>
      </c>
      <c r="N259" s="25" t="s">
        <v>55</v>
      </c>
      <c r="O259" s="25" t="s">
        <v>1734</v>
      </c>
      <c r="P259" s="25" t="s">
        <v>1756</v>
      </c>
      <c r="Q259" s="25" t="s">
        <v>1757</v>
      </c>
      <c r="R259" s="25" t="s">
        <v>63</v>
      </c>
      <c r="S259" s="25" t="s">
        <v>1758</v>
      </c>
      <c r="T259" s="25" t="s">
        <v>1759</v>
      </c>
      <c r="U259" s="25" t="s">
        <v>63</v>
      </c>
      <c r="V259" s="26">
        <v>45989</v>
      </c>
      <c r="W259" s="25" t="s">
        <v>55</v>
      </c>
      <c r="X259" s="25" t="s">
        <v>1760</v>
      </c>
      <c r="Y259" s="25" t="s">
        <v>65</v>
      </c>
      <c r="Z259" s="25" t="s">
        <v>55</v>
      </c>
      <c r="AA259" s="25" t="s">
        <v>152</v>
      </c>
      <c r="AB259" s="25" t="s">
        <v>55</v>
      </c>
      <c r="AC259" s="25" t="s">
        <v>55</v>
      </c>
      <c r="AD259" s="25" t="s">
        <v>67</v>
      </c>
      <c r="AE259" s="25" t="s">
        <v>257</v>
      </c>
      <c r="AF259" s="25" t="s">
        <v>55</v>
      </c>
      <c r="AG259" s="25" t="s">
        <v>55</v>
      </c>
      <c r="AH259" s="25" t="s">
        <v>55</v>
      </c>
      <c r="AI259" s="25" t="s">
        <v>55</v>
      </c>
      <c r="AJ259" s="25" t="s">
        <v>55</v>
      </c>
      <c r="AK259" s="25" t="s">
        <v>55</v>
      </c>
      <c r="AL259" s="25" t="s">
        <v>55</v>
      </c>
      <c r="AM259" s="25" t="s">
        <v>55</v>
      </c>
      <c r="AN259" s="25" t="s">
        <v>55</v>
      </c>
      <c r="AO259" s="25" t="s">
        <v>55</v>
      </c>
      <c r="AP259" s="25" t="s">
        <v>55</v>
      </c>
      <c r="AQ259" s="25" t="s">
        <v>55</v>
      </c>
      <c r="AR259" s="25" t="s">
        <v>55</v>
      </c>
      <c r="AS259" s="25" t="s">
        <v>55</v>
      </c>
      <c r="AT259" s="25" t="s">
        <v>55</v>
      </c>
      <c r="AU259" s="25" t="s">
        <v>55</v>
      </c>
      <c r="AV259" s="25" t="s">
        <v>55</v>
      </c>
      <c r="AW259" s="26">
        <v>45877</v>
      </c>
      <c r="AX259" s="26">
        <v>45926</v>
      </c>
      <c r="AY259" s="25" t="s">
        <v>1740</v>
      </c>
      <c r="AZ259" s="20">
        <f t="shared" si="9"/>
        <v>-7</v>
      </c>
      <c r="BA259" s="17" t="e">
        <f t="shared" si="10"/>
        <v>#N/A</v>
      </c>
      <c r="BB259" s="21" t="s">
        <v>335</v>
      </c>
    </row>
    <row r="260" spans="1:54" x14ac:dyDescent="0.35">
      <c r="A260" s="25" t="s">
        <v>1761</v>
      </c>
      <c r="B260" s="25" t="s">
        <v>347</v>
      </c>
      <c r="C260" s="25" t="s">
        <v>51</v>
      </c>
      <c r="D260" s="25" t="s">
        <v>465</v>
      </c>
      <c r="E260" s="25" t="s">
        <v>108</v>
      </c>
      <c r="F260" s="25" t="s">
        <v>1731</v>
      </c>
      <c r="G260" s="25" t="s">
        <v>606</v>
      </c>
      <c r="H260" s="25" t="s">
        <v>1732</v>
      </c>
      <c r="I260" s="25" t="s">
        <v>86</v>
      </c>
      <c r="J260" s="25" t="s">
        <v>897</v>
      </c>
      <c r="K260" s="25" t="s">
        <v>594</v>
      </c>
      <c r="L260" s="25" t="s">
        <v>57</v>
      </c>
      <c r="M260" s="25" t="s">
        <v>55</v>
      </c>
      <c r="N260" s="25" t="s">
        <v>55</v>
      </c>
      <c r="O260" s="25" t="s">
        <v>1734</v>
      </c>
      <c r="P260" s="25" t="s">
        <v>1762</v>
      </c>
      <c r="Q260" s="25" t="s">
        <v>1763</v>
      </c>
      <c r="R260" s="25" t="s">
        <v>63</v>
      </c>
      <c r="S260" s="25" t="s">
        <v>1764</v>
      </c>
      <c r="T260" s="25" t="s">
        <v>1765</v>
      </c>
      <c r="U260" s="25" t="s">
        <v>63</v>
      </c>
      <c r="V260" s="26">
        <v>45989</v>
      </c>
      <c r="W260" s="25" t="s">
        <v>55</v>
      </c>
      <c r="X260" s="25" t="s">
        <v>1766</v>
      </c>
      <c r="Y260" s="25" t="s">
        <v>65</v>
      </c>
      <c r="Z260" s="25" t="s">
        <v>55</v>
      </c>
      <c r="AA260" s="25" t="s">
        <v>152</v>
      </c>
      <c r="AB260" s="25" t="s">
        <v>55</v>
      </c>
      <c r="AC260" s="25" t="s">
        <v>55</v>
      </c>
      <c r="AD260" s="25" t="s">
        <v>67</v>
      </c>
      <c r="AE260" s="25" t="s">
        <v>257</v>
      </c>
      <c r="AF260" s="25" t="s">
        <v>55</v>
      </c>
      <c r="AG260" s="25" t="s">
        <v>55</v>
      </c>
      <c r="AH260" s="25" t="s">
        <v>55</v>
      </c>
      <c r="AI260" s="25" t="s">
        <v>55</v>
      </c>
      <c r="AJ260" s="25" t="s">
        <v>55</v>
      </c>
      <c r="AK260" s="25" t="s">
        <v>55</v>
      </c>
      <c r="AL260" s="25" t="s">
        <v>55</v>
      </c>
      <c r="AM260" s="25" t="s">
        <v>55</v>
      </c>
      <c r="AN260" s="25" t="s">
        <v>55</v>
      </c>
      <c r="AO260" s="25" t="s">
        <v>55</v>
      </c>
      <c r="AP260" s="25" t="s">
        <v>55</v>
      </c>
      <c r="AQ260" s="25" t="s">
        <v>55</v>
      </c>
      <c r="AR260" s="25" t="s">
        <v>55</v>
      </c>
      <c r="AS260" s="25" t="s">
        <v>55</v>
      </c>
      <c r="AT260" s="25" t="s">
        <v>55</v>
      </c>
      <c r="AU260" s="25" t="s">
        <v>55</v>
      </c>
      <c r="AV260" s="25" t="s">
        <v>55</v>
      </c>
      <c r="AW260" s="26">
        <v>45877</v>
      </c>
      <c r="AX260" s="26">
        <v>45926</v>
      </c>
      <c r="AY260" s="25" t="s">
        <v>1740</v>
      </c>
      <c r="AZ260" s="20">
        <f t="shared" si="9"/>
        <v>-7</v>
      </c>
      <c r="BA260" s="17" t="e">
        <f t="shared" si="10"/>
        <v>#N/A</v>
      </c>
      <c r="BB260" s="21" t="s">
        <v>335</v>
      </c>
    </row>
    <row r="261" spans="1:54" x14ac:dyDescent="0.35">
      <c r="A261" s="25" t="s">
        <v>1767</v>
      </c>
      <c r="B261" s="25" t="s">
        <v>347</v>
      </c>
      <c r="C261" s="25" t="s">
        <v>51</v>
      </c>
      <c r="D261" s="25" t="s">
        <v>465</v>
      </c>
      <c r="E261" s="25" t="s">
        <v>108</v>
      </c>
      <c r="F261" s="25" t="s">
        <v>986</v>
      </c>
      <c r="G261" s="25" t="s">
        <v>94</v>
      </c>
      <c r="H261" s="25" t="s">
        <v>95</v>
      </c>
      <c r="I261" s="25" t="s">
        <v>119</v>
      </c>
      <c r="J261" s="25" t="s">
        <v>1768</v>
      </c>
      <c r="K261" s="25" t="s">
        <v>552</v>
      </c>
      <c r="L261" s="25" t="s">
        <v>57</v>
      </c>
      <c r="M261" s="25" t="s">
        <v>55</v>
      </c>
      <c r="N261" s="25" t="s">
        <v>55</v>
      </c>
      <c r="O261" s="25" t="s">
        <v>1769</v>
      </c>
      <c r="P261" s="25" t="s">
        <v>1770</v>
      </c>
      <c r="Q261" s="25" t="s">
        <v>1771</v>
      </c>
      <c r="R261" s="25" t="s">
        <v>63</v>
      </c>
      <c r="S261" s="25" t="s">
        <v>1772</v>
      </c>
      <c r="T261" s="25" t="s">
        <v>1773</v>
      </c>
      <c r="U261" s="25" t="s">
        <v>132</v>
      </c>
      <c r="V261" s="26">
        <v>45930</v>
      </c>
      <c r="W261" s="25" t="s">
        <v>55</v>
      </c>
      <c r="X261" s="25" t="s">
        <v>1774</v>
      </c>
      <c r="Y261" s="25" t="s">
        <v>65</v>
      </c>
      <c r="Z261" s="25" t="s">
        <v>55</v>
      </c>
      <c r="AA261" s="25" t="s">
        <v>66</v>
      </c>
      <c r="AB261" s="25" t="s">
        <v>55</v>
      </c>
      <c r="AC261" s="25" t="s">
        <v>55</v>
      </c>
      <c r="AD261" s="25" t="s">
        <v>67</v>
      </c>
      <c r="AE261" s="25" t="s">
        <v>257</v>
      </c>
      <c r="AF261" s="25" t="s">
        <v>55</v>
      </c>
      <c r="AG261" s="25" t="s">
        <v>55</v>
      </c>
      <c r="AH261" s="25" t="s">
        <v>55</v>
      </c>
      <c r="AI261" s="25" t="s">
        <v>55</v>
      </c>
      <c r="AJ261" s="25" t="s">
        <v>55</v>
      </c>
      <c r="AK261" s="25" t="s">
        <v>55</v>
      </c>
      <c r="AL261" s="25" t="s">
        <v>55</v>
      </c>
      <c r="AM261" s="25" t="s">
        <v>55</v>
      </c>
      <c r="AN261" s="25" t="s">
        <v>55</v>
      </c>
      <c r="AO261" s="25" t="s">
        <v>55</v>
      </c>
      <c r="AP261" s="25" t="s">
        <v>55</v>
      </c>
      <c r="AQ261" s="25" t="s">
        <v>55</v>
      </c>
      <c r="AR261" s="25" t="s">
        <v>55</v>
      </c>
      <c r="AS261" s="25" t="s">
        <v>55</v>
      </c>
      <c r="AT261" s="25" t="s">
        <v>55</v>
      </c>
      <c r="AU261" s="25" t="s">
        <v>55</v>
      </c>
      <c r="AV261" s="25" t="s">
        <v>55</v>
      </c>
      <c r="AW261" s="26">
        <v>45824</v>
      </c>
      <c r="AX261" s="26">
        <v>45926</v>
      </c>
      <c r="AY261" s="25" t="s">
        <v>1740</v>
      </c>
      <c r="AZ261" s="20">
        <f t="shared" si="9"/>
        <v>52</v>
      </c>
      <c r="BA261" s="17" t="str">
        <f t="shared" si="10"/>
        <v>&lt; 3 months</v>
      </c>
      <c r="BB261" s="21" t="s">
        <v>66</v>
      </c>
    </row>
    <row r="262" spans="1:54" x14ac:dyDescent="0.35">
      <c r="A262" s="25" t="s">
        <v>1775</v>
      </c>
      <c r="B262" s="25" t="s">
        <v>347</v>
      </c>
      <c r="C262" s="25" t="s">
        <v>51</v>
      </c>
      <c r="D262" s="25" t="s">
        <v>465</v>
      </c>
      <c r="E262" s="25" t="s">
        <v>52</v>
      </c>
      <c r="F262" s="25" t="s">
        <v>1776</v>
      </c>
      <c r="G262" s="25" t="s">
        <v>606</v>
      </c>
      <c r="H262" s="25" t="s">
        <v>607</v>
      </c>
      <c r="I262" s="25" t="s">
        <v>121</v>
      </c>
      <c r="J262" s="25" t="s">
        <v>1777</v>
      </c>
      <c r="K262" s="25" t="s">
        <v>564</v>
      </c>
      <c r="L262" s="25" t="s">
        <v>57</v>
      </c>
      <c r="M262" s="25" t="s">
        <v>154</v>
      </c>
      <c r="N262" s="25" t="s">
        <v>55</v>
      </c>
      <c r="O262" s="25" t="s">
        <v>1778</v>
      </c>
      <c r="P262" s="25" t="s">
        <v>1779</v>
      </c>
      <c r="Q262" s="25" t="s">
        <v>1780</v>
      </c>
      <c r="R262" s="25" t="s">
        <v>63</v>
      </c>
      <c r="S262" s="25" t="s">
        <v>1781</v>
      </c>
      <c r="T262" s="25" t="s">
        <v>1782</v>
      </c>
      <c r="U262" s="25" t="s">
        <v>63</v>
      </c>
      <c r="V262" s="26">
        <v>45961</v>
      </c>
      <c r="W262" s="25" t="s">
        <v>55</v>
      </c>
      <c r="X262" s="25" t="s">
        <v>1783</v>
      </c>
      <c r="Y262" s="25" t="s">
        <v>65</v>
      </c>
      <c r="Z262" s="25" t="s">
        <v>55</v>
      </c>
      <c r="AA262" s="25" t="s">
        <v>66</v>
      </c>
      <c r="AB262" s="25" t="s">
        <v>55</v>
      </c>
      <c r="AC262" s="25" t="s">
        <v>55</v>
      </c>
      <c r="AD262" s="25" t="s">
        <v>67</v>
      </c>
      <c r="AE262" s="25" t="s">
        <v>257</v>
      </c>
      <c r="AF262" s="25" t="s">
        <v>156</v>
      </c>
      <c r="AG262" s="25" t="s">
        <v>55</v>
      </c>
      <c r="AH262" s="25" t="s">
        <v>55</v>
      </c>
      <c r="AI262" s="25" t="s">
        <v>55</v>
      </c>
      <c r="AJ262" s="25" t="s">
        <v>55</v>
      </c>
      <c r="AK262" s="25" t="s">
        <v>55</v>
      </c>
      <c r="AL262" s="25" t="s">
        <v>55</v>
      </c>
      <c r="AM262" s="25" t="s">
        <v>55</v>
      </c>
      <c r="AN262" s="25" t="s">
        <v>55</v>
      </c>
      <c r="AO262" s="25" t="s">
        <v>55</v>
      </c>
      <c r="AP262" s="25" t="s">
        <v>55</v>
      </c>
      <c r="AQ262" s="25" t="s">
        <v>55</v>
      </c>
      <c r="AR262" s="25" t="s">
        <v>55</v>
      </c>
      <c r="AS262" s="25" t="s">
        <v>55</v>
      </c>
      <c r="AT262" s="25" t="s">
        <v>55</v>
      </c>
      <c r="AU262" s="25" t="s">
        <v>55</v>
      </c>
      <c r="AV262" s="25" t="s">
        <v>55</v>
      </c>
      <c r="AW262" s="26">
        <v>45863</v>
      </c>
      <c r="AX262" s="26">
        <v>45929</v>
      </c>
      <c r="AY262" s="25" t="s">
        <v>1740</v>
      </c>
      <c r="AZ262" s="20">
        <f t="shared" si="9"/>
        <v>21</v>
      </c>
      <c r="BA262" s="17" t="str">
        <f t="shared" si="10"/>
        <v>&lt; 3 months</v>
      </c>
      <c r="BB262" s="21" t="s">
        <v>66</v>
      </c>
    </row>
    <row r="263" spans="1:54" x14ac:dyDescent="0.35">
      <c r="A263" s="25" t="s">
        <v>1784</v>
      </c>
      <c r="B263" s="25" t="s">
        <v>347</v>
      </c>
      <c r="C263" s="25" t="s">
        <v>51</v>
      </c>
      <c r="D263" s="25" t="s">
        <v>465</v>
      </c>
      <c r="E263" s="25" t="s">
        <v>108</v>
      </c>
      <c r="F263" s="25" t="s">
        <v>1776</v>
      </c>
      <c r="G263" s="25" t="s">
        <v>606</v>
      </c>
      <c r="H263" s="25" t="s">
        <v>607</v>
      </c>
      <c r="I263" s="25" t="s">
        <v>526</v>
      </c>
      <c r="J263" s="25" t="s">
        <v>1785</v>
      </c>
      <c r="K263" s="25" t="s">
        <v>868</v>
      </c>
      <c r="L263" s="25" t="s">
        <v>57</v>
      </c>
      <c r="M263" s="25" t="s">
        <v>55</v>
      </c>
      <c r="N263" s="25" t="s">
        <v>55</v>
      </c>
      <c r="O263" s="25" t="s">
        <v>1778</v>
      </c>
      <c r="P263" s="25" t="s">
        <v>1786</v>
      </c>
      <c r="Q263" s="25" t="s">
        <v>1787</v>
      </c>
      <c r="R263" s="25" t="s">
        <v>63</v>
      </c>
      <c r="S263" s="25" t="s">
        <v>1788</v>
      </c>
      <c r="T263" s="25" t="s">
        <v>1789</v>
      </c>
      <c r="U263" s="25" t="s">
        <v>63</v>
      </c>
      <c r="V263" s="26">
        <v>45961</v>
      </c>
      <c r="W263" s="25" t="s">
        <v>55</v>
      </c>
      <c r="X263" s="25" t="s">
        <v>1790</v>
      </c>
      <c r="Y263" s="25" t="s">
        <v>65</v>
      </c>
      <c r="Z263" s="25" t="s">
        <v>55</v>
      </c>
      <c r="AA263" s="25" t="s">
        <v>66</v>
      </c>
      <c r="AB263" s="25" t="s">
        <v>55</v>
      </c>
      <c r="AC263" s="25" t="s">
        <v>55</v>
      </c>
      <c r="AD263" s="25" t="s">
        <v>67</v>
      </c>
      <c r="AE263" s="25" t="s">
        <v>257</v>
      </c>
      <c r="AF263" s="25" t="s">
        <v>55</v>
      </c>
      <c r="AG263" s="25" t="s">
        <v>55</v>
      </c>
      <c r="AH263" s="25" t="s">
        <v>55</v>
      </c>
      <c r="AI263" s="25" t="s">
        <v>55</v>
      </c>
      <c r="AJ263" s="25" t="s">
        <v>55</v>
      </c>
      <c r="AK263" s="25" t="s">
        <v>55</v>
      </c>
      <c r="AL263" s="25" t="s">
        <v>55</v>
      </c>
      <c r="AM263" s="25" t="s">
        <v>55</v>
      </c>
      <c r="AN263" s="25" t="s">
        <v>55</v>
      </c>
      <c r="AO263" s="25" t="s">
        <v>55</v>
      </c>
      <c r="AP263" s="25" t="s">
        <v>55</v>
      </c>
      <c r="AQ263" s="25" t="s">
        <v>55</v>
      </c>
      <c r="AR263" s="25" t="s">
        <v>55</v>
      </c>
      <c r="AS263" s="25" t="s">
        <v>55</v>
      </c>
      <c r="AT263" s="25" t="s">
        <v>55</v>
      </c>
      <c r="AU263" s="25" t="s">
        <v>55</v>
      </c>
      <c r="AV263" s="25" t="s">
        <v>55</v>
      </c>
      <c r="AW263" s="26">
        <v>45863</v>
      </c>
      <c r="AX263" s="26">
        <v>45929</v>
      </c>
      <c r="AY263" s="25" t="s">
        <v>1740</v>
      </c>
      <c r="AZ263" s="20">
        <f t="shared" si="9"/>
        <v>21</v>
      </c>
      <c r="BA263" s="17" t="str">
        <f t="shared" si="10"/>
        <v>&lt; 3 months</v>
      </c>
      <c r="BB263" s="21" t="s">
        <v>66</v>
      </c>
    </row>
    <row r="264" spans="1:54" x14ac:dyDescent="0.35">
      <c r="A264" s="25" t="s">
        <v>1791</v>
      </c>
      <c r="B264" s="25" t="s">
        <v>347</v>
      </c>
      <c r="C264" s="25" t="s">
        <v>51</v>
      </c>
      <c r="D264" s="25" t="s">
        <v>465</v>
      </c>
      <c r="E264" s="25" t="s">
        <v>108</v>
      </c>
      <c r="F264" s="25" t="s">
        <v>1776</v>
      </c>
      <c r="G264" s="25" t="s">
        <v>606</v>
      </c>
      <c r="H264" s="25" t="s">
        <v>607</v>
      </c>
      <c r="I264" s="25" t="s">
        <v>119</v>
      </c>
      <c r="J264" s="25" t="s">
        <v>1768</v>
      </c>
      <c r="K264" s="25" t="s">
        <v>552</v>
      </c>
      <c r="L264" s="25" t="s">
        <v>57</v>
      </c>
      <c r="M264" s="25" t="s">
        <v>55</v>
      </c>
      <c r="N264" s="25" t="s">
        <v>55</v>
      </c>
      <c r="O264" s="25" t="s">
        <v>1778</v>
      </c>
      <c r="P264" s="25" t="s">
        <v>1792</v>
      </c>
      <c r="Q264" s="25" t="s">
        <v>1793</v>
      </c>
      <c r="R264" s="25" t="s">
        <v>63</v>
      </c>
      <c r="S264" s="25" t="s">
        <v>1794</v>
      </c>
      <c r="T264" s="25" t="s">
        <v>1795</v>
      </c>
      <c r="U264" s="25" t="s">
        <v>63</v>
      </c>
      <c r="V264" s="26">
        <v>46295</v>
      </c>
      <c r="W264" s="25" t="s">
        <v>55</v>
      </c>
      <c r="X264" s="25" t="s">
        <v>1796</v>
      </c>
      <c r="Y264" s="25" t="s">
        <v>65</v>
      </c>
      <c r="Z264" s="25" t="s">
        <v>55</v>
      </c>
      <c r="AA264" s="25" t="s">
        <v>155</v>
      </c>
      <c r="AB264" s="25" t="s">
        <v>55</v>
      </c>
      <c r="AC264" s="25" t="s">
        <v>55</v>
      </c>
      <c r="AD264" s="25" t="s">
        <v>67</v>
      </c>
      <c r="AE264" s="25" t="s">
        <v>257</v>
      </c>
      <c r="AF264" s="25" t="s">
        <v>55</v>
      </c>
      <c r="AG264" s="25" t="s">
        <v>55</v>
      </c>
      <c r="AH264" s="25" t="s">
        <v>55</v>
      </c>
      <c r="AI264" s="25" t="s">
        <v>55</v>
      </c>
      <c r="AJ264" s="25" t="s">
        <v>55</v>
      </c>
      <c r="AK264" s="25" t="s">
        <v>55</v>
      </c>
      <c r="AL264" s="25" t="s">
        <v>55</v>
      </c>
      <c r="AM264" s="25" t="s">
        <v>55</v>
      </c>
      <c r="AN264" s="25" t="s">
        <v>55</v>
      </c>
      <c r="AO264" s="25" t="s">
        <v>55</v>
      </c>
      <c r="AP264" s="25" t="s">
        <v>55</v>
      </c>
      <c r="AQ264" s="25" t="s">
        <v>55</v>
      </c>
      <c r="AR264" s="25" t="s">
        <v>55</v>
      </c>
      <c r="AS264" s="25" t="s">
        <v>55</v>
      </c>
      <c r="AT264" s="25" t="s">
        <v>55</v>
      </c>
      <c r="AU264" s="25" t="s">
        <v>55</v>
      </c>
      <c r="AV264" s="25" t="s">
        <v>55</v>
      </c>
      <c r="AW264" s="26">
        <v>45863</v>
      </c>
      <c r="AX264" s="26">
        <v>45929</v>
      </c>
      <c r="AY264" s="25" t="s">
        <v>1740</v>
      </c>
      <c r="AZ264" s="20">
        <f t="shared" si="9"/>
        <v>-313</v>
      </c>
      <c r="BA264" s="17" t="e">
        <f t="shared" si="10"/>
        <v>#N/A</v>
      </c>
      <c r="BB264" s="21" t="s">
        <v>335</v>
      </c>
    </row>
    <row r="265" spans="1:54" x14ac:dyDescent="0.35">
      <c r="A265" s="25" t="s">
        <v>1797</v>
      </c>
      <c r="B265" s="25" t="s">
        <v>347</v>
      </c>
      <c r="C265" s="25" t="s">
        <v>51</v>
      </c>
      <c r="D265" s="25" t="s">
        <v>465</v>
      </c>
      <c r="E265" s="25" t="s">
        <v>108</v>
      </c>
      <c r="F265" s="25" t="s">
        <v>1776</v>
      </c>
      <c r="G265" s="25" t="s">
        <v>606</v>
      </c>
      <c r="H265" s="25" t="s">
        <v>607</v>
      </c>
      <c r="I265" s="25" t="s">
        <v>109</v>
      </c>
      <c r="J265" s="25" t="s">
        <v>109</v>
      </c>
      <c r="K265" s="25" t="s">
        <v>586</v>
      </c>
      <c r="L265" s="25" t="s">
        <v>57</v>
      </c>
      <c r="M265" s="25" t="s">
        <v>55</v>
      </c>
      <c r="N265" s="25" t="s">
        <v>55</v>
      </c>
      <c r="O265" s="25" t="s">
        <v>1778</v>
      </c>
      <c r="P265" s="25" t="s">
        <v>1798</v>
      </c>
      <c r="Q265" s="25" t="s">
        <v>1799</v>
      </c>
      <c r="R265" s="25" t="s">
        <v>63</v>
      </c>
      <c r="S265" s="25" t="s">
        <v>1800</v>
      </c>
      <c r="T265" s="25" t="s">
        <v>1800</v>
      </c>
      <c r="U265" s="25" t="s">
        <v>63</v>
      </c>
      <c r="V265" s="26">
        <v>45991</v>
      </c>
      <c r="W265" s="25" t="s">
        <v>55</v>
      </c>
      <c r="X265" s="25" t="s">
        <v>1783</v>
      </c>
      <c r="Y265" s="25" t="s">
        <v>65</v>
      </c>
      <c r="Z265" s="25" t="s">
        <v>55</v>
      </c>
      <c r="AA265" s="25" t="s">
        <v>152</v>
      </c>
      <c r="AB265" s="25" t="s">
        <v>55</v>
      </c>
      <c r="AC265" s="25" t="s">
        <v>55</v>
      </c>
      <c r="AD265" s="25" t="s">
        <v>67</v>
      </c>
      <c r="AE265" s="25" t="s">
        <v>257</v>
      </c>
      <c r="AF265" s="25" t="s">
        <v>55</v>
      </c>
      <c r="AG265" s="25" t="s">
        <v>55</v>
      </c>
      <c r="AH265" s="25" t="s">
        <v>55</v>
      </c>
      <c r="AI265" s="25" t="s">
        <v>55</v>
      </c>
      <c r="AJ265" s="25" t="s">
        <v>55</v>
      </c>
      <c r="AK265" s="25" t="s">
        <v>55</v>
      </c>
      <c r="AL265" s="25" t="s">
        <v>55</v>
      </c>
      <c r="AM265" s="25" t="s">
        <v>55</v>
      </c>
      <c r="AN265" s="25" t="s">
        <v>55</v>
      </c>
      <c r="AO265" s="25" t="s">
        <v>55</v>
      </c>
      <c r="AP265" s="25" t="s">
        <v>55</v>
      </c>
      <c r="AQ265" s="25" t="s">
        <v>55</v>
      </c>
      <c r="AR265" s="25" t="s">
        <v>55</v>
      </c>
      <c r="AS265" s="25" t="s">
        <v>55</v>
      </c>
      <c r="AT265" s="25" t="s">
        <v>55</v>
      </c>
      <c r="AU265" s="25" t="s">
        <v>55</v>
      </c>
      <c r="AV265" s="25" t="s">
        <v>55</v>
      </c>
      <c r="AW265" s="26">
        <v>45863</v>
      </c>
      <c r="AX265" s="26">
        <v>45929</v>
      </c>
      <c r="AY265" s="25" t="s">
        <v>1740</v>
      </c>
      <c r="AZ265" s="20">
        <f t="shared" si="9"/>
        <v>-9</v>
      </c>
      <c r="BA265" s="17" t="e">
        <f t="shared" si="10"/>
        <v>#N/A</v>
      </c>
      <c r="BB265" s="21" t="s">
        <v>335</v>
      </c>
    </row>
    <row r="266" spans="1:54" x14ac:dyDescent="0.35">
      <c r="A266" s="25" t="s">
        <v>1801</v>
      </c>
      <c r="B266" s="25" t="s">
        <v>347</v>
      </c>
      <c r="C266" s="25" t="s">
        <v>51</v>
      </c>
      <c r="D266" s="25" t="s">
        <v>465</v>
      </c>
      <c r="E266" s="25" t="s">
        <v>108</v>
      </c>
      <c r="F266" s="25" t="s">
        <v>1802</v>
      </c>
      <c r="G266" s="25" t="s">
        <v>126</v>
      </c>
      <c r="H266" s="25" t="s">
        <v>138</v>
      </c>
      <c r="I266" s="25" t="s">
        <v>160</v>
      </c>
      <c r="J266" s="25" t="s">
        <v>1159</v>
      </c>
      <c r="K266" s="25" t="s">
        <v>558</v>
      </c>
      <c r="L266" s="25" t="s">
        <v>57</v>
      </c>
      <c r="M266" s="25" t="s">
        <v>55</v>
      </c>
      <c r="N266" s="25" t="s">
        <v>55</v>
      </c>
      <c r="O266" s="25" t="s">
        <v>1803</v>
      </c>
      <c r="P266" s="25" t="s">
        <v>1804</v>
      </c>
      <c r="Q266" s="25" t="s">
        <v>1805</v>
      </c>
      <c r="R266" s="25" t="s">
        <v>63</v>
      </c>
      <c r="S266" s="25" t="s">
        <v>1806</v>
      </c>
      <c r="T266" s="25" t="s">
        <v>1807</v>
      </c>
      <c r="U266" s="25" t="s">
        <v>132</v>
      </c>
      <c r="V266" s="26">
        <v>45991</v>
      </c>
      <c r="W266" s="25" t="s">
        <v>55</v>
      </c>
      <c r="X266" s="25" t="s">
        <v>1808</v>
      </c>
      <c r="Y266" s="25" t="s">
        <v>65</v>
      </c>
      <c r="Z266" s="25" t="s">
        <v>55</v>
      </c>
      <c r="AA266" s="25" t="s">
        <v>152</v>
      </c>
      <c r="AB266" s="25" t="s">
        <v>55</v>
      </c>
      <c r="AC266" s="25" t="s">
        <v>55</v>
      </c>
      <c r="AD266" s="25" t="s">
        <v>67</v>
      </c>
      <c r="AE266" s="25" t="s">
        <v>257</v>
      </c>
      <c r="AF266" s="25" t="s">
        <v>55</v>
      </c>
      <c r="AG266" s="25" t="s">
        <v>55</v>
      </c>
      <c r="AH266" s="25" t="s">
        <v>55</v>
      </c>
      <c r="AI266" s="25" t="s">
        <v>55</v>
      </c>
      <c r="AJ266" s="25" t="s">
        <v>55</v>
      </c>
      <c r="AK266" s="25" t="s">
        <v>55</v>
      </c>
      <c r="AL266" s="25" t="s">
        <v>55</v>
      </c>
      <c r="AM266" s="25" t="s">
        <v>55</v>
      </c>
      <c r="AN266" s="25" t="s">
        <v>55</v>
      </c>
      <c r="AO266" s="25" t="s">
        <v>55</v>
      </c>
      <c r="AP266" s="25" t="s">
        <v>55</v>
      </c>
      <c r="AQ266" s="25" t="s">
        <v>55</v>
      </c>
      <c r="AR266" s="25" t="s">
        <v>55</v>
      </c>
      <c r="AS266" s="25" t="s">
        <v>55</v>
      </c>
      <c r="AT266" s="25" t="s">
        <v>55</v>
      </c>
      <c r="AU266" s="25" t="s">
        <v>55</v>
      </c>
      <c r="AV266" s="25" t="s">
        <v>55</v>
      </c>
      <c r="AW266" s="26">
        <v>45887</v>
      </c>
      <c r="AX266" s="26">
        <v>45943</v>
      </c>
      <c r="AY266" s="25" t="s">
        <v>1740</v>
      </c>
      <c r="AZ266" s="20">
        <f t="shared" si="9"/>
        <v>-9</v>
      </c>
      <c r="BA266" s="17" t="e">
        <f t="shared" si="10"/>
        <v>#N/A</v>
      </c>
      <c r="BB266" s="21" t="s">
        <v>335</v>
      </c>
    </row>
    <row r="267" spans="1:54" x14ac:dyDescent="0.35">
      <c r="A267" s="25" t="s">
        <v>1809</v>
      </c>
      <c r="B267" s="25" t="s">
        <v>347</v>
      </c>
      <c r="C267" s="25" t="s">
        <v>51</v>
      </c>
      <c r="D267" s="25" t="s">
        <v>465</v>
      </c>
      <c r="E267" s="25" t="s">
        <v>108</v>
      </c>
      <c r="F267" s="25" t="s">
        <v>1802</v>
      </c>
      <c r="G267" s="25" t="s">
        <v>126</v>
      </c>
      <c r="H267" s="25" t="s">
        <v>138</v>
      </c>
      <c r="I267" s="25" t="s">
        <v>121</v>
      </c>
      <c r="J267" s="25" t="s">
        <v>752</v>
      </c>
      <c r="K267" s="25" t="s">
        <v>867</v>
      </c>
      <c r="L267" s="25" t="s">
        <v>57</v>
      </c>
      <c r="M267" s="25" t="s">
        <v>55</v>
      </c>
      <c r="N267" s="25" t="s">
        <v>55</v>
      </c>
      <c r="O267" s="25" t="s">
        <v>1803</v>
      </c>
      <c r="P267" s="25" t="s">
        <v>1810</v>
      </c>
      <c r="Q267" s="25" t="s">
        <v>1811</v>
      </c>
      <c r="R267" s="25" t="s">
        <v>63</v>
      </c>
      <c r="S267" s="25" t="s">
        <v>1812</v>
      </c>
      <c r="T267" s="25" t="s">
        <v>1813</v>
      </c>
      <c r="U267" s="25" t="s">
        <v>63</v>
      </c>
      <c r="V267" s="26">
        <v>46006</v>
      </c>
      <c r="W267" s="25" t="s">
        <v>55</v>
      </c>
      <c r="X267" s="25" t="s">
        <v>1808</v>
      </c>
      <c r="Y267" s="25" t="s">
        <v>65</v>
      </c>
      <c r="Z267" s="25" t="s">
        <v>55</v>
      </c>
      <c r="AA267" s="25" t="s">
        <v>152</v>
      </c>
      <c r="AB267" s="25" t="s">
        <v>55</v>
      </c>
      <c r="AC267" s="25" t="s">
        <v>55</v>
      </c>
      <c r="AD267" s="25" t="s">
        <v>67</v>
      </c>
      <c r="AE267" s="25" t="s">
        <v>257</v>
      </c>
      <c r="AF267" s="25" t="s">
        <v>55</v>
      </c>
      <c r="AG267" s="25" t="s">
        <v>55</v>
      </c>
      <c r="AH267" s="25" t="s">
        <v>55</v>
      </c>
      <c r="AI267" s="25" t="s">
        <v>55</v>
      </c>
      <c r="AJ267" s="25" t="s">
        <v>55</v>
      </c>
      <c r="AK267" s="25" t="s">
        <v>55</v>
      </c>
      <c r="AL267" s="25" t="s">
        <v>55</v>
      </c>
      <c r="AM267" s="25" t="s">
        <v>55</v>
      </c>
      <c r="AN267" s="25" t="s">
        <v>55</v>
      </c>
      <c r="AO267" s="25" t="s">
        <v>55</v>
      </c>
      <c r="AP267" s="25" t="s">
        <v>55</v>
      </c>
      <c r="AQ267" s="25" t="s">
        <v>55</v>
      </c>
      <c r="AR267" s="25" t="s">
        <v>55</v>
      </c>
      <c r="AS267" s="25" t="s">
        <v>55</v>
      </c>
      <c r="AT267" s="25" t="s">
        <v>55</v>
      </c>
      <c r="AU267" s="25" t="s">
        <v>55</v>
      </c>
      <c r="AV267" s="25" t="s">
        <v>55</v>
      </c>
      <c r="AW267" s="26">
        <v>45887</v>
      </c>
      <c r="AX267" s="26">
        <v>45943</v>
      </c>
      <c r="AY267" s="25" t="s">
        <v>1740</v>
      </c>
      <c r="AZ267" s="20">
        <f t="shared" si="9"/>
        <v>-24</v>
      </c>
      <c r="BA267" s="17" t="e">
        <f t="shared" si="10"/>
        <v>#N/A</v>
      </c>
      <c r="BB267" s="21" t="s">
        <v>335</v>
      </c>
    </row>
    <row r="268" spans="1:54" x14ac:dyDescent="0.35">
      <c r="A268" s="25" t="s">
        <v>1814</v>
      </c>
      <c r="B268" s="25" t="s">
        <v>347</v>
      </c>
      <c r="C268" s="25" t="s">
        <v>51</v>
      </c>
      <c r="D268" s="25" t="s">
        <v>465</v>
      </c>
      <c r="E268" s="25" t="s">
        <v>52</v>
      </c>
      <c r="F268" s="25" t="s">
        <v>1802</v>
      </c>
      <c r="G268" s="25" t="s">
        <v>126</v>
      </c>
      <c r="H268" s="25" t="s">
        <v>138</v>
      </c>
      <c r="I268" s="25" t="s">
        <v>119</v>
      </c>
      <c r="J268" s="25" t="s">
        <v>1815</v>
      </c>
      <c r="K268" s="25" t="s">
        <v>544</v>
      </c>
      <c r="L268" s="25" t="s">
        <v>57</v>
      </c>
      <c r="M268" s="25" t="s">
        <v>243</v>
      </c>
      <c r="N268" s="25" t="s">
        <v>243</v>
      </c>
      <c r="O268" s="25" t="s">
        <v>1803</v>
      </c>
      <c r="P268" s="25" t="s">
        <v>1816</v>
      </c>
      <c r="Q268" s="25" t="s">
        <v>1817</v>
      </c>
      <c r="R268" s="25" t="s">
        <v>63</v>
      </c>
      <c r="S268" s="25" t="s">
        <v>1818</v>
      </c>
      <c r="T268" s="25" t="s">
        <v>1819</v>
      </c>
      <c r="U268" s="25" t="s">
        <v>132</v>
      </c>
      <c r="V268" s="26">
        <v>46112</v>
      </c>
      <c r="W268" s="25" t="s">
        <v>55</v>
      </c>
      <c r="X268" s="25" t="s">
        <v>1820</v>
      </c>
      <c r="Y268" s="25" t="s">
        <v>65</v>
      </c>
      <c r="Z268" s="25" t="s">
        <v>55</v>
      </c>
      <c r="AA268" s="25" t="s">
        <v>155</v>
      </c>
      <c r="AB268" s="25" t="s">
        <v>55</v>
      </c>
      <c r="AC268" s="25" t="s">
        <v>55</v>
      </c>
      <c r="AD268" s="25" t="s">
        <v>67</v>
      </c>
      <c r="AE268" s="25" t="s">
        <v>257</v>
      </c>
      <c r="AF268" s="25" t="s">
        <v>92</v>
      </c>
      <c r="AG268" s="25" t="s">
        <v>55</v>
      </c>
      <c r="AH268" s="25" t="s">
        <v>55</v>
      </c>
      <c r="AI268" s="25" t="s">
        <v>55</v>
      </c>
      <c r="AJ268" s="25" t="s">
        <v>55</v>
      </c>
      <c r="AK268" s="25" t="s">
        <v>55</v>
      </c>
      <c r="AL268" s="25" t="s">
        <v>55</v>
      </c>
      <c r="AM268" s="25" t="s">
        <v>55</v>
      </c>
      <c r="AN268" s="25" t="s">
        <v>55</v>
      </c>
      <c r="AO268" s="25" t="s">
        <v>55</v>
      </c>
      <c r="AP268" s="25" t="s">
        <v>55</v>
      </c>
      <c r="AQ268" s="25" t="s">
        <v>55</v>
      </c>
      <c r="AR268" s="25" t="s">
        <v>55</v>
      </c>
      <c r="AS268" s="25" t="s">
        <v>55</v>
      </c>
      <c r="AT268" s="25" t="s">
        <v>55</v>
      </c>
      <c r="AU268" s="25" t="s">
        <v>55</v>
      </c>
      <c r="AV268" s="25" t="s">
        <v>55</v>
      </c>
      <c r="AW268" s="26">
        <v>45887</v>
      </c>
      <c r="AX268" s="26">
        <v>45943</v>
      </c>
      <c r="AY268" s="25" t="s">
        <v>1740</v>
      </c>
      <c r="AZ268" s="20">
        <f t="shared" si="9"/>
        <v>-130</v>
      </c>
      <c r="BA268" s="17" t="e">
        <f t="shared" si="10"/>
        <v>#N/A</v>
      </c>
      <c r="BB268" s="21" t="s">
        <v>335</v>
      </c>
    </row>
    <row r="269" spans="1:54" x14ac:dyDescent="0.35">
      <c r="A269" s="25" t="s">
        <v>1821</v>
      </c>
      <c r="B269" s="25" t="s">
        <v>347</v>
      </c>
      <c r="C269" s="25" t="s">
        <v>51</v>
      </c>
      <c r="D269" s="25" t="s">
        <v>465</v>
      </c>
      <c r="E269" s="25" t="s">
        <v>108</v>
      </c>
      <c r="F269" s="25" t="s">
        <v>1802</v>
      </c>
      <c r="G269" s="25" t="s">
        <v>126</v>
      </c>
      <c r="H269" s="25" t="s">
        <v>138</v>
      </c>
      <c r="I269" s="25" t="s">
        <v>101</v>
      </c>
      <c r="J269" s="25" t="s">
        <v>1822</v>
      </c>
      <c r="K269" s="25" t="s">
        <v>561</v>
      </c>
      <c r="L269" s="25" t="s">
        <v>57</v>
      </c>
      <c r="M269" s="25" t="s">
        <v>55</v>
      </c>
      <c r="N269" s="25" t="s">
        <v>55</v>
      </c>
      <c r="O269" s="25" t="s">
        <v>1803</v>
      </c>
      <c r="P269" s="25" t="s">
        <v>1823</v>
      </c>
      <c r="Q269" s="25" t="s">
        <v>1824</v>
      </c>
      <c r="R269" s="25" t="s">
        <v>63</v>
      </c>
      <c r="S269" s="25" t="s">
        <v>1825</v>
      </c>
      <c r="T269" s="25" t="s">
        <v>1826</v>
      </c>
      <c r="U269" s="25" t="s">
        <v>132</v>
      </c>
      <c r="V269" s="26">
        <v>45991</v>
      </c>
      <c r="W269" s="25" t="s">
        <v>55</v>
      </c>
      <c r="X269" s="25" t="s">
        <v>1827</v>
      </c>
      <c r="Y269" s="25" t="s">
        <v>65</v>
      </c>
      <c r="Z269" s="25" t="s">
        <v>55</v>
      </c>
      <c r="AA269" s="25" t="s">
        <v>152</v>
      </c>
      <c r="AB269" s="25" t="s">
        <v>55</v>
      </c>
      <c r="AC269" s="25" t="s">
        <v>55</v>
      </c>
      <c r="AD269" s="25" t="s">
        <v>67</v>
      </c>
      <c r="AE269" s="25" t="s">
        <v>257</v>
      </c>
      <c r="AF269" s="25" t="s">
        <v>55</v>
      </c>
      <c r="AG269" s="25" t="s">
        <v>55</v>
      </c>
      <c r="AH269" s="25" t="s">
        <v>55</v>
      </c>
      <c r="AI269" s="25" t="s">
        <v>55</v>
      </c>
      <c r="AJ269" s="25" t="s">
        <v>55</v>
      </c>
      <c r="AK269" s="25" t="s">
        <v>55</v>
      </c>
      <c r="AL269" s="25" t="s">
        <v>55</v>
      </c>
      <c r="AM269" s="25" t="s">
        <v>55</v>
      </c>
      <c r="AN269" s="25" t="s">
        <v>55</v>
      </c>
      <c r="AO269" s="25" t="s">
        <v>55</v>
      </c>
      <c r="AP269" s="25" t="s">
        <v>55</v>
      </c>
      <c r="AQ269" s="25" t="s">
        <v>55</v>
      </c>
      <c r="AR269" s="25" t="s">
        <v>55</v>
      </c>
      <c r="AS269" s="25" t="s">
        <v>55</v>
      </c>
      <c r="AT269" s="25" t="s">
        <v>55</v>
      </c>
      <c r="AU269" s="25" t="s">
        <v>55</v>
      </c>
      <c r="AV269" s="25" t="s">
        <v>55</v>
      </c>
      <c r="AW269" s="26">
        <v>45887</v>
      </c>
      <c r="AX269" s="26">
        <v>45943</v>
      </c>
      <c r="AY269" s="25" t="s">
        <v>1740</v>
      </c>
      <c r="AZ269" s="20">
        <f t="shared" si="9"/>
        <v>-9</v>
      </c>
      <c r="BA269" s="17" t="e">
        <f t="shared" si="10"/>
        <v>#N/A</v>
      </c>
      <c r="BB269" s="21" t="s">
        <v>335</v>
      </c>
    </row>
    <row r="270" spans="1:54" x14ac:dyDescent="0.35">
      <c r="A270" s="25" t="s">
        <v>1828</v>
      </c>
      <c r="B270" s="25" t="s">
        <v>347</v>
      </c>
      <c r="C270" s="25" t="s">
        <v>51</v>
      </c>
      <c r="D270" s="25" t="s">
        <v>369</v>
      </c>
      <c r="E270" s="25" t="s">
        <v>108</v>
      </c>
      <c r="F270" s="25" t="s">
        <v>207</v>
      </c>
      <c r="G270" s="25" t="s">
        <v>54</v>
      </c>
      <c r="H270" s="25" t="s">
        <v>1716</v>
      </c>
      <c r="I270" s="25" t="s">
        <v>160</v>
      </c>
      <c r="J270" s="25" t="s">
        <v>1829</v>
      </c>
      <c r="K270" s="25" t="s">
        <v>558</v>
      </c>
      <c r="L270" s="25" t="s">
        <v>103</v>
      </c>
      <c r="M270" s="25" t="s">
        <v>55</v>
      </c>
      <c r="N270" s="25" t="s">
        <v>55</v>
      </c>
      <c r="O270" s="25" t="s">
        <v>1830</v>
      </c>
      <c r="P270" s="25" t="s">
        <v>1831</v>
      </c>
      <c r="Q270" s="25" t="s">
        <v>1832</v>
      </c>
      <c r="R270" s="25" t="s">
        <v>63</v>
      </c>
      <c r="S270" s="25" t="s">
        <v>1833</v>
      </c>
      <c r="T270" s="25" t="s">
        <v>1834</v>
      </c>
      <c r="U270" s="25" t="s">
        <v>132</v>
      </c>
      <c r="V270" s="26">
        <v>45991</v>
      </c>
      <c r="W270" s="25" t="s">
        <v>55</v>
      </c>
      <c r="X270" s="25" t="s">
        <v>1835</v>
      </c>
      <c r="Y270" s="25" t="s">
        <v>65</v>
      </c>
      <c r="Z270" s="25" t="s">
        <v>55</v>
      </c>
      <c r="AA270" s="25" t="s">
        <v>152</v>
      </c>
      <c r="AB270" s="25" t="s">
        <v>55</v>
      </c>
      <c r="AC270" s="25" t="s">
        <v>55</v>
      </c>
      <c r="AD270" s="25" t="s">
        <v>67</v>
      </c>
      <c r="AE270" s="25" t="s">
        <v>257</v>
      </c>
      <c r="AF270" s="25" t="s">
        <v>55</v>
      </c>
      <c r="AG270" s="25" t="s">
        <v>55</v>
      </c>
      <c r="AH270" s="25" t="s">
        <v>55</v>
      </c>
      <c r="AI270" s="25" t="s">
        <v>55</v>
      </c>
      <c r="AJ270" s="25" t="s">
        <v>55</v>
      </c>
      <c r="AK270" s="25" t="s">
        <v>55</v>
      </c>
      <c r="AL270" s="25" t="s">
        <v>55</v>
      </c>
      <c r="AM270" s="25" t="s">
        <v>55</v>
      </c>
      <c r="AN270" s="25" t="s">
        <v>55</v>
      </c>
      <c r="AO270" s="25" t="s">
        <v>55</v>
      </c>
      <c r="AP270" s="25" t="s">
        <v>55</v>
      </c>
      <c r="AQ270" s="25" t="s">
        <v>55</v>
      </c>
      <c r="AR270" s="25" t="s">
        <v>55</v>
      </c>
      <c r="AS270" s="25" t="s">
        <v>55</v>
      </c>
      <c r="AT270" s="25" t="s">
        <v>55</v>
      </c>
      <c r="AU270" s="25" t="s">
        <v>55</v>
      </c>
      <c r="AV270" s="25" t="s">
        <v>55</v>
      </c>
      <c r="AW270" s="26">
        <v>45778</v>
      </c>
      <c r="AX270" s="26">
        <v>45901</v>
      </c>
      <c r="AY270" s="25" t="s">
        <v>1836</v>
      </c>
      <c r="AZ270" s="20">
        <f t="shared" si="9"/>
        <v>-9</v>
      </c>
      <c r="BA270" s="17" t="e">
        <f t="shared" si="10"/>
        <v>#N/A</v>
      </c>
      <c r="BB270" s="21" t="s">
        <v>335</v>
      </c>
    </row>
    <row r="271" spans="1:54" x14ac:dyDescent="0.35">
      <c r="A271" s="25" t="s">
        <v>1837</v>
      </c>
      <c r="B271" s="25" t="s">
        <v>347</v>
      </c>
      <c r="C271" s="25" t="s">
        <v>51</v>
      </c>
      <c r="D271" s="25" t="s">
        <v>369</v>
      </c>
      <c r="E271" s="25" t="s">
        <v>108</v>
      </c>
      <c r="F271" s="25" t="s">
        <v>207</v>
      </c>
      <c r="G271" s="25" t="s">
        <v>54</v>
      </c>
      <c r="H271" s="25" t="s">
        <v>1716</v>
      </c>
      <c r="I271" s="25" t="s">
        <v>119</v>
      </c>
      <c r="J271" s="25" t="s">
        <v>1838</v>
      </c>
      <c r="K271" s="25" t="s">
        <v>592</v>
      </c>
      <c r="L271" s="25" t="s">
        <v>103</v>
      </c>
      <c r="M271" s="25" t="s">
        <v>99</v>
      </c>
      <c r="N271" s="25" t="s">
        <v>55</v>
      </c>
      <c r="O271" s="25" t="s">
        <v>1830</v>
      </c>
      <c r="P271" s="25" t="s">
        <v>1839</v>
      </c>
      <c r="Q271" s="25" t="s">
        <v>1840</v>
      </c>
      <c r="R271" s="25" t="s">
        <v>63</v>
      </c>
      <c r="S271" s="25" t="s">
        <v>1841</v>
      </c>
      <c r="T271" s="25" t="s">
        <v>1842</v>
      </c>
      <c r="U271" s="25" t="s">
        <v>63</v>
      </c>
      <c r="V271" s="26">
        <v>45991</v>
      </c>
      <c r="W271" s="25" t="s">
        <v>55</v>
      </c>
      <c r="X271" s="25" t="s">
        <v>1843</v>
      </c>
      <c r="Y271" s="25" t="s">
        <v>65</v>
      </c>
      <c r="Z271" s="25" t="s">
        <v>55</v>
      </c>
      <c r="AA271" s="25" t="s">
        <v>152</v>
      </c>
      <c r="AB271" s="25" t="s">
        <v>55</v>
      </c>
      <c r="AC271" s="25" t="s">
        <v>55</v>
      </c>
      <c r="AD271" s="25" t="s">
        <v>67</v>
      </c>
      <c r="AE271" s="25" t="s">
        <v>257</v>
      </c>
      <c r="AF271" s="25" t="s">
        <v>100</v>
      </c>
      <c r="AG271" s="25" t="s">
        <v>55</v>
      </c>
      <c r="AH271" s="25" t="s">
        <v>55</v>
      </c>
      <c r="AI271" s="25" t="s">
        <v>55</v>
      </c>
      <c r="AJ271" s="25" t="s">
        <v>55</v>
      </c>
      <c r="AK271" s="25" t="s">
        <v>55</v>
      </c>
      <c r="AL271" s="25" t="s">
        <v>55</v>
      </c>
      <c r="AM271" s="25" t="s">
        <v>55</v>
      </c>
      <c r="AN271" s="25" t="s">
        <v>55</v>
      </c>
      <c r="AO271" s="25" t="s">
        <v>55</v>
      </c>
      <c r="AP271" s="25" t="s">
        <v>55</v>
      </c>
      <c r="AQ271" s="25" t="s">
        <v>55</v>
      </c>
      <c r="AR271" s="25" t="s">
        <v>55</v>
      </c>
      <c r="AS271" s="25" t="s">
        <v>55</v>
      </c>
      <c r="AT271" s="25" t="s">
        <v>55</v>
      </c>
      <c r="AU271" s="25" t="s">
        <v>55</v>
      </c>
      <c r="AV271" s="25" t="s">
        <v>55</v>
      </c>
      <c r="AW271" s="26">
        <v>45778</v>
      </c>
      <c r="AX271" s="26">
        <v>45901</v>
      </c>
      <c r="AY271" s="25" t="s">
        <v>1836</v>
      </c>
      <c r="AZ271" s="20">
        <f t="shared" si="9"/>
        <v>-9</v>
      </c>
      <c r="BA271" s="17" t="e">
        <f t="shared" si="10"/>
        <v>#N/A</v>
      </c>
      <c r="BB271" s="21" t="s">
        <v>335</v>
      </c>
    </row>
    <row r="272" spans="1:54" x14ac:dyDescent="0.35">
      <c r="A272" s="25" t="s">
        <v>1844</v>
      </c>
      <c r="B272" s="25" t="s">
        <v>347</v>
      </c>
      <c r="C272" s="25" t="s">
        <v>51</v>
      </c>
      <c r="D272" s="25" t="s">
        <v>369</v>
      </c>
      <c r="E272" s="25" t="s">
        <v>108</v>
      </c>
      <c r="F272" s="25" t="s">
        <v>207</v>
      </c>
      <c r="G272" s="25" t="s">
        <v>54</v>
      </c>
      <c r="H272" s="25" t="s">
        <v>1716</v>
      </c>
      <c r="I272" s="25" t="s">
        <v>121</v>
      </c>
      <c r="J272" s="25" t="s">
        <v>1845</v>
      </c>
      <c r="K272" s="25" t="s">
        <v>745</v>
      </c>
      <c r="L272" s="25" t="s">
        <v>103</v>
      </c>
      <c r="M272" s="25" t="s">
        <v>55</v>
      </c>
      <c r="N272" s="25" t="s">
        <v>55</v>
      </c>
      <c r="O272" s="25" t="s">
        <v>1830</v>
      </c>
      <c r="P272" s="25" t="s">
        <v>1846</v>
      </c>
      <c r="Q272" s="25" t="s">
        <v>1847</v>
      </c>
      <c r="R272" s="25" t="s">
        <v>63</v>
      </c>
      <c r="S272" s="25" t="s">
        <v>1848</v>
      </c>
      <c r="T272" s="25" t="s">
        <v>633</v>
      </c>
      <c r="U272" s="25" t="s">
        <v>63</v>
      </c>
      <c r="V272" s="26">
        <v>45991</v>
      </c>
      <c r="W272" s="25" t="s">
        <v>55</v>
      </c>
      <c r="X272" s="25" t="s">
        <v>1849</v>
      </c>
      <c r="Y272" s="25" t="s">
        <v>65</v>
      </c>
      <c r="Z272" s="25" t="s">
        <v>55</v>
      </c>
      <c r="AA272" s="25" t="s">
        <v>152</v>
      </c>
      <c r="AB272" s="25" t="s">
        <v>55</v>
      </c>
      <c r="AC272" s="25" t="s">
        <v>55</v>
      </c>
      <c r="AD272" s="25" t="s">
        <v>67</v>
      </c>
      <c r="AE272" s="25" t="s">
        <v>257</v>
      </c>
      <c r="AF272" s="25" t="s">
        <v>55</v>
      </c>
      <c r="AG272" s="25" t="s">
        <v>55</v>
      </c>
      <c r="AH272" s="25" t="s">
        <v>55</v>
      </c>
      <c r="AI272" s="25" t="s">
        <v>55</v>
      </c>
      <c r="AJ272" s="25" t="s">
        <v>55</v>
      </c>
      <c r="AK272" s="25" t="s">
        <v>55</v>
      </c>
      <c r="AL272" s="25" t="s">
        <v>55</v>
      </c>
      <c r="AM272" s="25" t="s">
        <v>55</v>
      </c>
      <c r="AN272" s="25" t="s">
        <v>55</v>
      </c>
      <c r="AO272" s="25" t="s">
        <v>55</v>
      </c>
      <c r="AP272" s="25" t="s">
        <v>55</v>
      </c>
      <c r="AQ272" s="25" t="s">
        <v>55</v>
      </c>
      <c r="AR272" s="25" t="s">
        <v>55</v>
      </c>
      <c r="AS272" s="25" t="s">
        <v>55</v>
      </c>
      <c r="AT272" s="25" t="s">
        <v>55</v>
      </c>
      <c r="AU272" s="25" t="s">
        <v>55</v>
      </c>
      <c r="AV272" s="25" t="s">
        <v>55</v>
      </c>
      <c r="AW272" s="26">
        <v>45778</v>
      </c>
      <c r="AX272" s="26">
        <v>45901</v>
      </c>
      <c r="AY272" s="25" t="s">
        <v>1836</v>
      </c>
      <c r="AZ272" s="20">
        <f t="shared" si="9"/>
        <v>-9</v>
      </c>
      <c r="BA272" s="17" t="e">
        <f t="shared" si="10"/>
        <v>#N/A</v>
      </c>
      <c r="BB272" s="21" t="s">
        <v>335</v>
      </c>
    </row>
    <row r="273" spans="1:54" x14ac:dyDescent="0.35">
      <c r="A273" s="25" t="s">
        <v>1850</v>
      </c>
      <c r="B273" s="25" t="s">
        <v>347</v>
      </c>
      <c r="C273" s="25" t="s">
        <v>51</v>
      </c>
      <c r="D273" s="25" t="s">
        <v>369</v>
      </c>
      <c r="E273" s="25" t="s">
        <v>108</v>
      </c>
      <c r="F273" s="25" t="s">
        <v>207</v>
      </c>
      <c r="G273" s="25" t="s">
        <v>54</v>
      </c>
      <c r="H273" s="25" t="s">
        <v>1716</v>
      </c>
      <c r="I273" s="25" t="s">
        <v>1851</v>
      </c>
      <c r="J273" s="25" t="s">
        <v>1851</v>
      </c>
      <c r="K273" s="25" t="s">
        <v>868</v>
      </c>
      <c r="L273" s="25" t="s">
        <v>103</v>
      </c>
      <c r="M273" s="25" t="s">
        <v>1706</v>
      </c>
      <c r="N273" s="25" t="s">
        <v>55</v>
      </c>
      <c r="O273" s="25" t="s">
        <v>1830</v>
      </c>
      <c r="P273" s="25" t="s">
        <v>1852</v>
      </c>
      <c r="Q273" s="25" t="s">
        <v>1853</v>
      </c>
      <c r="R273" s="25" t="s">
        <v>63</v>
      </c>
      <c r="S273" s="25" t="s">
        <v>1854</v>
      </c>
      <c r="T273" s="25" t="s">
        <v>1855</v>
      </c>
      <c r="U273" s="25" t="s">
        <v>132</v>
      </c>
      <c r="V273" s="26">
        <v>45991</v>
      </c>
      <c r="W273" s="25" t="s">
        <v>55</v>
      </c>
      <c r="X273" s="25" t="s">
        <v>1856</v>
      </c>
      <c r="Y273" s="25" t="s">
        <v>65</v>
      </c>
      <c r="Z273" s="25" t="s">
        <v>55</v>
      </c>
      <c r="AA273" s="25" t="s">
        <v>152</v>
      </c>
      <c r="AB273" s="25" t="s">
        <v>55</v>
      </c>
      <c r="AC273" s="25" t="s">
        <v>55</v>
      </c>
      <c r="AD273" s="25" t="s">
        <v>67</v>
      </c>
      <c r="AE273" s="25" t="s">
        <v>257</v>
      </c>
      <c r="AF273" s="25" t="s">
        <v>156</v>
      </c>
      <c r="AG273" s="25" t="s">
        <v>55</v>
      </c>
      <c r="AH273" s="25" t="s">
        <v>55</v>
      </c>
      <c r="AI273" s="25" t="s">
        <v>55</v>
      </c>
      <c r="AJ273" s="25" t="s">
        <v>55</v>
      </c>
      <c r="AK273" s="25" t="s">
        <v>55</v>
      </c>
      <c r="AL273" s="25" t="s">
        <v>55</v>
      </c>
      <c r="AM273" s="25" t="s">
        <v>55</v>
      </c>
      <c r="AN273" s="25" t="s">
        <v>55</v>
      </c>
      <c r="AO273" s="25" t="s">
        <v>55</v>
      </c>
      <c r="AP273" s="25" t="s">
        <v>55</v>
      </c>
      <c r="AQ273" s="25" t="s">
        <v>55</v>
      </c>
      <c r="AR273" s="25" t="s">
        <v>55</v>
      </c>
      <c r="AS273" s="25" t="s">
        <v>55</v>
      </c>
      <c r="AT273" s="25" t="s">
        <v>55</v>
      </c>
      <c r="AU273" s="25" t="s">
        <v>55</v>
      </c>
      <c r="AV273" s="25" t="s">
        <v>55</v>
      </c>
      <c r="AW273" s="26">
        <v>45778</v>
      </c>
      <c r="AX273" s="26">
        <v>45901</v>
      </c>
      <c r="AY273" s="25" t="s">
        <v>1836</v>
      </c>
      <c r="AZ273" s="20">
        <f t="shared" si="9"/>
        <v>-9</v>
      </c>
      <c r="BA273" s="17" t="e">
        <f t="shared" si="10"/>
        <v>#N/A</v>
      </c>
      <c r="BB273" s="21" t="s">
        <v>335</v>
      </c>
    </row>
    <row r="274" spans="1:54" x14ac:dyDescent="0.35">
      <c r="A274" s="25" t="s">
        <v>1857</v>
      </c>
      <c r="B274" s="25" t="s">
        <v>347</v>
      </c>
      <c r="C274" s="25" t="s">
        <v>51</v>
      </c>
      <c r="D274" s="25" t="s">
        <v>369</v>
      </c>
      <c r="E274" s="25" t="s">
        <v>108</v>
      </c>
      <c r="F274" s="25" t="s">
        <v>207</v>
      </c>
      <c r="G274" s="25" t="s">
        <v>54</v>
      </c>
      <c r="H274" s="25" t="s">
        <v>1716</v>
      </c>
      <c r="I274" s="25" t="s">
        <v>121</v>
      </c>
      <c r="J274" s="25" t="s">
        <v>622</v>
      </c>
      <c r="K274" s="25" t="s">
        <v>613</v>
      </c>
      <c r="L274" s="25" t="s">
        <v>57</v>
      </c>
      <c r="M274" s="25" t="s">
        <v>96</v>
      </c>
      <c r="N274" s="25" t="s">
        <v>55</v>
      </c>
      <c r="O274" s="25" t="s">
        <v>1830</v>
      </c>
      <c r="P274" s="25" t="s">
        <v>1858</v>
      </c>
      <c r="Q274" s="25" t="s">
        <v>1859</v>
      </c>
      <c r="R274" s="25" t="s">
        <v>63</v>
      </c>
      <c r="S274" s="25" t="s">
        <v>1860</v>
      </c>
      <c r="T274" s="25" t="s">
        <v>1861</v>
      </c>
      <c r="U274" s="25" t="s">
        <v>63</v>
      </c>
      <c r="V274" s="26">
        <v>46022</v>
      </c>
      <c r="W274" s="25" t="s">
        <v>55</v>
      </c>
      <c r="X274" s="25" t="s">
        <v>1862</v>
      </c>
      <c r="Y274" s="25" t="s">
        <v>65</v>
      </c>
      <c r="Z274" s="25" t="s">
        <v>55</v>
      </c>
      <c r="AA274" s="25" t="s">
        <v>221</v>
      </c>
      <c r="AB274" s="25" t="s">
        <v>55</v>
      </c>
      <c r="AC274" s="25" t="s">
        <v>55</v>
      </c>
      <c r="AD274" s="25" t="s">
        <v>67</v>
      </c>
      <c r="AE274" s="25" t="s">
        <v>257</v>
      </c>
      <c r="AF274" s="25" t="s">
        <v>98</v>
      </c>
      <c r="AG274" s="25" t="s">
        <v>55</v>
      </c>
      <c r="AH274" s="25" t="s">
        <v>55</v>
      </c>
      <c r="AI274" s="25" t="s">
        <v>55</v>
      </c>
      <c r="AJ274" s="25" t="s">
        <v>55</v>
      </c>
      <c r="AK274" s="25" t="s">
        <v>55</v>
      </c>
      <c r="AL274" s="25" t="s">
        <v>55</v>
      </c>
      <c r="AM274" s="25" t="s">
        <v>55</v>
      </c>
      <c r="AN274" s="25" t="s">
        <v>55</v>
      </c>
      <c r="AO274" s="25" t="s">
        <v>55</v>
      </c>
      <c r="AP274" s="25" t="s">
        <v>55</v>
      </c>
      <c r="AQ274" s="25" t="s">
        <v>55</v>
      </c>
      <c r="AR274" s="25" t="s">
        <v>55</v>
      </c>
      <c r="AS274" s="25" t="s">
        <v>55</v>
      </c>
      <c r="AT274" s="25" t="s">
        <v>55</v>
      </c>
      <c r="AU274" s="25" t="s">
        <v>55</v>
      </c>
      <c r="AV274" s="25" t="s">
        <v>55</v>
      </c>
      <c r="AW274" s="26">
        <v>45778</v>
      </c>
      <c r="AX274" s="26">
        <v>45901</v>
      </c>
      <c r="AY274" s="25" t="s">
        <v>1836</v>
      </c>
      <c r="AZ274" s="20">
        <f t="shared" si="9"/>
        <v>-40</v>
      </c>
      <c r="BA274" s="17" t="e">
        <f t="shared" si="10"/>
        <v>#N/A</v>
      </c>
      <c r="BB274" s="21" t="s">
        <v>335</v>
      </c>
    </row>
    <row r="275" spans="1:54" x14ac:dyDescent="0.35">
      <c r="A275" s="25" t="s">
        <v>1863</v>
      </c>
      <c r="B275" s="25" t="s">
        <v>347</v>
      </c>
      <c r="C275" s="25" t="s">
        <v>51</v>
      </c>
      <c r="D275" s="25" t="s">
        <v>369</v>
      </c>
      <c r="E275" s="25" t="s">
        <v>108</v>
      </c>
      <c r="F275" s="25" t="s">
        <v>207</v>
      </c>
      <c r="G275" s="25" t="s">
        <v>54</v>
      </c>
      <c r="H275" s="25" t="s">
        <v>1716</v>
      </c>
      <c r="I275" s="25" t="s">
        <v>160</v>
      </c>
      <c r="J275" s="25" t="s">
        <v>1864</v>
      </c>
      <c r="K275" s="25" t="s">
        <v>1385</v>
      </c>
      <c r="L275" s="25" t="s">
        <v>57</v>
      </c>
      <c r="M275" s="25" t="s">
        <v>1386</v>
      </c>
      <c r="N275" s="25" t="s">
        <v>55</v>
      </c>
      <c r="O275" s="25" t="s">
        <v>1830</v>
      </c>
      <c r="P275" s="25" t="s">
        <v>1865</v>
      </c>
      <c r="Q275" s="25" t="s">
        <v>1866</v>
      </c>
      <c r="R275" s="25" t="s">
        <v>63</v>
      </c>
      <c r="S275" s="25" t="s">
        <v>1867</v>
      </c>
      <c r="T275" s="25" t="s">
        <v>1868</v>
      </c>
      <c r="U275" s="25" t="s">
        <v>63</v>
      </c>
      <c r="V275" s="26">
        <v>45991</v>
      </c>
      <c r="W275" s="25" t="s">
        <v>55</v>
      </c>
      <c r="X275" s="25" t="s">
        <v>1869</v>
      </c>
      <c r="Y275" s="25" t="s">
        <v>65</v>
      </c>
      <c r="Z275" s="25" t="s">
        <v>55</v>
      </c>
      <c r="AA275" s="25" t="s">
        <v>152</v>
      </c>
      <c r="AB275" s="25" t="s">
        <v>55</v>
      </c>
      <c r="AC275" s="25" t="s">
        <v>55</v>
      </c>
      <c r="AD275" s="25" t="s">
        <v>67</v>
      </c>
      <c r="AE275" s="25" t="s">
        <v>257</v>
      </c>
      <c r="AF275" s="25" t="s">
        <v>1238</v>
      </c>
      <c r="AG275" s="25" t="s">
        <v>55</v>
      </c>
      <c r="AH275" s="25" t="s">
        <v>55</v>
      </c>
      <c r="AI275" s="25" t="s">
        <v>55</v>
      </c>
      <c r="AJ275" s="25" t="s">
        <v>55</v>
      </c>
      <c r="AK275" s="25" t="s">
        <v>55</v>
      </c>
      <c r="AL275" s="25" t="s">
        <v>55</v>
      </c>
      <c r="AM275" s="25" t="s">
        <v>55</v>
      </c>
      <c r="AN275" s="25" t="s">
        <v>55</v>
      </c>
      <c r="AO275" s="25" t="s">
        <v>55</v>
      </c>
      <c r="AP275" s="25" t="s">
        <v>55</v>
      </c>
      <c r="AQ275" s="25" t="s">
        <v>55</v>
      </c>
      <c r="AR275" s="25" t="s">
        <v>55</v>
      </c>
      <c r="AS275" s="25" t="s">
        <v>55</v>
      </c>
      <c r="AT275" s="25" t="s">
        <v>55</v>
      </c>
      <c r="AU275" s="25" t="s">
        <v>55</v>
      </c>
      <c r="AV275" s="25" t="s">
        <v>55</v>
      </c>
      <c r="AW275" s="26">
        <v>45778</v>
      </c>
      <c r="AX275" s="26">
        <v>45901</v>
      </c>
      <c r="AY275" s="25" t="s">
        <v>1836</v>
      </c>
      <c r="AZ275" s="20">
        <f t="shared" si="9"/>
        <v>-9</v>
      </c>
      <c r="BA275" s="17" t="e">
        <f t="shared" si="10"/>
        <v>#N/A</v>
      </c>
      <c r="BB275" s="21" t="s">
        <v>335</v>
      </c>
    </row>
    <row r="276" spans="1:54" x14ac:dyDescent="0.35">
      <c r="A276" s="25" t="s">
        <v>1870</v>
      </c>
      <c r="B276" s="25" t="s">
        <v>347</v>
      </c>
      <c r="C276" s="25" t="s">
        <v>51</v>
      </c>
      <c r="D276" s="25" t="s">
        <v>369</v>
      </c>
      <c r="E276" s="25" t="s">
        <v>52</v>
      </c>
      <c r="F276" s="25" t="s">
        <v>207</v>
      </c>
      <c r="G276" s="25" t="s">
        <v>54</v>
      </c>
      <c r="H276" s="25" t="s">
        <v>1716</v>
      </c>
      <c r="I276" s="25" t="s">
        <v>121</v>
      </c>
      <c r="J276" s="25" t="s">
        <v>1871</v>
      </c>
      <c r="K276" s="25" t="s">
        <v>594</v>
      </c>
      <c r="L276" s="25" t="s">
        <v>57</v>
      </c>
      <c r="M276" s="25" t="s">
        <v>55</v>
      </c>
      <c r="N276" s="25" t="s">
        <v>55</v>
      </c>
      <c r="O276" s="25" t="s">
        <v>1830</v>
      </c>
      <c r="P276" s="25" t="s">
        <v>676</v>
      </c>
      <c r="Q276" s="25" t="s">
        <v>1872</v>
      </c>
      <c r="R276" s="25" t="s">
        <v>132</v>
      </c>
      <c r="S276" s="25" t="s">
        <v>678</v>
      </c>
      <c r="T276" s="25" t="s">
        <v>1873</v>
      </c>
      <c r="U276" s="25" t="s">
        <v>63</v>
      </c>
      <c r="V276" s="26">
        <v>45991</v>
      </c>
      <c r="W276" s="25" t="s">
        <v>55</v>
      </c>
      <c r="X276" s="25" t="s">
        <v>1874</v>
      </c>
      <c r="Y276" s="25" t="s">
        <v>65</v>
      </c>
      <c r="Z276" s="25" t="s">
        <v>55</v>
      </c>
      <c r="AA276" s="25" t="s">
        <v>152</v>
      </c>
      <c r="AB276" s="25" t="s">
        <v>55</v>
      </c>
      <c r="AC276" s="25" t="s">
        <v>55</v>
      </c>
      <c r="AD276" s="25" t="s">
        <v>67</v>
      </c>
      <c r="AE276" s="25" t="s">
        <v>257</v>
      </c>
      <c r="AF276" s="25" t="s">
        <v>55</v>
      </c>
      <c r="AG276" s="25" t="s">
        <v>55</v>
      </c>
      <c r="AH276" s="25" t="s">
        <v>55</v>
      </c>
      <c r="AI276" s="25" t="s">
        <v>55</v>
      </c>
      <c r="AJ276" s="25" t="s">
        <v>55</v>
      </c>
      <c r="AK276" s="25" t="s">
        <v>55</v>
      </c>
      <c r="AL276" s="25" t="s">
        <v>55</v>
      </c>
      <c r="AM276" s="25" t="s">
        <v>55</v>
      </c>
      <c r="AN276" s="25" t="s">
        <v>55</v>
      </c>
      <c r="AO276" s="25" t="s">
        <v>55</v>
      </c>
      <c r="AP276" s="25" t="s">
        <v>55</v>
      </c>
      <c r="AQ276" s="25" t="s">
        <v>55</v>
      </c>
      <c r="AR276" s="25" t="s">
        <v>55</v>
      </c>
      <c r="AS276" s="25" t="s">
        <v>55</v>
      </c>
      <c r="AT276" s="25" t="s">
        <v>55</v>
      </c>
      <c r="AU276" s="25" t="s">
        <v>55</v>
      </c>
      <c r="AV276" s="25" t="s">
        <v>55</v>
      </c>
      <c r="AW276" s="26">
        <v>45778</v>
      </c>
      <c r="AX276" s="26">
        <v>45901</v>
      </c>
      <c r="AY276" s="25" t="s">
        <v>1836</v>
      </c>
      <c r="AZ276" s="20">
        <f t="shared" si="9"/>
        <v>-9</v>
      </c>
      <c r="BA276" s="17" t="e">
        <f t="shared" si="10"/>
        <v>#N/A</v>
      </c>
      <c r="BB276" s="21" t="s">
        <v>335</v>
      </c>
    </row>
    <row r="277" spans="1:54" x14ac:dyDescent="0.35">
      <c r="A277" s="25" t="s">
        <v>1875</v>
      </c>
      <c r="B277" s="25" t="s">
        <v>347</v>
      </c>
      <c r="C277" s="25" t="s">
        <v>51</v>
      </c>
      <c r="D277" s="25" t="s">
        <v>369</v>
      </c>
      <c r="E277" s="25" t="s">
        <v>52</v>
      </c>
      <c r="F277" s="25" t="s">
        <v>207</v>
      </c>
      <c r="G277" s="25" t="s">
        <v>54</v>
      </c>
      <c r="H277" s="25" t="s">
        <v>1716</v>
      </c>
      <c r="I277" s="25" t="s">
        <v>121</v>
      </c>
      <c r="J277" s="25" t="s">
        <v>1876</v>
      </c>
      <c r="K277" s="25" t="s">
        <v>594</v>
      </c>
      <c r="L277" s="25" t="s">
        <v>57</v>
      </c>
      <c r="M277" s="25" t="s">
        <v>55</v>
      </c>
      <c r="N277" s="25" t="s">
        <v>55</v>
      </c>
      <c r="O277" s="25" t="s">
        <v>1830</v>
      </c>
      <c r="P277" s="25" t="s">
        <v>1877</v>
      </c>
      <c r="Q277" s="25" t="s">
        <v>1878</v>
      </c>
      <c r="R277" s="25" t="s">
        <v>63</v>
      </c>
      <c r="S277" s="25" t="s">
        <v>1879</v>
      </c>
      <c r="T277" s="25" t="s">
        <v>1880</v>
      </c>
      <c r="U277" s="25" t="s">
        <v>63</v>
      </c>
      <c r="V277" s="26">
        <v>45991</v>
      </c>
      <c r="W277" s="25" t="s">
        <v>55</v>
      </c>
      <c r="X277" s="25" t="s">
        <v>1881</v>
      </c>
      <c r="Y277" s="25" t="s">
        <v>65</v>
      </c>
      <c r="Z277" s="25" t="s">
        <v>55</v>
      </c>
      <c r="AA277" s="25" t="s">
        <v>152</v>
      </c>
      <c r="AB277" s="25" t="s">
        <v>55</v>
      </c>
      <c r="AC277" s="25" t="s">
        <v>55</v>
      </c>
      <c r="AD277" s="25" t="s">
        <v>67</v>
      </c>
      <c r="AE277" s="25" t="s">
        <v>257</v>
      </c>
      <c r="AF277" s="25" t="s">
        <v>55</v>
      </c>
      <c r="AG277" s="25" t="s">
        <v>55</v>
      </c>
      <c r="AH277" s="25" t="s">
        <v>55</v>
      </c>
      <c r="AI277" s="25" t="s">
        <v>55</v>
      </c>
      <c r="AJ277" s="25" t="s">
        <v>55</v>
      </c>
      <c r="AK277" s="25" t="s">
        <v>55</v>
      </c>
      <c r="AL277" s="25" t="s">
        <v>55</v>
      </c>
      <c r="AM277" s="25" t="s">
        <v>55</v>
      </c>
      <c r="AN277" s="25" t="s">
        <v>55</v>
      </c>
      <c r="AO277" s="25" t="s">
        <v>55</v>
      </c>
      <c r="AP277" s="25" t="s">
        <v>55</v>
      </c>
      <c r="AQ277" s="25" t="s">
        <v>55</v>
      </c>
      <c r="AR277" s="25" t="s">
        <v>55</v>
      </c>
      <c r="AS277" s="25" t="s">
        <v>55</v>
      </c>
      <c r="AT277" s="25" t="s">
        <v>55</v>
      </c>
      <c r="AU277" s="25" t="s">
        <v>55</v>
      </c>
      <c r="AV277" s="25" t="s">
        <v>55</v>
      </c>
      <c r="AW277" s="26">
        <v>45778</v>
      </c>
      <c r="AX277" s="26">
        <v>45901</v>
      </c>
      <c r="AY277" s="25" t="s">
        <v>1836</v>
      </c>
      <c r="AZ277" s="20">
        <f t="shared" si="9"/>
        <v>-9</v>
      </c>
      <c r="BA277" s="17" t="e">
        <f t="shared" si="10"/>
        <v>#N/A</v>
      </c>
      <c r="BB277" s="21" t="s">
        <v>335</v>
      </c>
    </row>
    <row r="278" spans="1:54" x14ac:dyDescent="0.35">
      <c r="A278" s="25" t="s">
        <v>1882</v>
      </c>
      <c r="B278" s="25" t="s">
        <v>347</v>
      </c>
      <c r="C278" s="25" t="s">
        <v>51</v>
      </c>
      <c r="D278" s="25" t="s">
        <v>369</v>
      </c>
      <c r="E278" s="25" t="s">
        <v>108</v>
      </c>
      <c r="F278" s="25" t="s">
        <v>207</v>
      </c>
      <c r="G278" s="25" t="s">
        <v>54</v>
      </c>
      <c r="H278" s="25" t="s">
        <v>1716</v>
      </c>
      <c r="I278" s="25" t="s">
        <v>117</v>
      </c>
      <c r="J278" s="25" t="s">
        <v>1883</v>
      </c>
      <c r="K278" s="25" t="s">
        <v>573</v>
      </c>
      <c r="L278" s="25" t="s">
        <v>57</v>
      </c>
      <c r="M278" s="25" t="s">
        <v>577</v>
      </c>
      <c r="N278" s="25" t="s">
        <v>55</v>
      </c>
      <c r="O278" s="25" t="s">
        <v>1830</v>
      </c>
      <c r="P278" s="25" t="s">
        <v>1884</v>
      </c>
      <c r="Q278" s="25" t="s">
        <v>1885</v>
      </c>
      <c r="R278" s="25" t="s">
        <v>63</v>
      </c>
      <c r="S278" s="25" t="s">
        <v>1886</v>
      </c>
      <c r="T278" s="25" t="s">
        <v>1887</v>
      </c>
      <c r="U278" s="25" t="s">
        <v>132</v>
      </c>
      <c r="V278" s="26">
        <v>45991</v>
      </c>
      <c r="W278" s="25" t="s">
        <v>55</v>
      </c>
      <c r="X278" s="25" t="s">
        <v>1888</v>
      </c>
      <c r="Y278" s="25" t="s">
        <v>65</v>
      </c>
      <c r="Z278" s="25" t="s">
        <v>55</v>
      </c>
      <c r="AA278" s="25" t="s">
        <v>152</v>
      </c>
      <c r="AB278" s="25" t="s">
        <v>55</v>
      </c>
      <c r="AC278" s="25" t="s">
        <v>55</v>
      </c>
      <c r="AD278" s="25" t="s">
        <v>67</v>
      </c>
      <c r="AE278" s="25" t="s">
        <v>257</v>
      </c>
      <c r="AF278" s="25" t="s">
        <v>583</v>
      </c>
      <c r="AG278" s="25" t="s">
        <v>55</v>
      </c>
      <c r="AH278" s="25" t="s">
        <v>55</v>
      </c>
      <c r="AI278" s="25" t="s">
        <v>55</v>
      </c>
      <c r="AJ278" s="25" t="s">
        <v>55</v>
      </c>
      <c r="AK278" s="25" t="s">
        <v>55</v>
      </c>
      <c r="AL278" s="25" t="s">
        <v>55</v>
      </c>
      <c r="AM278" s="25" t="s">
        <v>55</v>
      </c>
      <c r="AN278" s="25" t="s">
        <v>55</v>
      </c>
      <c r="AO278" s="25" t="s">
        <v>55</v>
      </c>
      <c r="AP278" s="25" t="s">
        <v>55</v>
      </c>
      <c r="AQ278" s="25" t="s">
        <v>55</v>
      </c>
      <c r="AR278" s="25" t="s">
        <v>55</v>
      </c>
      <c r="AS278" s="25" t="s">
        <v>55</v>
      </c>
      <c r="AT278" s="25" t="s">
        <v>55</v>
      </c>
      <c r="AU278" s="25" t="s">
        <v>55</v>
      </c>
      <c r="AV278" s="25" t="s">
        <v>55</v>
      </c>
      <c r="AW278" s="26">
        <v>45778</v>
      </c>
      <c r="AX278" s="26">
        <v>45901</v>
      </c>
      <c r="AY278" s="25" t="s">
        <v>1836</v>
      </c>
      <c r="AZ278" s="20">
        <f t="shared" ref="AZ278:AZ329" si="11">$AZ$2-V278</f>
        <v>-9</v>
      </c>
      <c r="BA278" s="17" t="e">
        <f t="shared" ref="BA278:BA329" si="12">VLOOKUP(AZ278,$BE$2:$BF$7,2,TRUE)</f>
        <v>#N/A</v>
      </c>
      <c r="BB278" s="21" t="s">
        <v>335</v>
      </c>
    </row>
    <row r="279" spans="1:54" x14ac:dyDescent="0.35">
      <c r="A279" s="25" t="s">
        <v>1889</v>
      </c>
      <c r="B279" s="25" t="s">
        <v>347</v>
      </c>
      <c r="C279" s="25" t="s">
        <v>51</v>
      </c>
      <c r="D279" s="25" t="s">
        <v>369</v>
      </c>
      <c r="E279" s="25" t="s">
        <v>52</v>
      </c>
      <c r="F279" s="25" t="s">
        <v>207</v>
      </c>
      <c r="G279" s="25" t="s">
        <v>54</v>
      </c>
      <c r="H279" s="25" t="s">
        <v>1716</v>
      </c>
      <c r="I279" s="25" t="s">
        <v>121</v>
      </c>
      <c r="J279" s="25" t="s">
        <v>689</v>
      </c>
      <c r="K279" s="25" t="s">
        <v>564</v>
      </c>
      <c r="L279" s="25" t="s">
        <v>57</v>
      </c>
      <c r="M279" s="25" t="s">
        <v>154</v>
      </c>
      <c r="N279" s="25" t="s">
        <v>55</v>
      </c>
      <c r="O279" s="25" t="s">
        <v>1830</v>
      </c>
      <c r="P279" s="25" t="s">
        <v>1890</v>
      </c>
      <c r="Q279" s="25" t="s">
        <v>1891</v>
      </c>
      <c r="R279" s="25" t="s">
        <v>63</v>
      </c>
      <c r="S279" s="25" t="s">
        <v>692</v>
      </c>
      <c r="T279" s="25" t="s">
        <v>693</v>
      </c>
      <c r="U279" s="25" t="s">
        <v>63</v>
      </c>
      <c r="V279" s="26">
        <v>45991</v>
      </c>
      <c r="W279" s="25" t="s">
        <v>55</v>
      </c>
      <c r="X279" s="25" t="s">
        <v>1892</v>
      </c>
      <c r="Y279" s="25" t="s">
        <v>65</v>
      </c>
      <c r="Z279" s="25" t="s">
        <v>55</v>
      </c>
      <c r="AA279" s="25" t="s">
        <v>152</v>
      </c>
      <c r="AB279" s="25" t="s">
        <v>55</v>
      </c>
      <c r="AC279" s="25" t="s">
        <v>55</v>
      </c>
      <c r="AD279" s="25" t="s">
        <v>67</v>
      </c>
      <c r="AE279" s="25" t="s">
        <v>257</v>
      </c>
      <c r="AF279" s="25" t="s">
        <v>156</v>
      </c>
      <c r="AG279" s="25" t="s">
        <v>55</v>
      </c>
      <c r="AH279" s="25" t="s">
        <v>55</v>
      </c>
      <c r="AI279" s="25" t="s">
        <v>55</v>
      </c>
      <c r="AJ279" s="25" t="s">
        <v>55</v>
      </c>
      <c r="AK279" s="25" t="s">
        <v>55</v>
      </c>
      <c r="AL279" s="25" t="s">
        <v>55</v>
      </c>
      <c r="AM279" s="25" t="s">
        <v>55</v>
      </c>
      <c r="AN279" s="25" t="s">
        <v>55</v>
      </c>
      <c r="AO279" s="25" t="s">
        <v>55</v>
      </c>
      <c r="AP279" s="25" t="s">
        <v>55</v>
      </c>
      <c r="AQ279" s="25" t="s">
        <v>55</v>
      </c>
      <c r="AR279" s="25" t="s">
        <v>55</v>
      </c>
      <c r="AS279" s="25" t="s">
        <v>55</v>
      </c>
      <c r="AT279" s="25" t="s">
        <v>55</v>
      </c>
      <c r="AU279" s="25" t="s">
        <v>55</v>
      </c>
      <c r="AV279" s="25" t="s">
        <v>55</v>
      </c>
      <c r="AW279" s="26">
        <v>45778</v>
      </c>
      <c r="AX279" s="26">
        <v>45901</v>
      </c>
      <c r="AY279" s="25" t="s">
        <v>1836</v>
      </c>
      <c r="AZ279" s="20">
        <f t="shared" si="11"/>
        <v>-9</v>
      </c>
      <c r="BA279" s="17" t="e">
        <f t="shared" si="12"/>
        <v>#N/A</v>
      </c>
      <c r="BB279" s="21" t="s">
        <v>335</v>
      </c>
    </row>
    <row r="280" spans="1:54" x14ac:dyDescent="0.35">
      <c r="A280" s="25" t="s">
        <v>1893</v>
      </c>
      <c r="B280" s="25" t="s">
        <v>347</v>
      </c>
      <c r="C280" s="25" t="s">
        <v>51</v>
      </c>
      <c r="D280" s="25" t="s">
        <v>369</v>
      </c>
      <c r="E280" s="25" t="s">
        <v>108</v>
      </c>
      <c r="F280" s="25" t="s">
        <v>207</v>
      </c>
      <c r="G280" s="25" t="s">
        <v>54</v>
      </c>
      <c r="H280" s="25" t="s">
        <v>1716</v>
      </c>
      <c r="I280" s="25" t="s">
        <v>117</v>
      </c>
      <c r="J280" s="25" t="s">
        <v>723</v>
      </c>
      <c r="K280" s="25" t="s">
        <v>576</v>
      </c>
      <c r="L280" s="25" t="s">
        <v>57</v>
      </c>
      <c r="M280" s="25" t="s">
        <v>55</v>
      </c>
      <c r="N280" s="25" t="s">
        <v>55</v>
      </c>
      <c r="O280" s="25" t="s">
        <v>1830</v>
      </c>
      <c r="P280" s="25" t="s">
        <v>1894</v>
      </c>
      <c r="Q280" s="25" t="s">
        <v>1895</v>
      </c>
      <c r="R280" s="25" t="s">
        <v>63</v>
      </c>
      <c r="S280" s="25" t="s">
        <v>726</v>
      </c>
      <c r="T280" s="25" t="s">
        <v>727</v>
      </c>
      <c r="U280" s="25" t="s">
        <v>63</v>
      </c>
      <c r="V280" s="26">
        <v>45991</v>
      </c>
      <c r="W280" s="25" t="s">
        <v>55</v>
      </c>
      <c r="X280" s="25" t="s">
        <v>728</v>
      </c>
      <c r="Y280" s="25" t="s">
        <v>65</v>
      </c>
      <c r="Z280" s="25" t="s">
        <v>55</v>
      </c>
      <c r="AA280" s="25" t="s">
        <v>152</v>
      </c>
      <c r="AB280" s="25" t="s">
        <v>55</v>
      </c>
      <c r="AC280" s="25" t="s">
        <v>55</v>
      </c>
      <c r="AD280" s="25" t="s">
        <v>67</v>
      </c>
      <c r="AE280" s="25" t="s">
        <v>257</v>
      </c>
      <c r="AF280" s="25" t="s">
        <v>55</v>
      </c>
      <c r="AG280" s="25" t="s">
        <v>55</v>
      </c>
      <c r="AH280" s="25" t="s">
        <v>55</v>
      </c>
      <c r="AI280" s="25" t="s">
        <v>55</v>
      </c>
      <c r="AJ280" s="25" t="s">
        <v>55</v>
      </c>
      <c r="AK280" s="25" t="s">
        <v>55</v>
      </c>
      <c r="AL280" s="25" t="s">
        <v>55</v>
      </c>
      <c r="AM280" s="25" t="s">
        <v>55</v>
      </c>
      <c r="AN280" s="25" t="s">
        <v>55</v>
      </c>
      <c r="AO280" s="25" t="s">
        <v>55</v>
      </c>
      <c r="AP280" s="25" t="s">
        <v>55</v>
      </c>
      <c r="AQ280" s="25" t="s">
        <v>55</v>
      </c>
      <c r="AR280" s="25" t="s">
        <v>55</v>
      </c>
      <c r="AS280" s="25" t="s">
        <v>55</v>
      </c>
      <c r="AT280" s="25" t="s">
        <v>55</v>
      </c>
      <c r="AU280" s="25" t="s">
        <v>55</v>
      </c>
      <c r="AV280" s="25" t="s">
        <v>55</v>
      </c>
      <c r="AW280" s="26">
        <v>45778</v>
      </c>
      <c r="AX280" s="26">
        <v>45901</v>
      </c>
      <c r="AY280" s="25" t="s">
        <v>1836</v>
      </c>
      <c r="AZ280" s="20">
        <f t="shared" si="11"/>
        <v>-9</v>
      </c>
      <c r="BA280" s="17" t="e">
        <f t="shared" si="12"/>
        <v>#N/A</v>
      </c>
      <c r="BB280" s="21" t="s">
        <v>335</v>
      </c>
    </row>
    <row r="281" spans="1:54" x14ac:dyDescent="0.35">
      <c r="A281" s="25" t="s">
        <v>1896</v>
      </c>
      <c r="B281" s="25" t="s">
        <v>347</v>
      </c>
      <c r="C281" s="25" t="s">
        <v>51</v>
      </c>
      <c r="D281" s="25" t="s">
        <v>369</v>
      </c>
      <c r="E281" s="25" t="s">
        <v>108</v>
      </c>
      <c r="F281" s="25" t="s">
        <v>207</v>
      </c>
      <c r="G281" s="25" t="s">
        <v>54</v>
      </c>
      <c r="H281" s="25" t="s">
        <v>1716</v>
      </c>
      <c r="I281" s="25" t="s">
        <v>363</v>
      </c>
      <c r="J281" s="25" t="s">
        <v>737</v>
      </c>
      <c r="K281" s="25" t="s">
        <v>586</v>
      </c>
      <c r="L281" s="25" t="s">
        <v>57</v>
      </c>
      <c r="M281" s="25" t="s">
        <v>55</v>
      </c>
      <c r="N281" s="25" t="s">
        <v>55</v>
      </c>
      <c r="O281" s="25" t="s">
        <v>1830</v>
      </c>
      <c r="P281" s="25" t="s">
        <v>738</v>
      </c>
      <c r="Q281" s="25" t="s">
        <v>1897</v>
      </c>
      <c r="R281" s="25" t="s">
        <v>132</v>
      </c>
      <c r="S281" s="25" t="s">
        <v>1898</v>
      </c>
      <c r="T281" s="25" t="s">
        <v>1899</v>
      </c>
      <c r="U281" s="25" t="s">
        <v>63</v>
      </c>
      <c r="V281" s="26">
        <v>45991</v>
      </c>
      <c r="W281" s="25" t="s">
        <v>55</v>
      </c>
      <c r="X281" s="25" t="s">
        <v>1900</v>
      </c>
      <c r="Y281" s="25" t="s">
        <v>65</v>
      </c>
      <c r="Z281" s="25" t="s">
        <v>55</v>
      </c>
      <c r="AA281" s="25" t="s">
        <v>152</v>
      </c>
      <c r="AB281" s="25" t="s">
        <v>55</v>
      </c>
      <c r="AC281" s="25" t="s">
        <v>55</v>
      </c>
      <c r="AD281" s="25" t="s">
        <v>67</v>
      </c>
      <c r="AE281" s="25" t="s">
        <v>257</v>
      </c>
      <c r="AF281" s="25" t="s">
        <v>55</v>
      </c>
      <c r="AG281" s="25" t="s">
        <v>55</v>
      </c>
      <c r="AH281" s="25" t="s">
        <v>55</v>
      </c>
      <c r="AI281" s="25" t="s">
        <v>55</v>
      </c>
      <c r="AJ281" s="25" t="s">
        <v>55</v>
      </c>
      <c r="AK281" s="25" t="s">
        <v>55</v>
      </c>
      <c r="AL281" s="25" t="s">
        <v>55</v>
      </c>
      <c r="AM281" s="25" t="s">
        <v>55</v>
      </c>
      <c r="AN281" s="25" t="s">
        <v>55</v>
      </c>
      <c r="AO281" s="25" t="s">
        <v>55</v>
      </c>
      <c r="AP281" s="25" t="s">
        <v>55</v>
      </c>
      <c r="AQ281" s="25" t="s">
        <v>55</v>
      </c>
      <c r="AR281" s="25" t="s">
        <v>55</v>
      </c>
      <c r="AS281" s="25" t="s">
        <v>55</v>
      </c>
      <c r="AT281" s="25" t="s">
        <v>55</v>
      </c>
      <c r="AU281" s="25" t="s">
        <v>55</v>
      </c>
      <c r="AV281" s="25" t="s">
        <v>55</v>
      </c>
      <c r="AW281" s="26">
        <v>45778</v>
      </c>
      <c r="AX281" s="26">
        <v>45901</v>
      </c>
      <c r="AY281" s="25" t="s">
        <v>1836</v>
      </c>
      <c r="AZ281" s="20">
        <f t="shared" si="11"/>
        <v>-9</v>
      </c>
      <c r="BA281" s="17" t="e">
        <f t="shared" si="12"/>
        <v>#N/A</v>
      </c>
      <c r="BB281" s="21" t="s">
        <v>335</v>
      </c>
    </row>
    <row r="282" spans="1:54" x14ac:dyDescent="0.35">
      <c r="A282" s="25" t="s">
        <v>1901</v>
      </c>
      <c r="B282" s="25" t="s">
        <v>347</v>
      </c>
      <c r="C282" s="25" t="s">
        <v>51</v>
      </c>
      <c r="D282" s="25" t="s">
        <v>369</v>
      </c>
      <c r="E282" s="25" t="s">
        <v>52</v>
      </c>
      <c r="F282" s="25" t="s">
        <v>207</v>
      </c>
      <c r="G282" s="25" t="s">
        <v>54</v>
      </c>
      <c r="H282" s="25" t="s">
        <v>1716</v>
      </c>
      <c r="I282" s="25" t="s">
        <v>119</v>
      </c>
      <c r="J282" s="25" t="s">
        <v>1902</v>
      </c>
      <c r="K282" s="25" t="s">
        <v>552</v>
      </c>
      <c r="L282" s="25" t="s">
        <v>57</v>
      </c>
      <c r="M282" s="25" t="s">
        <v>243</v>
      </c>
      <c r="N282" s="25" t="s">
        <v>55</v>
      </c>
      <c r="O282" s="25" t="s">
        <v>1830</v>
      </c>
      <c r="P282" s="25" t="s">
        <v>731</v>
      </c>
      <c r="Q282" s="25" t="s">
        <v>1903</v>
      </c>
      <c r="R282" s="25" t="s">
        <v>63</v>
      </c>
      <c r="S282" s="25" t="s">
        <v>733</v>
      </c>
      <c r="T282" s="25" t="s">
        <v>1904</v>
      </c>
      <c r="U282" s="25" t="s">
        <v>63</v>
      </c>
      <c r="V282" s="26">
        <v>46022</v>
      </c>
      <c r="W282" s="25" t="s">
        <v>55</v>
      </c>
      <c r="X282" s="25" t="s">
        <v>1869</v>
      </c>
      <c r="Y282" s="25" t="s">
        <v>65</v>
      </c>
      <c r="Z282" s="25" t="s">
        <v>55</v>
      </c>
      <c r="AA282" s="25" t="s">
        <v>221</v>
      </c>
      <c r="AB282" s="25" t="s">
        <v>55</v>
      </c>
      <c r="AC282" s="25" t="s">
        <v>55</v>
      </c>
      <c r="AD282" s="25" t="s">
        <v>67</v>
      </c>
      <c r="AE282" s="25" t="s">
        <v>257</v>
      </c>
      <c r="AF282" s="25" t="s">
        <v>92</v>
      </c>
      <c r="AG282" s="25" t="s">
        <v>55</v>
      </c>
      <c r="AH282" s="25" t="s">
        <v>55</v>
      </c>
      <c r="AI282" s="25" t="s">
        <v>55</v>
      </c>
      <c r="AJ282" s="25" t="s">
        <v>55</v>
      </c>
      <c r="AK282" s="25" t="s">
        <v>55</v>
      </c>
      <c r="AL282" s="25" t="s">
        <v>55</v>
      </c>
      <c r="AM282" s="25" t="s">
        <v>55</v>
      </c>
      <c r="AN282" s="25" t="s">
        <v>55</v>
      </c>
      <c r="AO282" s="25" t="s">
        <v>55</v>
      </c>
      <c r="AP282" s="25" t="s">
        <v>55</v>
      </c>
      <c r="AQ282" s="25" t="s">
        <v>55</v>
      </c>
      <c r="AR282" s="25" t="s">
        <v>55</v>
      </c>
      <c r="AS282" s="25" t="s">
        <v>55</v>
      </c>
      <c r="AT282" s="25" t="s">
        <v>55</v>
      </c>
      <c r="AU282" s="25" t="s">
        <v>55</v>
      </c>
      <c r="AV282" s="25" t="s">
        <v>55</v>
      </c>
      <c r="AW282" s="26">
        <v>45778</v>
      </c>
      <c r="AX282" s="26">
        <v>45901</v>
      </c>
      <c r="AY282" s="25" t="s">
        <v>1836</v>
      </c>
      <c r="AZ282" s="20">
        <f t="shared" si="11"/>
        <v>-40</v>
      </c>
      <c r="BA282" s="17" t="e">
        <f t="shared" si="12"/>
        <v>#N/A</v>
      </c>
      <c r="BB282" s="21" t="s">
        <v>335</v>
      </c>
    </row>
    <row r="283" spans="1:54" x14ac:dyDescent="0.35">
      <c r="A283" s="25" t="s">
        <v>1905</v>
      </c>
      <c r="B283" s="25" t="s">
        <v>347</v>
      </c>
      <c r="C283" s="25" t="s">
        <v>51</v>
      </c>
      <c r="D283" s="25" t="s">
        <v>369</v>
      </c>
      <c r="E283" s="25" t="s">
        <v>108</v>
      </c>
      <c r="F283" s="25" t="s">
        <v>207</v>
      </c>
      <c r="G283" s="25" t="s">
        <v>54</v>
      </c>
      <c r="H283" s="25" t="s">
        <v>1716</v>
      </c>
      <c r="I283" s="25" t="s">
        <v>160</v>
      </c>
      <c r="J283" s="25" t="s">
        <v>661</v>
      </c>
      <c r="K283" s="25" t="s">
        <v>558</v>
      </c>
      <c r="L283" s="25" t="s">
        <v>57</v>
      </c>
      <c r="M283" s="25" t="s">
        <v>55</v>
      </c>
      <c r="N283" s="25" t="s">
        <v>55</v>
      </c>
      <c r="O283" s="25" t="s">
        <v>1830</v>
      </c>
      <c r="P283" s="25" t="s">
        <v>1906</v>
      </c>
      <c r="Q283" s="25" t="s">
        <v>1907</v>
      </c>
      <c r="R283" s="25" t="s">
        <v>63</v>
      </c>
      <c r="S283" s="25" t="s">
        <v>1908</v>
      </c>
      <c r="T283" s="25" t="s">
        <v>1909</v>
      </c>
      <c r="U283" s="25" t="s">
        <v>63</v>
      </c>
      <c r="V283" s="26">
        <v>45991</v>
      </c>
      <c r="W283" s="25" t="s">
        <v>55</v>
      </c>
      <c r="X283" s="25" t="s">
        <v>1910</v>
      </c>
      <c r="Y283" s="25" t="s">
        <v>65</v>
      </c>
      <c r="Z283" s="25" t="s">
        <v>55</v>
      </c>
      <c r="AA283" s="25" t="s">
        <v>152</v>
      </c>
      <c r="AB283" s="25" t="s">
        <v>55</v>
      </c>
      <c r="AC283" s="25" t="s">
        <v>55</v>
      </c>
      <c r="AD283" s="25" t="s">
        <v>67</v>
      </c>
      <c r="AE283" s="25" t="s">
        <v>257</v>
      </c>
      <c r="AF283" s="25" t="s">
        <v>55</v>
      </c>
      <c r="AG283" s="25" t="s">
        <v>55</v>
      </c>
      <c r="AH283" s="25" t="s">
        <v>55</v>
      </c>
      <c r="AI283" s="25" t="s">
        <v>55</v>
      </c>
      <c r="AJ283" s="25" t="s">
        <v>55</v>
      </c>
      <c r="AK283" s="25" t="s">
        <v>55</v>
      </c>
      <c r="AL283" s="25" t="s">
        <v>55</v>
      </c>
      <c r="AM283" s="25" t="s">
        <v>55</v>
      </c>
      <c r="AN283" s="25" t="s">
        <v>55</v>
      </c>
      <c r="AO283" s="25" t="s">
        <v>55</v>
      </c>
      <c r="AP283" s="25" t="s">
        <v>55</v>
      </c>
      <c r="AQ283" s="25" t="s">
        <v>55</v>
      </c>
      <c r="AR283" s="25" t="s">
        <v>55</v>
      </c>
      <c r="AS283" s="25" t="s">
        <v>55</v>
      </c>
      <c r="AT283" s="25" t="s">
        <v>55</v>
      </c>
      <c r="AU283" s="25" t="s">
        <v>55</v>
      </c>
      <c r="AV283" s="25" t="s">
        <v>55</v>
      </c>
      <c r="AW283" s="26">
        <v>45778</v>
      </c>
      <c r="AX283" s="26">
        <v>45901</v>
      </c>
      <c r="AY283" s="25" t="s">
        <v>1836</v>
      </c>
      <c r="AZ283" s="20">
        <f t="shared" si="11"/>
        <v>-9</v>
      </c>
      <c r="BA283" s="17" t="e">
        <f t="shared" si="12"/>
        <v>#N/A</v>
      </c>
      <c r="BB283" s="21" t="s">
        <v>335</v>
      </c>
    </row>
    <row r="284" spans="1:54" x14ac:dyDescent="0.35">
      <c r="A284" s="25" t="s">
        <v>1911</v>
      </c>
      <c r="B284" s="25" t="s">
        <v>347</v>
      </c>
      <c r="C284" s="25" t="s">
        <v>51</v>
      </c>
      <c r="D284" s="25" t="s">
        <v>369</v>
      </c>
      <c r="E284" s="25" t="s">
        <v>108</v>
      </c>
      <c r="F284" s="25" t="s">
        <v>207</v>
      </c>
      <c r="G284" s="25" t="s">
        <v>54</v>
      </c>
      <c r="H284" s="25" t="s">
        <v>1716</v>
      </c>
      <c r="I284" s="25" t="s">
        <v>86</v>
      </c>
      <c r="J284" s="25" t="s">
        <v>744</v>
      </c>
      <c r="K284" s="25" t="s">
        <v>745</v>
      </c>
      <c r="L284" s="25" t="s">
        <v>57</v>
      </c>
      <c r="M284" s="25" t="s">
        <v>55</v>
      </c>
      <c r="N284" s="25" t="s">
        <v>55</v>
      </c>
      <c r="O284" s="25" t="s">
        <v>1830</v>
      </c>
      <c r="P284" s="25" t="s">
        <v>1912</v>
      </c>
      <c r="Q284" s="25" t="s">
        <v>1913</v>
      </c>
      <c r="R284" s="25" t="s">
        <v>63</v>
      </c>
      <c r="S284" s="25" t="s">
        <v>1914</v>
      </c>
      <c r="T284" s="25" t="s">
        <v>1915</v>
      </c>
      <c r="U284" s="25" t="s">
        <v>63</v>
      </c>
      <c r="V284" s="26">
        <v>46022</v>
      </c>
      <c r="W284" s="25" t="s">
        <v>55</v>
      </c>
      <c r="X284" s="25" t="s">
        <v>1916</v>
      </c>
      <c r="Y284" s="25" t="s">
        <v>65</v>
      </c>
      <c r="Z284" s="25" t="s">
        <v>55</v>
      </c>
      <c r="AA284" s="25" t="s">
        <v>221</v>
      </c>
      <c r="AB284" s="25" t="s">
        <v>55</v>
      </c>
      <c r="AC284" s="25" t="s">
        <v>55</v>
      </c>
      <c r="AD284" s="25" t="s">
        <v>67</v>
      </c>
      <c r="AE284" s="25" t="s">
        <v>257</v>
      </c>
      <c r="AF284" s="25" t="s">
        <v>55</v>
      </c>
      <c r="AG284" s="25" t="s">
        <v>55</v>
      </c>
      <c r="AH284" s="25" t="s">
        <v>55</v>
      </c>
      <c r="AI284" s="25" t="s">
        <v>55</v>
      </c>
      <c r="AJ284" s="25" t="s">
        <v>55</v>
      </c>
      <c r="AK284" s="25" t="s">
        <v>55</v>
      </c>
      <c r="AL284" s="25" t="s">
        <v>55</v>
      </c>
      <c r="AM284" s="25" t="s">
        <v>55</v>
      </c>
      <c r="AN284" s="25" t="s">
        <v>55</v>
      </c>
      <c r="AO284" s="25" t="s">
        <v>55</v>
      </c>
      <c r="AP284" s="25" t="s">
        <v>55</v>
      </c>
      <c r="AQ284" s="25" t="s">
        <v>55</v>
      </c>
      <c r="AR284" s="25" t="s">
        <v>55</v>
      </c>
      <c r="AS284" s="25" t="s">
        <v>55</v>
      </c>
      <c r="AT284" s="25" t="s">
        <v>55</v>
      </c>
      <c r="AU284" s="25" t="s">
        <v>55</v>
      </c>
      <c r="AV284" s="25" t="s">
        <v>55</v>
      </c>
      <c r="AW284" s="26">
        <v>45778</v>
      </c>
      <c r="AX284" s="26">
        <v>45901</v>
      </c>
      <c r="AY284" s="25" t="s">
        <v>1836</v>
      </c>
      <c r="AZ284" s="20">
        <f t="shared" si="11"/>
        <v>-40</v>
      </c>
      <c r="BA284" s="17" t="e">
        <f t="shared" si="12"/>
        <v>#N/A</v>
      </c>
      <c r="BB284" s="21" t="s">
        <v>335</v>
      </c>
    </row>
    <row r="285" spans="1:54" x14ac:dyDescent="0.35">
      <c r="A285" s="25" t="s">
        <v>1917</v>
      </c>
      <c r="B285" s="25" t="s">
        <v>347</v>
      </c>
      <c r="C285" s="25" t="s">
        <v>51</v>
      </c>
      <c r="D285" s="25" t="s">
        <v>1918</v>
      </c>
      <c r="E285" s="25" t="s">
        <v>52</v>
      </c>
      <c r="F285" s="25" t="s">
        <v>1919</v>
      </c>
      <c r="G285" s="25" t="s">
        <v>606</v>
      </c>
      <c r="H285" s="25" t="s">
        <v>1732</v>
      </c>
      <c r="I285" s="25" t="s">
        <v>1851</v>
      </c>
      <c r="J285" s="25" t="s">
        <v>1920</v>
      </c>
      <c r="K285" s="25" t="s">
        <v>1921</v>
      </c>
      <c r="L285" s="25" t="s">
        <v>103</v>
      </c>
      <c r="M285" s="25" t="s">
        <v>1706</v>
      </c>
      <c r="N285" s="25" t="s">
        <v>55</v>
      </c>
      <c r="O285" s="25" t="s">
        <v>1922</v>
      </c>
      <c r="P285" s="25" t="s">
        <v>1923</v>
      </c>
      <c r="Q285" s="25" t="s">
        <v>1924</v>
      </c>
      <c r="R285" s="25" t="s">
        <v>63</v>
      </c>
      <c r="S285" s="25" t="s">
        <v>1925</v>
      </c>
      <c r="T285" s="25" t="s">
        <v>1926</v>
      </c>
      <c r="U285" s="25" t="s">
        <v>63</v>
      </c>
      <c r="V285" s="26">
        <v>45991</v>
      </c>
      <c r="W285" s="25" t="s">
        <v>55</v>
      </c>
      <c r="X285" s="25" t="s">
        <v>1927</v>
      </c>
      <c r="Y285" s="25" t="s">
        <v>65</v>
      </c>
      <c r="Z285" s="25" t="s">
        <v>55</v>
      </c>
      <c r="AA285" s="25" t="s">
        <v>152</v>
      </c>
      <c r="AB285" s="25" t="s">
        <v>55</v>
      </c>
      <c r="AC285" s="25" t="s">
        <v>55</v>
      </c>
      <c r="AD285" s="25" t="s">
        <v>67</v>
      </c>
      <c r="AE285" s="25" t="s">
        <v>257</v>
      </c>
      <c r="AF285" s="25" t="s">
        <v>156</v>
      </c>
      <c r="AG285" s="25" t="s">
        <v>55</v>
      </c>
      <c r="AH285" s="25" t="s">
        <v>55</v>
      </c>
      <c r="AI285" s="25" t="s">
        <v>55</v>
      </c>
      <c r="AJ285" s="25" t="s">
        <v>55</v>
      </c>
      <c r="AK285" s="25" t="s">
        <v>55</v>
      </c>
      <c r="AL285" s="25" t="s">
        <v>55</v>
      </c>
      <c r="AM285" s="25" t="s">
        <v>55</v>
      </c>
      <c r="AN285" s="25" t="s">
        <v>55</v>
      </c>
      <c r="AO285" s="25" t="s">
        <v>55</v>
      </c>
      <c r="AP285" s="25" t="s">
        <v>55</v>
      </c>
      <c r="AQ285" s="25" t="s">
        <v>55</v>
      </c>
      <c r="AR285" s="25" t="s">
        <v>55</v>
      </c>
      <c r="AS285" s="25" t="s">
        <v>55</v>
      </c>
      <c r="AT285" s="25" t="s">
        <v>55</v>
      </c>
      <c r="AU285" s="25" t="s">
        <v>55</v>
      </c>
      <c r="AV285" s="25" t="s">
        <v>55</v>
      </c>
      <c r="AW285" s="26">
        <v>46089</v>
      </c>
      <c r="AX285" s="26">
        <v>46426</v>
      </c>
      <c r="AY285" s="25" t="s">
        <v>1836</v>
      </c>
      <c r="AZ285" s="20">
        <f t="shared" si="11"/>
        <v>-9</v>
      </c>
      <c r="BA285" s="17" t="e">
        <f t="shared" si="12"/>
        <v>#N/A</v>
      </c>
      <c r="BB285" s="21" t="s">
        <v>335</v>
      </c>
    </row>
    <row r="286" spans="1:54" x14ac:dyDescent="0.35">
      <c r="A286" s="25" t="s">
        <v>1928</v>
      </c>
      <c r="B286" s="25" t="s">
        <v>347</v>
      </c>
      <c r="C286" s="25" t="s">
        <v>51</v>
      </c>
      <c r="D286" s="25" t="s">
        <v>1918</v>
      </c>
      <c r="E286" s="25" t="s">
        <v>52</v>
      </c>
      <c r="F286" s="25" t="s">
        <v>1919</v>
      </c>
      <c r="G286" s="25" t="s">
        <v>606</v>
      </c>
      <c r="H286" s="25" t="s">
        <v>1732</v>
      </c>
      <c r="I286" s="25" t="s">
        <v>1851</v>
      </c>
      <c r="J286" s="25" t="s">
        <v>1929</v>
      </c>
      <c r="K286" s="25" t="s">
        <v>1921</v>
      </c>
      <c r="L286" s="25" t="s">
        <v>103</v>
      </c>
      <c r="M286" s="25" t="s">
        <v>1706</v>
      </c>
      <c r="N286" s="25" t="s">
        <v>55</v>
      </c>
      <c r="O286" s="25" t="s">
        <v>1922</v>
      </c>
      <c r="P286" s="25" t="s">
        <v>1930</v>
      </c>
      <c r="Q286" s="25" t="s">
        <v>1931</v>
      </c>
      <c r="R286" s="25" t="s">
        <v>63</v>
      </c>
      <c r="S286" s="25" t="s">
        <v>1932</v>
      </c>
      <c r="T286" s="25" t="s">
        <v>1933</v>
      </c>
      <c r="U286" s="25" t="s">
        <v>63</v>
      </c>
      <c r="V286" s="26">
        <v>45991</v>
      </c>
      <c r="W286" s="25" t="s">
        <v>55</v>
      </c>
      <c r="X286" s="25" t="s">
        <v>1927</v>
      </c>
      <c r="Y286" s="25" t="s">
        <v>65</v>
      </c>
      <c r="Z286" s="25" t="s">
        <v>55</v>
      </c>
      <c r="AA286" s="25" t="s">
        <v>152</v>
      </c>
      <c r="AB286" s="25" t="s">
        <v>55</v>
      </c>
      <c r="AC286" s="25" t="s">
        <v>55</v>
      </c>
      <c r="AD286" s="25" t="s">
        <v>67</v>
      </c>
      <c r="AE286" s="25" t="s">
        <v>257</v>
      </c>
      <c r="AF286" s="25" t="s">
        <v>156</v>
      </c>
      <c r="AG286" s="25" t="s">
        <v>55</v>
      </c>
      <c r="AH286" s="25" t="s">
        <v>55</v>
      </c>
      <c r="AI286" s="25" t="s">
        <v>55</v>
      </c>
      <c r="AJ286" s="25" t="s">
        <v>55</v>
      </c>
      <c r="AK286" s="25" t="s">
        <v>55</v>
      </c>
      <c r="AL286" s="25" t="s">
        <v>55</v>
      </c>
      <c r="AM286" s="25" t="s">
        <v>55</v>
      </c>
      <c r="AN286" s="25" t="s">
        <v>55</v>
      </c>
      <c r="AO286" s="25" t="s">
        <v>55</v>
      </c>
      <c r="AP286" s="25" t="s">
        <v>55</v>
      </c>
      <c r="AQ286" s="25" t="s">
        <v>55</v>
      </c>
      <c r="AR286" s="25" t="s">
        <v>55</v>
      </c>
      <c r="AS286" s="25" t="s">
        <v>55</v>
      </c>
      <c r="AT286" s="25" t="s">
        <v>55</v>
      </c>
      <c r="AU286" s="25" t="s">
        <v>55</v>
      </c>
      <c r="AV286" s="25" t="s">
        <v>55</v>
      </c>
      <c r="AW286" s="26">
        <v>46089</v>
      </c>
      <c r="AX286" s="26">
        <v>46426</v>
      </c>
      <c r="AY286" s="25" t="s">
        <v>1836</v>
      </c>
      <c r="AZ286" s="20">
        <f t="shared" si="11"/>
        <v>-9</v>
      </c>
      <c r="BA286" s="17" t="e">
        <f t="shared" si="12"/>
        <v>#N/A</v>
      </c>
      <c r="BB286" s="21" t="s">
        <v>335</v>
      </c>
    </row>
    <row r="287" spans="1:54" x14ac:dyDescent="0.35">
      <c r="A287" s="25" t="s">
        <v>1934</v>
      </c>
      <c r="B287" s="25" t="s">
        <v>347</v>
      </c>
      <c r="C287" s="25" t="s">
        <v>51</v>
      </c>
      <c r="D287" s="25" t="s">
        <v>1918</v>
      </c>
      <c r="E287" s="25" t="s">
        <v>108</v>
      </c>
      <c r="F287" s="25" t="s">
        <v>1919</v>
      </c>
      <c r="G287" s="25" t="s">
        <v>606</v>
      </c>
      <c r="H287" s="25" t="s">
        <v>1732</v>
      </c>
      <c r="I287" s="25" t="s">
        <v>160</v>
      </c>
      <c r="J287" s="25" t="s">
        <v>1935</v>
      </c>
      <c r="K287" s="25" t="s">
        <v>558</v>
      </c>
      <c r="L287" s="25" t="s">
        <v>103</v>
      </c>
      <c r="M287" s="25" t="s">
        <v>55</v>
      </c>
      <c r="N287" s="25" t="s">
        <v>55</v>
      </c>
      <c r="O287" s="25" t="s">
        <v>1922</v>
      </c>
      <c r="P287" s="25" t="s">
        <v>1936</v>
      </c>
      <c r="Q287" s="25" t="s">
        <v>1937</v>
      </c>
      <c r="R287" s="25" t="s">
        <v>63</v>
      </c>
      <c r="S287" s="25" t="s">
        <v>1938</v>
      </c>
      <c r="T287" s="25" t="s">
        <v>1939</v>
      </c>
      <c r="U287" s="25" t="s">
        <v>63</v>
      </c>
      <c r="V287" s="26">
        <v>45991</v>
      </c>
      <c r="W287" s="25" t="s">
        <v>55</v>
      </c>
      <c r="X287" s="25" t="s">
        <v>1940</v>
      </c>
      <c r="Y287" s="25" t="s">
        <v>65</v>
      </c>
      <c r="Z287" s="25" t="s">
        <v>55</v>
      </c>
      <c r="AA287" s="25" t="s">
        <v>152</v>
      </c>
      <c r="AB287" s="25" t="s">
        <v>55</v>
      </c>
      <c r="AC287" s="25" t="s">
        <v>55</v>
      </c>
      <c r="AD287" s="25" t="s">
        <v>67</v>
      </c>
      <c r="AE287" s="25" t="s">
        <v>257</v>
      </c>
      <c r="AF287" s="25" t="s">
        <v>55</v>
      </c>
      <c r="AG287" s="25" t="s">
        <v>55</v>
      </c>
      <c r="AH287" s="25" t="s">
        <v>55</v>
      </c>
      <c r="AI287" s="25" t="s">
        <v>55</v>
      </c>
      <c r="AJ287" s="25" t="s">
        <v>55</v>
      </c>
      <c r="AK287" s="25" t="s">
        <v>55</v>
      </c>
      <c r="AL287" s="25" t="s">
        <v>55</v>
      </c>
      <c r="AM287" s="25" t="s">
        <v>55</v>
      </c>
      <c r="AN287" s="25" t="s">
        <v>55</v>
      </c>
      <c r="AO287" s="25" t="s">
        <v>55</v>
      </c>
      <c r="AP287" s="25" t="s">
        <v>55</v>
      </c>
      <c r="AQ287" s="25" t="s">
        <v>55</v>
      </c>
      <c r="AR287" s="25" t="s">
        <v>55</v>
      </c>
      <c r="AS287" s="25" t="s">
        <v>55</v>
      </c>
      <c r="AT287" s="25" t="s">
        <v>55</v>
      </c>
      <c r="AU287" s="25" t="s">
        <v>55</v>
      </c>
      <c r="AV287" s="25" t="s">
        <v>55</v>
      </c>
      <c r="AW287" s="26">
        <v>46089</v>
      </c>
      <c r="AX287" s="26">
        <v>46426</v>
      </c>
      <c r="AY287" s="25" t="s">
        <v>1836</v>
      </c>
      <c r="AZ287" s="20">
        <f t="shared" si="11"/>
        <v>-9</v>
      </c>
      <c r="BA287" s="17" t="e">
        <f t="shared" si="12"/>
        <v>#N/A</v>
      </c>
      <c r="BB287" s="21" t="s">
        <v>335</v>
      </c>
    </row>
    <row r="288" spans="1:54" x14ac:dyDescent="0.35">
      <c r="A288" s="25" t="s">
        <v>1941</v>
      </c>
      <c r="B288" s="25" t="s">
        <v>347</v>
      </c>
      <c r="C288" s="25" t="s">
        <v>51</v>
      </c>
      <c r="D288" s="25" t="s">
        <v>1918</v>
      </c>
      <c r="E288" s="25" t="s">
        <v>108</v>
      </c>
      <c r="F288" s="25" t="s">
        <v>1919</v>
      </c>
      <c r="G288" s="25" t="s">
        <v>606</v>
      </c>
      <c r="H288" s="25" t="s">
        <v>1732</v>
      </c>
      <c r="I288" s="25" t="s">
        <v>121</v>
      </c>
      <c r="J288" s="25" t="s">
        <v>629</v>
      </c>
      <c r="K288" s="25" t="s">
        <v>565</v>
      </c>
      <c r="L288" s="25" t="s">
        <v>57</v>
      </c>
      <c r="M288" s="25" t="s">
        <v>1942</v>
      </c>
      <c r="N288" s="25" t="s">
        <v>55</v>
      </c>
      <c r="O288" s="25" t="s">
        <v>1922</v>
      </c>
      <c r="P288" s="25" t="s">
        <v>1943</v>
      </c>
      <c r="Q288" s="25" t="s">
        <v>1944</v>
      </c>
      <c r="R288" s="25" t="s">
        <v>63</v>
      </c>
      <c r="S288" s="25" t="s">
        <v>1945</v>
      </c>
      <c r="T288" s="25" t="s">
        <v>1946</v>
      </c>
      <c r="U288" s="25" t="s">
        <v>63</v>
      </c>
      <c r="V288" s="26">
        <v>45991</v>
      </c>
      <c r="W288" s="25" t="s">
        <v>55</v>
      </c>
      <c r="X288" s="25" t="s">
        <v>1947</v>
      </c>
      <c r="Y288" s="25" t="s">
        <v>65</v>
      </c>
      <c r="Z288" s="25" t="s">
        <v>55</v>
      </c>
      <c r="AA288" s="25" t="s">
        <v>152</v>
      </c>
      <c r="AB288" s="25" t="s">
        <v>55</v>
      </c>
      <c r="AC288" s="25" t="s">
        <v>55</v>
      </c>
      <c r="AD288" s="25" t="s">
        <v>67</v>
      </c>
      <c r="AE288" s="25" t="s">
        <v>257</v>
      </c>
      <c r="AF288" s="25" t="s">
        <v>814</v>
      </c>
      <c r="AG288" s="25" t="s">
        <v>55</v>
      </c>
      <c r="AH288" s="25" t="s">
        <v>55</v>
      </c>
      <c r="AI288" s="25" t="s">
        <v>55</v>
      </c>
      <c r="AJ288" s="25" t="s">
        <v>55</v>
      </c>
      <c r="AK288" s="25" t="s">
        <v>55</v>
      </c>
      <c r="AL288" s="25" t="s">
        <v>55</v>
      </c>
      <c r="AM288" s="25" t="s">
        <v>55</v>
      </c>
      <c r="AN288" s="25" t="s">
        <v>55</v>
      </c>
      <c r="AO288" s="25" t="s">
        <v>55</v>
      </c>
      <c r="AP288" s="25" t="s">
        <v>55</v>
      </c>
      <c r="AQ288" s="25" t="s">
        <v>55</v>
      </c>
      <c r="AR288" s="25" t="s">
        <v>55</v>
      </c>
      <c r="AS288" s="25" t="s">
        <v>55</v>
      </c>
      <c r="AT288" s="25" t="s">
        <v>55</v>
      </c>
      <c r="AU288" s="25" t="s">
        <v>55</v>
      </c>
      <c r="AV288" s="25" t="s">
        <v>55</v>
      </c>
      <c r="AW288" s="26">
        <v>46089</v>
      </c>
      <c r="AX288" s="26">
        <v>46426</v>
      </c>
      <c r="AY288" s="25" t="s">
        <v>1836</v>
      </c>
      <c r="AZ288" s="20">
        <f t="shared" si="11"/>
        <v>-9</v>
      </c>
      <c r="BA288" s="17" t="e">
        <f t="shared" si="12"/>
        <v>#N/A</v>
      </c>
      <c r="BB288" s="21" t="s">
        <v>335</v>
      </c>
    </row>
    <row r="289" spans="1:54" x14ac:dyDescent="0.35">
      <c r="A289" s="25" t="s">
        <v>1948</v>
      </c>
      <c r="B289" s="25" t="s">
        <v>347</v>
      </c>
      <c r="C289" s="25" t="s">
        <v>51</v>
      </c>
      <c r="D289" s="25" t="s">
        <v>1918</v>
      </c>
      <c r="E289" s="25" t="s">
        <v>108</v>
      </c>
      <c r="F289" s="25" t="s">
        <v>1919</v>
      </c>
      <c r="G289" s="25" t="s">
        <v>606</v>
      </c>
      <c r="H289" s="25" t="s">
        <v>1732</v>
      </c>
      <c r="I289" s="25" t="s">
        <v>160</v>
      </c>
      <c r="J289" s="25" t="s">
        <v>1949</v>
      </c>
      <c r="K289" s="25" t="s">
        <v>558</v>
      </c>
      <c r="L289" s="25" t="s">
        <v>57</v>
      </c>
      <c r="M289" s="25" t="s">
        <v>55</v>
      </c>
      <c r="N289" s="25" t="s">
        <v>55</v>
      </c>
      <c r="O289" s="25" t="s">
        <v>1922</v>
      </c>
      <c r="P289" s="25" t="s">
        <v>1950</v>
      </c>
      <c r="Q289" s="25" t="s">
        <v>1951</v>
      </c>
      <c r="R289" s="25" t="s">
        <v>63</v>
      </c>
      <c r="S289" s="25" t="s">
        <v>1952</v>
      </c>
      <c r="T289" s="25" t="s">
        <v>1953</v>
      </c>
      <c r="U289" s="25" t="s">
        <v>132</v>
      </c>
      <c r="V289" s="26">
        <v>46022</v>
      </c>
      <c r="W289" s="25" t="s">
        <v>55</v>
      </c>
      <c r="X289" s="25" t="s">
        <v>1954</v>
      </c>
      <c r="Y289" s="25" t="s">
        <v>65</v>
      </c>
      <c r="Z289" s="25" t="s">
        <v>55</v>
      </c>
      <c r="AA289" s="25" t="s">
        <v>221</v>
      </c>
      <c r="AB289" s="25" t="s">
        <v>55</v>
      </c>
      <c r="AC289" s="25" t="s">
        <v>55</v>
      </c>
      <c r="AD289" s="25" t="s">
        <v>67</v>
      </c>
      <c r="AE289" s="25" t="s">
        <v>257</v>
      </c>
      <c r="AF289" s="25" t="s">
        <v>55</v>
      </c>
      <c r="AG289" s="25" t="s">
        <v>55</v>
      </c>
      <c r="AH289" s="25" t="s">
        <v>55</v>
      </c>
      <c r="AI289" s="25" t="s">
        <v>55</v>
      </c>
      <c r="AJ289" s="25" t="s">
        <v>55</v>
      </c>
      <c r="AK289" s="25" t="s">
        <v>55</v>
      </c>
      <c r="AL289" s="25" t="s">
        <v>55</v>
      </c>
      <c r="AM289" s="25" t="s">
        <v>55</v>
      </c>
      <c r="AN289" s="25" t="s">
        <v>55</v>
      </c>
      <c r="AO289" s="25" t="s">
        <v>55</v>
      </c>
      <c r="AP289" s="25" t="s">
        <v>55</v>
      </c>
      <c r="AQ289" s="25" t="s">
        <v>55</v>
      </c>
      <c r="AR289" s="25" t="s">
        <v>55</v>
      </c>
      <c r="AS289" s="25" t="s">
        <v>55</v>
      </c>
      <c r="AT289" s="25" t="s">
        <v>55</v>
      </c>
      <c r="AU289" s="25" t="s">
        <v>55</v>
      </c>
      <c r="AV289" s="25" t="s">
        <v>55</v>
      </c>
      <c r="AW289" s="26">
        <v>46089</v>
      </c>
      <c r="AX289" s="26">
        <v>46426</v>
      </c>
      <c r="AY289" s="25" t="s">
        <v>1836</v>
      </c>
      <c r="AZ289" s="20">
        <f t="shared" si="11"/>
        <v>-40</v>
      </c>
      <c r="BA289" s="17" t="e">
        <f t="shared" si="12"/>
        <v>#N/A</v>
      </c>
      <c r="BB289" s="21" t="s">
        <v>335</v>
      </c>
    </row>
    <row r="290" spans="1:54" x14ac:dyDescent="0.35">
      <c r="A290" s="25" t="s">
        <v>1955</v>
      </c>
      <c r="B290" s="25" t="s">
        <v>347</v>
      </c>
      <c r="C290" s="25" t="s">
        <v>51</v>
      </c>
      <c r="D290" s="25" t="s">
        <v>1918</v>
      </c>
      <c r="E290" s="25" t="s">
        <v>108</v>
      </c>
      <c r="F290" s="25" t="s">
        <v>1919</v>
      </c>
      <c r="G290" s="25" t="s">
        <v>606</v>
      </c>
      <c r="H290" s="25" t="s">
        <v>1732</v>
      </c>
      <c r="I290" s="25" t="s">
        <v>160</v>
      </c>
      <c r="J290" s="25" t="s">
        <v>1956</v>
      </c>
      <c r="K290" s="25" t="s">
        <v>593</v>
      </c>
      <c r="L290" s="25" t="s">
        <v>57</v>
      </c>
      <c r="M290" s="25" t="s">
        <v>55</v>
      </c>
      <c r="N290" s="25" t="s">
        <v>55</v>
      </c>
      <c r="O290" s="25" t="s">
        <v>1922</v>
      </c>
      <c r="P290" s="25" t="s">
        <v>1957</v>
      </c>
      <c r="Q290" s="25" t="s">
        <v>1958</v>
      </c>
      <c r="R290" s="25" t="s">
        <v>63</v>
      </c>
      <c r="S290" s="25" t="s">
        <v>1959</v>
      </c>
      <c r="T290" s="25" t="s">
        <v>1960</v>
      </c>
      <c r="U290" s="25" t="s">
        <v>132</v>
      </c>
      <c r="V290" s="26">
        <v>45991</v>
      </c>
      <c r="W290" s="25" t="s">
        <v>55</v>
      </c>
      <c r="X290" s="25" t="s">
        <v>1961</v>
      </c>
      <c r="Y290" s="25" t="s">
        <v>65</v>
      </c>
      <c r="Z290" s="25" t="s">
        <v>55</v>
      </c>
      <c r="AA290" s="25" t="s">
        <v>152</v>
      </c>
      <c r="AB290" s="25" t="s">
        <v>55</v>
      </c>
      <c r="AC290" s="25" t="s">
        <v>55</v>
      </c>
      <c r="AD290" s="25" t="s">
        <v>67</v>
      </c>
      <c r="AE290" s="25" t="s">
        <v>257</v>
      </c>
      <c r="AF290" s="25" t="s">
        <v>55</v>
      </c>
      <c r="AG290" s="25" t="s">
        <v>55</v>
      </c>
      <c r="AH290" s="25" t="s">
        <v>55</v>
      </c>
      <c r="AI290" s="25" t="s">
        <v>55</v>
      </c>
      <c r="AJ290" s="25" t="s">
        <v>55</v>
      </c>
      <c r="AK290" s="25" t="s">
        <v>55</v>
      </c>
      <c r="AL290" s="25" t="s">
        <v>55</v>
      </c>
      <c r="AM290" s="25" t="s">
        <v>55</v>
      </c>
      <c r="AN290" s="25" t="s">
        <v>55</v>
      </c>
      <c r="AO290" s="25" t="s">
        <v>55</v>
      </c>
      <c r="AP290" s="25" t="s">
        <v>55</v>
      </c>
      <c r="AQ290" s="25" t="s">
        <v>55</v>
      </c>
      <c r="AR290" s="25" t="s">
        <v>55</v>
      </c>
      <c r="AS290" s="25" t="s">
        <v>55</v>
      </c>
      <c r="AT290" s="25" t="s">
        <v>55</v>
      </c>
      <c r="AU290" s="25" t="s">
        <v>55</v>
      </c>
      <c r="AV290" s="25" t="s">
        <v>55</v>
      </c>
      <c r="AW290" s="26">
        <v>46089</v>
      </c>
      <c r="AX290" s="26">
        <v>46426</v>
      </c>
      <c r="AY290" s="25" t="s">
        <v>1836</v>
      </c>
      <c r="AZ290" s="20">
        <f t="shared" si="11"/>
        <v>-9</v>
      </c>
      <c r="BA290" s="17" t="e">
        <f t="shared" si="12"/>
        <v>#N/A</v>
      </c>
      <c r="BB290" s="21" t="s">
        <v>335</v>
      </c>
    </row>
    <row r="291" spans="1:54" x14ac:dyDescent="0.35">
      <c r="A291" s="25" t="s">
        <v>1962</v>
      </c>
      <c r="B291" s="25" t="s">
        <v>347</v>
      </c>
      <c r="C291" s="25" t="s">
        <v>51</v>
      </c>
      <c r="D291" s="25" t="s">
        <v>1918</v>
      </c>
      <c r="E291" s="25" t="s">
        <v>52</v>
      </c>
      <c r="F291" s="25" t="s">
        <v>1919</v>
      </c>
      <c r="G291" s="25" t="s">
        <v>606</v>
      </c>
      <c r="H291" s="25" t="s">
        <v>1732</v>
      </c>
      <c r="I291" s="25" t="s">
        <v>119</v>
      </c>
      <c r="J291" s="25" t="s">
        <v>1902</v>
      </c>
      <c r="K291" s="25" t="s">
        <v>552</v>
      </c>
      <c r="L291" s="25" t="s">
        <v>57</v>
      </c>
      <c r="M291" s="25" t="s">
        <v>122</v>
      </c>
      <c r="N291" s="25" t="s">
        <v>55</v>
      </c>
      <c r="O291" s="25" t="s">
        <v>1922</v>
      </c>
      <c r="P291" s="25" t="s">
        <v>731</v>
      </c>
      <c r="Q291" s="25" t="s">
        <v>1963</v>
      </c>
      <c r="R291" s="25" t="s">
        <v>63</v>
      </c>
      <c r="S291" s="25" t="s">
        <v>1964</v>
      </c>
      <c r="T291" s="25" t="s">
        <v>1965</v>
      </c>
      <c r="U291" s="25" t="s">
        <v>63</v>
      </c>
      <c r="V291" s="26">
        <v>46022</v>
      </c>
      <c r="W291" s="25" t="s">
        <v>55</v>
      </c>
      <c r="X291" s="25" t="s">
        <v>1966</v>
      </c>
      <c r="Y291" s="25" t="s">
        <v>65</v>
      </c>
      <c r="Z291" s="25" t="s">
        <v>55</v>
      </c>
      <c r="AA291" s="25" t="s">
        <v>221</v>
      </c>
      <c r="AB291" s="25" t="s">
        <v>55</v>
      </c>
      <c r="AC291" s="25" t="s">
        <v>55</v>
      </c>
      <c r="AD291" s="25" t="s">
        <v>67</v>
      </c>
      <c r="AE291" s="25" t="s">
        <v>257</v>
      </c>
      <c r="AF291" s="25" t="s">
        <v>123</v>
      </c>
      <c r="AG291" s="25" t="s">
        <v>55</v>
      </c>
      <c r="AH291" s="25" t="s">
        <v>55</v>
      </c>
      <c r="AI291" s="25" t="s">
        <v>55</v>
      </c>
      <c r="AJ291" s="25" t="s">
        <v>55</v>
      </c>
      <c r="AK291" s="25" t="s">
        <v>55</v>
      </c>
      <c r="AL291" s="25" t="s">
        <v>55</v>
      </c>
      <c r="AM291" s="25" t="s">
        <v>55</v>
      </c>
      <c r="AN291" s="25" t="s">
        <v>55</v>
      </c>
      <c r="AO291" s="25" t="s">
        <v>55</v>
      </c>
      <c r="AP291" s="25" t="s">
        <v>55</v>
      </c>
      <c r="AQ291" s="25" t="s">
        <v>55</v>
      </c>
      <c r="AR291" s="25" t="s">
        <v>55</v>
      </c>
      <c r="AS291" s="25" t="s">
        <v>55</v>
      </c>
      <c r="AT291" s="25" t="s">
        <v>55</v>
      </c>
      <c r="AU291" s="25" t="s">
        <v>55</v>
      </c>
      <c r="AV291" s="25" t="s">
        <v>55</v>
      </c>
      <c r="AW291" s="26">
        <v>46089</v>
      </c>
      <c r="AX291" s="26">
        <v>46426</v>
      </c>
      <c r="AY291" s="25" t="s">
        <v>1836</v>
      </c>
      <c r="AZ291" s="20">
        <f t="shared" si="11"/>
        <v>-40</v>
      </c>
      <c r="BA291" s="17" t="e">
        <f t="shared" si="12"/>
        <v>#N/A</v>
      </c>
      <c r="BB291" s="21" t="s">
        <v>335</v>
      </c>
    </row>
    <row r="292" spans="1:54" x14ac:dyDescent="0.35">
      <c r="A292" s="25" t="s">
        <v>1967</v>
      </c>
      <c r="B292" s="25" t="s">
        <v>347</v>
      </c>
      <c r="C292" s="25" t="s">
        <v>51</v>
      </c>
      <c r="D292" s="25" t="s">
        <v>1918</v>
      </c>
      <c r="E292" s="25" t="s">
        <v>108</v>
      </c>
      <c r="F292" s="25" t="s">
        <v>1919</v>
      </c>
      <c r="G292" s="25" t="s">
        <v>606</v>
      </c>
      <c r="H292" s="25" t="s">
        <v>1732</v>
      </c>
      <c r="I292" s="25" t="s">
        <v>160</v>
      </c>
      <c r="J292" s="25" t="s">
        <v>710</v>
      </c>
      <c r="K292" s="25" t="s">
        <v>558</v>
      </c>
      <c r="L292" s="25" t="s">
        <v>57</v>
      </c>
      <c r="M292" s="25" t="s">
        <v>55</v>
      </c>
      <c r="N292" s="25" t="s">
        <v>55</v>
      </c>
      <c r="O292" s="25" t="s">
        <v>1922</v>
      </c>
      <c r="P292" s="25" t="s">
        <v>1968</v>
      </c>
      <c r="Q292" s="25" t="s">
        <v>1969</v>
      </c>
      <c r="R292" s="25" t="s">
        <v>63</v>
      </c>
      <c r="S292" s="25" t="s">
        <v>1970</v>
      </c>
      <c r="T292" s="25" t="s">
        <v>1971</v>
      </c>
      <c r="U292" s="25" t="s">
        <v>132</v>
      </c>
      <c r="V292" s="26">
        <v>46022</v>
      </c>
      <c r="W292" s="25" t="s">
        <v>55</v>
      </c>
      <c r="X292" s="25" t="s">
        <v>1972</v>
      </c>
      <c r="Y292" s="25" t="s">
        <v>65</v>
      </c>
      <c r="Z292" s="25" t="s">
        <v>55</v>
      </c>
      <c r="AA292" s="25" t="s">
        <v>221</v>
      </c>
      <c r="AB292" s="25" t="s">
        <v>55</v>
      </c>
      <c r="AC292" s="25" t="s">
        <v>55</v>
      </c>
      <c r="AD292" s="25" t="s">
        <v>67</v>
      </c>
      <c r="AE292" s="25" t="s">
        <v>257</v>
      </c>
      <c r="AF292" s="25" t="s">
        <v>55</v>
      </c>
      <c r="AG292" s="25" t="s">
        <v>55</v>
      </c>
      <c r="AH292" s="25" t="s">
        <v>55</v>
      </c>
      <c r="AI292" s="25" t="s">
        <v>55</v>
      </c>
      <c r="AJ292" s="25" t="s">
        <v>55</v>
      </c>
      <c r="AK292" s="25" t="s">
        <v>55</v>
      </c>
      <c r="AL292" s="25" t="s">
        <v>55</v>
      </c>
      <c r="AM292" s="25" t="s">
        <v>55</v>
      </c>
      <c r="AN292" s="25" t="s">
        <v>55</v>
      </c>
      <c r="AO292" s="25" t="s">
        <v>55</v>
      </c>
      <c r="AP292" s="25" t="s">
        <v>55</v>
      </c>
      <c r="AQ292" s="25" t="s">
        <v>55</v>
      </c>
      <c r="AR292" s="25" t="s">
        <v>55</v>
      </c>
      <c r="AS292" s="25" t="s">
        <v>55</v>
      </c>
      <c r="AT292" s="25" t="s">
        <v>55</v>
      </c>
      <c r="AU292" s="25" t="s">
        <v>55</v>
      </c>
      <c r="AV292" s="25" t="s">
        <v>55</v>
      </c>
      <c r="AW292" s="26">
        <v>46089</v>
      </c>
      <c r="AX292" s="26">
        <v>46426</v>
      </c>
      <c r="AY292" s="25" t="s">
        <v>1836</v>
      </c>
      <c r="AZ292" s="20">
        <f t="shared" si="11"/>
        <v>-40</v>
      </c>
      <c r="BA292" s="17" t="e">
        <f t="shared" si="12"/>
        <v>#N/A</v>
      </c>
      <c r="BB292" s="21" t="s">
        <v>335</v>
      </c>
    </row>
    <row r="293" spans="1:54" x14ac:dyDescent="0.35">
      <c r="A293" s="25" t="s">
        <v>1973</v>
      </c>
      <c r="B293" s="25" t="s">
        <v>347</v>
      </c>
      <c r="C293" s="25" t="s">
        <v>51</v>
      </c>
      <c r="D293" s="25" t="s">
        <v>1918</v>
      </c>
      <c r="E293" s="25" t="s">
        <v>108</v>
      </c>
      <c r="F293" s="25" t="s">
        <v>1919</v>
      </c>
      <c r="G293" s="25" t="s">
        <v>606</v>
      </c>
      <c r="H293" s="25" t="s">
        <v>1732</v>
      </c>
      <c r="I293" s="25" t="s">
        <v>160</v>
      </c>
      <c r="J293" s="25" t="s">
        <v>393</v>
      </c>
      <c r="K293" s="25" t="s">
        <v>858</v>
      </c>
      <c r="L293" s="25" t="s">
        <v>57</v>
      </c>
      <c r="M293" s="25" t="s">
        <v>55</v>
      </c>
      <c r="N293" s="25" t="s">
        <v>55</v>
      </c>
      <c r="O293" s="25" t="s">
        <v>1922</v>
      </c>
      <c r="P293" s="25" t="s">
        <v>1974</v>
      </c>
      <c r="Q293" s="25" t="s">
        <v>1975</v>
      </c>
      <c r="R293" s="25" t="s">
        <v>63</v>
      </c>
      <c r="S293" s="25" t="s">
        <v>1976</v>
      </c>
      <c r="T293" s="25" t="s">
        <v>1977</v>
      </c>
      <c r="U293" s="25" t="s">
        <v>63</v>
      </c>
      <c r="V293" s="26">
        <v>46022</v>
      </c>
      <c r="W293" s="25" t="s">
        <v>55</v>
      </c>
      <c r="X293" s="25" t="s">
        <v>1972</v>
      </c>
      <c r="Y293" s="25" t="s">
        <v>65</v>
      </c>
      <c r="Z293" s="25" t="s">
        <v>55</v>
      </c>
      <c r="AA293" s="25" t="s">
        <v>221</v>
      </c>
      <c r="AB293" s="25" t="s">
        <v>55</v>
      </c>
      <c r="AC293" s="25" t="s">
        <v>55</v>
      </c>
      <c r="AD293" s="25" t="s">
        <v>67</v>
      </c>
      <c r="AE293" s="25" t="s">
        <v>257</v>
      </c>
      <c r="AF293" s="25" t="s">
        <v>55</v>
      </c>
      <c r="AG293" s="25" t="s">
        <v>55</v>
      </c>
      <c r="AH293" s="25" t="s">
        <v>55</v>
      </c>
      <c r="AI293" s="25" t="s">
        <v>55</v>
      </c>
      <c r="AJ293" s="25" t="s">
        <v>55</v>
      </c>
      <c r="AK293" s="25" t="s">
        <v>55</v>
      </c>
      <c r="AL293" s="25" t="s">
        <v>55</v>
      </c>
      <c r="AM293" s="25" t="s">
        <v>55</v>
      </c>
      <c r="AN293" s="25" t="s">
        <v>55</v>
      </c>
      <c r="AO293" s="25" t="s">
        <v>55</v>
      </c>
      <c r="AP293" s="25" t="s">
        <v>55</v>
      </c>
      <c r="AQ293" s="25" t="s">
        <v>55</v>
      </c>
      <c r="AR293" s="25" t="s">
        <v>55</v>
      </c>
      <c r="AS293" s="25" t="s">
        <v>55</v>
      </c>
      <c r="AT293" s="25" t="s">
        <v>55</v>
      </c>
      <c r="AU293" s="25" t="s">
        <v>55</v>
      </c>
      <c r="AV293" s="25" t="s">
        <v>55</v>
      </c>
      <c r="AW293" s="26">
        <v>46089</v>
      </c>
      <c r="AX293" s="26">
        <v>46426</v>
      </c>
      <c r="AY293" s="25" t="s">
        <v>1836</v>
      </c>
      <c r="AZ293" s="20">
        <f t="shared" si="11"/>
        <v>-40</v>
      </c>
      <c r="BA293" s="17" t="e">
        <f t="shared" si="12"/>
        <v>#N/A</v>
      </c>
      <c r="BB293" s="21" t="s">
        <v>335</v>
      </c>
    </row>
    <row r="294" spans="1:54" x14ac:dyDescent="0.35">
      <c r="A294" s="25" t="s">
        <v>1978</v>
      </c>
      <c r="B294" s="25" t="s">
        <v>347</v>
      </c>
      <c r="C294" s="25" t="s">
        <v>51</v>
      </c>
      <c r="D294" s="25" t="s">
        <v>1918</v>
      </c>
      <c r="E294" s="25" t="s">
        <v>108</v>
      </c>
      <c r="F294" s="25" t="s">
        <v>1919</v>
      </c>
      <c r="G294" s="25" t="s">
        <v>606</v>
      </c>
      <c r="H294" s="25" t="s">
        <v>1732</v>
      </c>
      <c r="I294" s="25" t="s">
        <v>121</v>
      </c>
      <c r="J294" s="25" t="s">
        <v>1979</v>
      </c>
      <c r="K294" s="25" t="s">
        <v>563</v>
      </c>
      <c r="L294" s="25" t="s">
        <v>57</v>
      </c>
      <c r="M294" s="25" t="s">
        <v>55</v>
      </c>
      <c r="N294" s="25" t="s">
        <v>55</v>
      </c>
      <c r="O294" s="25" t="s">
        <v>1922</v>
      </c>
      <c r="P294" s="25" t="s">
        <v>1980</v>
      </c>
      <c r="Q294" s="25" t="s">
        <v>1981</v>
      </c>
      <c r="R294" s="25" t="s">
        <v>132</v>
      </c>
      <c r="S294" s="25" t="s">
        <v>1982</v>
      </c>
      <c r="T294" s="25" t="s">
        <v>1983</v>
      </c>
      <c r="U294" s="25" t="s">
        <v>63</v>
      </c>
      <c r="V294" s="26">
        <v>45991</v>
      </c>
      <c r="W294" s="25" t="s">
        <v>55</v>
      </c>
      <c r="X294" s="25" t="s">
        <v>1947</v>
      </c>
      <c r="Y294" s="25" t="s">
        <v>65</v>
      </c>
      <c r="Z294" s="25" t="s">
        <v>55</v>
      </c>
      <c r="AA294" s="25" t="s">
        <v>152</v>
      </c>
      <c r="AB294" s="25" t="s">
        <v>55</v>
      </c>
      <c r="AC294" s="25" t="s">
        <v>55</v>
      </c>
      <c r="AD294" s="25" t="s">
        <v>67</v>
      </c>
      <c r="AE294" s="25" t="s">
        <v>257</v>
      </c>
      <c r="AF294" s="25" t="s">
        <v>55</v>
      </c>
      <c r="AG294" s="25" t="s">
        <v>55</v>
      </c>
      <c r="AH294" s="25" t="s">
        <v>55</v>
      </c>
      <c r="AI294" s="25" t="s">
        <v>55</v>
      </c>
      <c r="AJ294" s="25" t="s">
        <v>55</v>
      </c>
      <c r="AK294" s="25" t="s">
        <v>55</v>
      </c>
      <c r="AL294" s="25" t="s">
        <v>55</v>
      </c>
      <c r="AM294" s="25" t="s">
        <v>55</v>
      </c>
      <c r="AN294" s="25" t="s">
        <v>55</v>
      </c>
      <c r="AO294" s="25" t="s">
        <v>55</v>
      </c>
      <c r="AP294" s="25" t="s">
        <v>55</v>
      </c>
      <c r="AQ294" s="25" t="s">
        <v>55</v>
      </c>
      <c r="AR294" s="25" t="s">
        <v>55</v>
      </c>
      <c r="AS294" s="25" t="s">
        <v>55</v>
      </c>
      <c r="AT294" s="25" t="s">
        <v>55</v>
      </c>
      <c r="AU294" s="25" t="s">
        <v>55</v>
      </c>
      <c r="AV294" s="25" t="s">
        <v>55</v>
      </c>
      <c r="AW294" s="26">
        <v>46089</v>
      </c>
      <c r="AX294" s="26">
        <v>46426</v>
      </c>
      <c r="AY294" s="25" t="s">
        <v>1836</v>
      </c>
      <c r="AZ294" s="20">
        <f t="shared" si="11"/>
        <v>-9</v>
      </c>
      <c r="BA294" s="17" t="e">
        <f t="shared" si="12"/>
        <v>#N/A</v>
      </c>
      <c r="BB294" s="21" t="s">
        <v>335</v>
      </c>
    </row>
    <row r="295" spans="1:54" x14ac:dyDescent="0.35">
      <c r="A295" s="25" t="s">
        <v>1984</v>
      </c>
      <c r="B295" s="25" t="s">
        <v>347</v>
      </c>
      <c r="C295" s="25" t="s">
        <v>51</v>
      </c>
      <c r="D295" s="25" t="s">
        <v>1918</v>
      </c>
      <c r="E295" s="25" t="s">
        <v>52</v>
      </c>
      <c r="F295" s="25" t="s">
        <v>1919</v>
      </c>
      <c r="G295" s="25" t="s">
        <v>606</v>
      </c>
      <c r="H295" s="25" t="s">
        <v>1732</v>
      </c>
      <c r="I295" s="25" t="s">
        <v>121</v>
      </c>
      <c r="J295" s="25" t="s">
        <v>696</v>
      </c>
      <c r="K295" s="25" t="s">
        <v>589</v>
      </c>
      <c r="L295" s="25" t="s">
        <v>57</v>
      </c>
      <c r="M295" s="25" t="s">
        <v>258</v>
      </c>
      <c r="N295" s="25" t="s">
        <v>55</v>
      </c>
      <c r="O295" s="25" t="s">
        <v>1922</v>
      </c>
      <c r="P295" s="25" t="s">
        <v>1985</v>
      </c>
      <c r="Q295" s="25" t="s">
        <v>1986</v>
      </c>
      <c r="R295" s="25" t="s">
        <v>132</v>
      </c>
      <c r="S295" s="25" t="s">
        <v>1987</v>
      </c>
      <c r="T295" s="25" t="s">
        <v>1988</v>
      </c>
      <c r="U295" s="25" t="s">
        <v>63</v>
      </c>
      <c r="V295" s="26">
        <v>45991</v>
      </c>
      <c r="W295" s="25" t="s">
        <v>55</v>
      </c>
      <c r="X295" s="25" t="s">
        <v>1947</v>
      </c>
      <c r="Y295" s="25" t="s">
        <v>65</v>
      </c>
      <c r="Z295" s="25" t="s">
        <v>55</v>
      </c>
      <c r="AA295" s="25" t="s">
        <v>152</v>
      </c>
      <c r="AB295" s="25" t="s">
        <v>55</v>
      </c>
      <c r="AC295" s="25" t="s">
        <v>55</v>
      </c>
      <c r="AD295" s="25" t="s">
        <v>67</v>
      </c>
      <c r="AE295" s="25" t="s">
        <v>257</v>
      </c>
      <c r="AF295" s="25" t="s">
        <v>226</v>
      </c>
      <c r="AG295" s="25" t="s">
        <v>55</v>
      </c>
      <c r="AH295" s="25" t="s">
        <v>55</v>
      </c>
      <c r="AI295" s="25" t="s">
        <v>55</v>
      </c>
      <c r="AJ295" s="25" t="s">
        <v>55</v>
      </c>
      <c r="AK295" s="25" t="s">
        <v>55</v>
      </c>
      <c r="AL295" s="25" t="s">
        <v>55</v>
      </c>
      <c r="AM295" s="25" t="s">
        <v>55</v>
      </c>
      <c r="AN295" s="25" t="s">
        <v>55</v>
      </c>
      <c r="AO295" s="25" t="s">
        <v>55</v>
      </c>
      <c r="AP295" s="25" t="s">
        <v>55</v>
      </c>
      <c r="AQ295" s="25" t="s">
        <v>55</v>
      </c>
      <c r="AR295" s="25" t="s">
        <v>55</v>
      </c>
      <c r="AS295" s="25" t="s">
        <v>55</v>
      </c>
      <c r="AT295" s="25" t="s">
        <v>55</v>
      </c>
      <c r="AU295" s="25" t="s">
        <v>55</v>
      </c>
      <c r="AV295" s="25" t="s">
        <v>55</v>
      </c>
      <c r="AW295" s="26">
        <v>46089</v>
      </c>
      <c r="AX295" s="26">
        <v>46426</v>
      </c>
      <c r="AY295" s="25" t="s">
        <v>1836</v>
      </c>
      <c r="AZ295" s="20">
        <f t="shared" si="11"/>
        <v>-9</v>
      </c>
      <c r="BA295" s="17" t="e">
        <f t="shared" si="12"/>
        <v>#N/A</v>
      </c>
      <c r="BB295" s="21" t="s">
        <v>335</v>
      </c>
    </row>
    <row r="296" spans="1:54" x14ac:dyDescent="0.35">
      <c r="A296" s="25" t="s">
        <v>1989</v>
      </c>
      <c r="B296" s="25" t="s">
        <v>347</v>
      </c>
      <c r="C296" s="25" t="s">
        <v>51</v>
      </c>
      <c r="D296" s="25" t="s">
        <v>1918</v>
      </c>
      <c r="E296" s="25" t="s">
        <v>52</v>
      </c>
      <c r="F296" s="25" t="s">
        <v>1919</v>
      </c>
      <c r="G296" s="25" t="s">
        <v>606</v>
      </c>
      <c r="H296" s="25" t="s">
        <v>1732</v>
      </c>
      <c r="I296" s="25" t="s">
        <v>121</v>
      </c>
      <c r="J296" s="25" t="s">
        <v>689</v>
      </c>
      <c r="K296" s="25" t="s">
        <v>564</v>
      </c>
      <c r="L296" s="25" t="s">
        <v>57</v>
      </c>
      <c r="M296" s="25" t="s">
        <v>154</v>
      </c>
      <c r="N296" s="25" t="s">
        <v>55</v>
      </c>
      <c r="O296" s="25" t="s">
        <v>1922</v>
      </c>
      <c r="P296" s="25" t="s">
        <v>1890</v>
      </c>
      <c r="Q296" s="25" t="s">
        <v>1990</v>
      </c>
      <c r="R296" s="25" t="s">
        <v>63</v>
      </c>
      <c r="S296" s="25" t="s">
        <v>1991</v>
      </c>
      <c r="T296" s="25" t="s">
        <v>1992</v>
      </c>
      <c r="U296" s="25" t="s">
        <v>63</v>
      </c>
      <c r="V296" s="26">
        <v>45991</v>
      </c>
      <c r="W296" s="25" t="s">
        <v>55</v>
      </c>
      <c r="X296" s="25" t="s">
        <v>1947</v>
      </c>
      <c r="Y296" s="25" t="s">
        <v>65</v>
      </c>
      <c r="Z296" s="25" t="s">
        <v>55</v>
      </c>
      <c r="AA296" s="25" t="s">
        <v>152</v>
      </c>
      <c r="AB296" s="25" t="s">
        <v>55</v>
      </c>
      <c r="AC296" s="25" t="s">
        <v>55</v>
      </c>
      <c r="AD296" s="25" t="s">
        <v>67</v>
      </c>
      <c r="AE296" s="25" t="s">
        <v>257</v>
      </c>
      <c r="AF296" s="25" t="s">
        <v>156</v>
      </c>
      <c r="AG296" s="25" t="s">
        <v>55</v>
      </c>
      <c r="AH296" s="25" t="s">
        <v>55</v>
      </c>
      <c r="AI296" s="25" t="s">
        <v>55</v>
      </c>
      <c r="AJ296" s="25" t="s">
        <v>55</v>
      </c>
      <c r="AK296" s="25" t="s">
        <v>55</v>
      </c>
      <c r="AL296" s="25" t="s">
        <v>55</v>
      </c>
      <c r="AM296" s="25" t="s">
        <v>55</v>
      </c>
      <c r="AN296" s="25" t="s">
        <v>55</v>
      </c>
      <c r="AO296" s="25" t="s">
        <v>55</v>
      </c>
      <c r="AP296" s="25" t="s">
        <v>55</v>
      </c>
      <c r="AQ296" s="25" t="s">
        <v>55</v>
      </c>
      <c r="AR296" s="25" t="s">
        <v>55</v>
      </c>
      <c r="AS296" s="25" t="s">
        <v>55</v>
      </c>
      <c r="AT296" s="25" t="s">
        <v>55</v>
      </c>
      <c r="AU296" s="25" t="s">
        <v>55</v>
      </c>
      <c r="AV296" s="25" t="s">
        <v>55</v>
      </c>
      <c r="AW296" s="26">
        <v>46089</v>
      </c>
      <c r="AX296" s="26">
        <v>46426</v>
      </c>
      <c r="AY296" s="25" t="s">
        <v>1836</v>
      </c>
      <c r="AZ296" s="20">
        <f t="shared" si="11"/>
        <v>-9</v>
      </c>
      <c r="BA296" s="17" t="e">
        <f t="shared" si="12"/>
        <v>#N/A</v>
      </c>
      <c r="BB296" s="21" t="s">
        <v>335</v>
      </c>
    </row>
    <row r="297" spans="1:54" x14ac:dyDescent="0.35">
      <c r="A297" s="25" t="s">
        <v>1993</v>
      </c>
      <c r="B297" s="25" t="s">
        <v>347</v>
      </c>
      <c r="C297" s="25" t="s">
        <v>51</v>
      </c>
      <c r="D297" s="25" t="s">
        <v>1918</v>
      </c>
      <c r="E297" s="25" t="s">
        <v>108</v>
      </c>
      <c r="F297" s="25" t="s">
        <v>1919</v>
      </c>
      <c r="G297" s="25" t="s">
        <v>606</v>
      </c>
      <c r="H297" s="25" t="s">
        <v>1732</v>
      </c>
      <c r="I297" s="25" t="s">
        <v>101</v>
      </c>
      <c r="J297" s="25" t="s">
        <v>717</v>
      </c>
      <c r="K297" s="25" t="s">
        <v>561</v>
      </c>
      <c r="L297" s="25" t="s">
        <v>57</v>
      </c>
      <c r="M297" s="25" t="s">
        <v>55</v>
      </c>
      <c r="N297" s="25" t="s">
        <v>55</v>
      </c>
      <c r="O297" s="25" t="s">
        <v>1922</v>
      </c>
      <c r="P297" s="25" t="s">
        <v>1994</v>
      </c>
      <c r="Q297" s="25" t="s">
        <v>1995</v>
      </c>
      <c r="R297" s="25" t="s">
        <v>132</v>
      </c>
      <c r="S297" s="25" t="s">
        <v>1996</v>
      </c>
      <c r="T297" s="25" t="s">
        <v>1997</v>
      </c>
      <c r="U297" s="25" t="s">
        <v>63</v>
      </c>
      <c r="V297" s="26">
        <v>45991</v>
      </c>
      <c r="W297" s="25" t="s">
        <v>55</v>
      </c>
      <c r="X297" s="25" t="s">
        <v>1940</v>
      </c>
      <c r="Y297" s="25" t="s">
        <v>65</v>
      </c>
      <c r="Z297" s="25" t="s">
        <v>55</v>
      </c>
      <c r="AA297" s="25" t="s">
        <v>152</v>
      </c>
      <c r="AB297" s="25" t="s">
        <v>55</v>
      </c>
      <c r="AC297" s="25" t="s">
        <v>55</v>
      </c>
      <c r="AD297" s="25" t="s">
        <v>67</v>
      </c>
      <c r="AE297" s="25" t="s">
        <v>257</v>
      </c>
      <c r="AF297" s="25" t="s">
        <v>55</v>
      </c>
      <c r="AG297" s="25" t="s">
        <v>55</v>
      </c>
      <c r="AH297" s="25" t="s">
        <v>55</v>
      </c>
      <c r="AI297" s="25" t="s">
        <v>55</v>
      </c>
      <c r="AJ297" s="25" t="s">
        <v>55</v>
      </c>
      <c r="AK297" s="25" t="s">
        <v>55</v>
      </c>
      <c r="AL297" s="25" t="s">
        <v>55</v>
      </c>
      <c r="AM297" s="25" t="s">
        <v>55</v>
      </c>
      <c r="AN297" s="25" t="s">
        <v>55</v>
      </c>
      <c r="AO297" s="25" t="s">
        <v>55</v>
      </c>
      <c r="AP297" s="25" t="s">
        <v>55</v>
      </c>
      <c r="AQ297" s="25" t="s">
        <v>55</v>
      </c>
      <c r="AR297" s="25" t="s">
        <v>55</v>
      </c>
      <c r="AS297" s="25" t="s">
        <v>55</v>
      </c>
      <c r="AT297" s="25" t="s">
        <v>55</v>
      </c>
      <c r="AU297" s="25" t="s">
        <v>55</v>
      </c>
      <c r="AV297" s="25" t="s">
        <v>55</v>
      </c>
      <c r="AW297" s="26">
        <v>46089</v>
      </c>
      <c r="AX297" s="26">
        <v>46426</v>
      </c>
      <c r="AY297" s="25" t="s">
        <v>1836</v>
      </c>
      <c r="AZ297" s="20">
        <f t="shared" si="11"/>
        <v>-9</v>
      </c>
      <c r="BA297" s="17" t="e">
        <f t="shared" si="12"/>
        <v>#N/A</v>
      </c>
      <c r="BB297" s="21" t="s">
        <v>335</v>
      </c>
    </row>
    <row r="298" spans="1:54" x14ac:dyDescent="0.35">
      <c r="A298" s="25" t="s">
        <v>1998</v>
      </c>
      <c r="B298" s="25" t="s">
        <v>347</v>
      </c>
      <c r="C298" s="25" t="s">
        <v>51</v>
      </c>
      <c r="D298" s="25" t="s">
        <v>1918</v>
      </c>
      <c r="E298" s="25" t="s">
        <v>108</v>
      </c>
      <c r="F298" s="25" t="s">
        <v>1919</v>
      </c>
      <c r="G298" s="25" t="s">
        <v>606</v>
      </c>
      <c r="H298" s="25" t="s">
        <v>1732</v>
      </c>
      <c r="I298" s="25" t="s">
        <v>1999</v>
      </c>
      <c r="J298" s="25" t="s">
        <v>2000</v>
      </c>
      <c r="K298" s="25" t="s">
        <v>745</v>
      </c>
      <c r="L298" s="25" t="s">
        <v>57</v>
      </c>
      <c r="M298" s="25" t="s">
        <v>55</v>
      </c>
      <c r="N298" s="25" t="s">
        <v>55</v>
      </c>
      <c r="O298" s="25" t="s">
        <v>1922</v>
      </c>
      <c r="P298" s="25" t="s">
        <v>2001</v>
      </c>
      <c r="Q298" s="25" t="s">
        <v>2002</v>
      </c>
      <c r="R298" s="25" t="s">
        <v>63</v>
      </c>
      <c r="S298" s="25" t="s">
        <v>2003</v>
      </c>
      <c r="T298" s="25" t="s">
        <v>2004</v>
      </c>
      <c r="U298" s="25" t="s">
        <v>132</v>
      </c>
      <c r="V298" s="26">
        <v>45991</v>
      </c>
      <c r="W298" s="25" t="s">
        <v>55</v>
      </c>
      <c r="X298" s="25" t="s">
        <v>1947</v>
      </c>
      <c r="Y298" s="25" t="s">
        <v>65</v>
      </c>
      <c r="Z298" s="25" t="s">
        <v>55</v>
      </c>
      <c r="AA298" s="25" t="s">
        <v>152</v>
      </c>
      <c r="AB298" s="25" t="s">
        <v>55</v>
      </c>
      <c r="AC298" s="25" t="s">
        <v>55</v>
      </c>
      <c r="AD298" s="25" t="s">
        <v>67</v>
      </c>
      <c r="AE298" s="25" t="s">
        <v>257</v>
      </c>
      <c r="AF298" s="25" t="s">
        <v>55</v>
      </c>
      <c r="AG298" s="25" t="s">
        <v>55</v>
      </c>
      <c r="AH298" s="25" t="s">
        <v>55</v>
      </c>
      <c r="AI298" s="25" t="s">
        <v>55</v>
      </c>
      <c r="AJ298" s="25" t="s">
        <v>55</v>
      </c>
      <c r="AK298" s="25" t="s">
        <v>55</v>
      </c>
      <c r="AL298" s="25" t="s">
        <v>55</v>
      </c>
      <c r="AM298" s="25" t="s">
        <v>55</v>
      </c>
      <c r="AN298" s="25" t="s">
        <v>55</v>
      </c>
      <c r="AO298" s="25" t="s">
        <v>55</v>
      </c>
      <c r="AP298" s="25" t="s">
        <v>55</v>
      </c>
      <c r="AQ298" s="25" t="s">
        <v>55</v>
      </c>
      <c r="AR298" s="25" t="s">
        <v>55</v>
      </c>
      <c r="AS298" s="25" t="s">
        <v>55</v>
      </c>
      <c r="AT298" s="25" t="s">
        <v>55</v>
      </c>
      <c r="AU298" s="25" t="s">
        <v>55</v>
      </c>
      <c r="AV298" s="25" t="s">
        <v>55</v>
      </c>
      <c r="AW298" s="26">
        <v>46089</v>
      </c>
      <c r="AX298" s="26">
        <v>46426</v>
      </c>
      <c r="AY298" s="25" t="s">
        <v>1836</v>
      </c>
      <c r="AZ298" s="20">
        <f t="shared" si="11"/>
        <v>-9</v>
      </c>
      <c r="BA298" s="17" t="e">
        <f t="shared" si="12"/>
        <v>#N/A</v>
      </c>
      <c r="BB298" s="21" t="s">
        <v>335</v>
      </c>
    </row>
    <row r="299" spans="1:54" x14ac:dyDescent="0.35">
      <c r="A299" s="25" t="s">
        <v>2005</v>
      </c>
      <c r="B299" s="25" t="s">
        <v>347</v>
      </c>
      <c r="C299" s="25" t="s">
        <v>51</v>
      </c>
      <c r="D299" s="25" t="s">
        <v>1918</v>
      </c>
      <c r="E299" s="25" t="s">
        <v>52</v>
      </c>
      <c r="F299" s="25" t="s">
        <v>1919</v>
      </c>
      <c r="G299" s="25" t="s">
        <v>606</v>
      </c>
      <c r="H299" s="25" t="s">
        <v>1732</v>
      </c>
      <c r="I299" s="25" t="s">
        <v>119</v>
      </c>
      <c r="J299" s="25" t="s">
        <v>2006</v>
      </c>
      <c r="K299" s="25" t="s">
        <v>603</v>
      </c>
      <c r="L299" s="25" t="s">
        <v>57</v>
      </c>
      <c r="M299" s="25" t="s">
        <v>545</v>
      </c>
      <c r="N299" s="25" t="s">
        <v>55</v>
      </c>
      <c r="O299" s="25" t="s">
        <v>1922</v>
      </c>
      <c r="P299" s="25" t="s">
        <v>2007</v>
      </c>
      <c r="Q299" s="25" t="s">
        <v>2008</v>
      </c>
      <c r="R299" s="25" t="s">
        <v>63</v>
      </c>
      <c r="S299" s="25" t="s">
        <v>2009</v>
      </c>
      <c r="T299" s="25" t="s">
        <v>2010</v>
      </c>
      <c r="U299" s="25" t="s">
        <v>63</v>
      </c>
      <c r="V299" s="26">
        <v>46023</v>
      </c>
      <c r="W299" s="25" t="s">
        <v>55</v>
      </c>
      <c r="X299" s="25" t="s">
        <v>2011</v>
      </c>
      <c r="Y299" s="25" t="s">
        <v>65</v>
      </c>
      <c r="Z299" s="25" t="s">
        <v>55</v>
      </c>
      <c r="AA299" s="25" t="s">
        <v>221</v>
      </c>
      <c r="AB299" s="25" t="s">
        <v>55</v>
      </c>
      <c r="AC299" s="25" t="s">
        <v>55</v>
      </c>
      <c r="AD299" s="25" t="s">
        <v>67</v>
      </c>
      <c r="AE299" s="25" t="s">
        <v>257</v>
      </c>
      <c r="AF299" s="25" t="s">
        <v>69</v>
      </c>
      <c r="AG299" s="25" t="s">
        <v>55</v>
      </c>
      <c r="AH299" s="25" t="s">
        <v>55</v>
      </c>
      <c r="AI299" s="25" t="s">
        <v>55</v>
      </c>
      <c r="AJ299" s="25" t="s">
        <v>55</v>
      </c>
      <c r="AK299" s="25" t="s">
        <v>55</v>
      </c>
      <c r="AL299" s="25" t="s">
        <v>55</v>
      </c>
      <c r="AM299" s="25" t="s">
        <v>55</v>
      </c>
      <c r="AN299" s="25" t="s">
        <v>55</v>
      </c>
      <c r="AO299" s="25" t="s">
        <v>55</v>
      </c>
      <c r="AP299" s="25" t="s">
        <v>55</v>
      </c>
      <c r="AQ299" s="25" t="s">
        <v>55</v>
      </c>
      <c r="AR299" s="25" t="s">
        <v>55</v>
      </c>
      <c r="AS299" s="25" t="s">
        <v>55</v>
      </c>
      <c r="AT299" s="25" t="s">
        <v>55</v>
      </c>
      <c r="AU299" s="25" t="s">
        <v>55</v>
      </c>
      <c r="AV299" s="25" t="s">
        <v>55</v>
      </c>
      <c r="AW299" s="26">
        <v>46089</v>
      </c>
      <c r="AX299" s="26">
        <v>46426</v>
      </c>
      <c r="AY299" s="25" t="s">
        <v>1836</v>
      </c>
      <c r="AZ299" s="20">
        <f t="shared" si="11"/>
        <v>-41</v>
      </c>
      <c r="BA299" s="17" t="e">
        <f t="shared" si="12"/>
        <v>#N/A</v>
      </c>
      <c r="BB299" s="21" t="s">
        <v>335</v>
      </c>
    </row>
    <row r="300" spans="1:54" x14ac:dyDescent="0.35">
      <c r="A300" s="25" t="s">
        <v>2012</v>
      </c>
      <c r="B300" s="25" t="s">
        <v>347</v>
      </c>
      <c r="C300" s="25" t="s">
        <v>51</v>
      </c>
      <c r="D300" s="25" t="s">
        <v>1918</v>
      </c>
      <c r="E300" s="25" t="s">
        <v>108</v>
      </c>
      <c r="F300" s="25" t="s">
        <v>1919</v>
      </c>
      <c r="G300" s="25" t="s">
        <v>606</v>
      </c>
      <c r="H300" s="25" t="s">
        <v>1732</v>
      </c>
      <c r="I300" s="25" t="s">
        <v>117</v>
      </c>
      <c r="J300" s="25" t="s">
        <v>2013</v>
      </c>
      <c r="K300" s="25" t="s">
        <v>576</v>
      </c>
      <c r="L300" s="25" t="s">
        <v>57</v>
      </c>
      <c r="M300" s="25" t="s">
        <v>55</v>
      </c>
      <c r="N300" s="25" t="s">
        <v>55</v>
      </c>
      <c r="O300" s="25" t="s">
        <v>1922</v>
      </c>
      <c r="P300" s="25" t="s">
        <v>2014</v>
      </c>
      <c r="Q300" s="25" t="s">
        <v>2015</v>
      </c>
      <c r="R300" s="25" t="s">
        <v>63</v>
      </c>
      <c r="S300" s="25" t="s">
        <v>2016</v>
      </c>
      <c r="T300" s="25" t="s">
        <v>2017</v>
      </c>
      <c r="U300" s="25" t="s">
        <v>132</v>
      </c>
      <c r="V300" s="26">
        <v>45991</v>
      </c>
      <c r="W300" s="25" t="s">
        <v>55</v>
      </c>
      <c r="X300" s="25" t="s">
        <v>2018</v>
      </c>
      <c r="Y300" s="25" t="s">
        <v>65</v>
      </c>
      <c r="Z300" s="25" t="s">
        <v>55</v>
      </c>
      <c r="AA300" s="25" t="s">
        <v>152</v>
      </c>
      <c r="AB300" s="25" t="s">
        <v>55</v>
      </c>
      <c r="AC300" s="25" t="s">
        <v>55</v>
      </c>
      <c r="AD300" s="25" t="s">
        <v>67</v>
      </c>
      <c r="AE300" s="25" t="s">
        <v>257</v>
      </c>
      <c r="AF300" s="25" t="s">
        <v>55</v>
      </c>
      <c r="AG300" s="25" t="s">
        <v>55</v>
      </c>
      <c r="AH300" s="25" t="s">
        <v>55</v>
      </c>
      <c r="AI300" s="25" t="s">
        <v>55</v>
      </c>
      <c r="AJ300" s="25" t="s">
        <v>55</v>
      </c>
      <c r="AK300" s="25" t="s">
        <v>55</v>
      </c>
      <c r="AL300" s="25" t="s">
        <v>55</v>
      </c>
      <c r="AM300" s="25" t="s">
        <v>55</v>
      </c>
      <c r="AN300" s="25" t="s">
        <v>55</v>
      </c>
      <c r="AO300" s="25" t="s">
        <v>55</v>
      </c>
      <c r="AP300" s="25" t="s">
        <v>55</v>
      </c>
      <c r="AQ300" s="25" t="s">
        <v>55</v>
      </c>
      <c r="AR300" s="25" t="s">
        <v>55</v>
      </c>
      <c r="AS300" s="25" t="s">
        <v>55</v>
      </c>
      <c r="AT300" s="25" t="s">
        <v>55</v>
      </c>
      <c r="AU300" s="25" t="s">
        <v>55</v>
      </c>
      <c r="AV300" s="25" t="s">
        <v>55</v>
      </c>
      <c r="AW300" s="26">
        <v>46089</v>
      </c>
      <c r="AX300" s="26">
        <v>46426</v>
      </c>
      <c r="AY300" s="25" t="s">
        <v>1836</v>
      </c>
      <c r="AZ300" s="20">
        <f t="shared" si="11"/>
        <v>-9</v>
      </c>
      <c r="BA300" s="17" t="e">
        <f t="shared" si="12"/>
        <v>#N/A</v>
      </c>
      <c r="BB300" s="21" t="s">
        <v>335</v>
      </c>
    </row>
    <row r="301" spans="1:54" x14ac:dyDescent="0.35">
      <c r="A301" s="25" t="s">
        <v>2019</v>
      </c>
      <c r="B301" s="25" t="s">
        <v>347</v>
      </c>
      <c r="C301" s="25" t="s">
        <v>51</v>
      </c>
      <c r="D301" s="25" t="s">
        <v>1918</v>
      </c>
      <c r="E301" s="25" t="s">
        <v>108</v>
      </c>
      <c r="F301" s="25" t="s">
        <v>1919</v>
      </c>
      <c r="G301" s="25" t="s">
        <v>606</v>
      </c>
      <c r="H301" s="25" t="s">
        <v>1732</v>
      </c>
      <c r="I301" s="25" t="s">
        <v>117</v>
      </c>
      <c r="J301" s="25" t="s">
        <v>2020</v>
      </c>
      <c r="K301" s="25" t="s">
        <v>587</v>
      </c>
      <c r="L301" s="25" t="s">
        <v>57</v>
      </c>
      <c r="M301" s="25" t="s">
        <v>55</v>
      </c>
      <c r="N301" s="25" t="s">
        <v>55</v>
      </c>
      <c r="O301" s="25" t="s">
        <v>1922</v>
      </c>
      <c r="P301" s="25" t="s">
        <v>2021</v>
      </c>
      <c r="Q301" s="25" t="s">
        <v>2022</v>
      </c>
      <c r="R301" s="25" t="s">
        <v>63</v>
      </c>
      <c r="S301" s="25" t="s">
        <v>2023</v>
      </c>
      <c r="T301" s="25" t="s">
        <v>2024</v>
      </c>
      <c r="U301" s="25" t="s">
        <v>63</v>
      </c>
      <c r="V301" s="26">
        <v>45991</v>
      </c>
      <c r="W301" s="25" t="s">
        <v>55</v>
      </c>
      <c r="X301" s="25" t="s">
        <v>2018</v>
      </c>
      <c r="Y301" s="25" t="s">
        <v>65</v>
      </c>
      <c r="Z301" s="25" t="s">
        <v>55</v>
      </c>
      <c r="AA301" s="25" t="s">
        <v>152</v>
      </c>
      <c r="AB301" s="25" t="s">
        <v>55</v>
      </c>
      <c r="AC301" s="25" t="s">
        <v>55</v>
      </c>
      <c r="AD301" s="25" t="s">
        <v>67</v>
      </c>
      <c r="AE301" s="25" t="s">
        <v>257</v>
      </c>
      <c r="AF301" s="25" t="s">
        <v>55</v>
      </c>
      <c r="AG301" s="25" t="s">
        <v>55</v>
      </c>
      <c r="AH301" s="25" t="s">
        <v>55</v>
      </c>
      <c r="AI301" s="25" t="s">
        <v>55</v>
      </c>
      <c r="AJ301" s="25" t="s">
        <v>55</v>
      </c>
      <c r="AK301" s="25" t="s">
        <v>55</v>
      </c>
      <c r="AL301" s="25" t="s">
        <v>55</v>
      </c>
      <c r="AM301" s="25" t="s">
        <v>55</v>
      </c>
      <c r="AN301" s="25" t="s">
        <v>55</v>
      </c>
      <c r="AO301" s="25" t="s">
        <v>55</v>
      </c>
      <c r="AP301" s="25" t="s">
        <v>55</v>
      </c>
      <c r="AQ301" s="25" t="s">
        <v>55</v>
      </c>
      <c r="AR301" s="25" t="s">
        <v>55</v>
      </c>
      <c r="AS301" s="25" t="s">
        <v>55</v>
      </c>
      <c r="AT301" s="25" t="s">
        <v>55</v>
      </c>
      <c r="AU301" s="25" t="s">
        <v>55</v>
      </c>
      <c r="AV301" s="25" t="s">
        <v>55</v>
      </c>
      <c r="AW301" s="26">
        <v>46089</v>
      </c>
      <c r="AX301" s="26">
        <v>46426</v>
      </c>
      <c r="AY301" s="25" t="s">
        <v>1836</v>
      </c>
      <c r="AZ301" s="20">
        <f t="shared" si="11"/>
        <v>-9</v>
      </c>
      <c r="BA301" s="17" t="e">
        <f t="shared" si="12"/>
        <v>#N/A</v>
      </c>
      <c r="BB301" s="21" t="s">
        <v>335</v>
      </c>
    </row>
    <row r="302" spans="1:54" x14ac:dyDescent="0.35">
      <c r="A302" s="25" t="s">
        <v>2025</v>
      </c>
      <c r="B302" s="25" t="s">
        <v>347</v>
      </c>
      <c r="C302" s="25" t="s">
        <v>51</v>
      </c>
      <c r="D302" s="25" t="s">
        <v>1918</v>
      </c>
      <c r="E302" s="25" t="s">
        <v>108</v>
      </c>
      <c r="F302" s="25" t="s">
        <v>1919</v>
      </c>
      <c r="G302" s="25" t="s">
        <v>606</v>
      </c>
      <c r="H302" s="25" t="s">
        <v>1732</v>
      </c>
      <c r="I302" s="25" t="s">
        <v>86</v>
      </c>
      <c r="J302" s="25" t="s">
        <v>744</v>
      </c>
      <c r="K302" s="25" t="s">
        <v>594</v>
      </c>
      <c r="L302" s="25" t="s">
        <v>57</v>
      </c>
      <c r="M302" s="25" t="s">
        <v>55</v>
      </c>
      <c r="N302" s="25" t="s">
        <v>55</v>
      </c>
      <c r="O302" s="25" t="s">
        <v>1922</v>
      </c>
      <c r="P302" s="25" t="s">
        <v>1912</v>
      </c>
      <c r="Q302" s="25" t="s">
        <v>2026</v>
      </c>
      <c r="R302" s="25" t="s">
        <v>63</v>
      </c>
      <c r="S302" s="25" t="s">
        <v>2027</v>
      </c>
      <c r="T302" s="25" t="s">
        <v>2028</v>
      </c>
      <c r="U302" s="25" t="s">
        <v>63</v>
      </c>
      <c r="V302" s="26">
        <v>45991</v>
      </c>
      <c r="W302" s="25" t="s">
        <v>55</v>
      </c>
      <c r="X302" s="25" t="s">
        <v>1927</v>
      </c>
      <c r="Y302" s="25" t="s">
        <v>65</v>
      </c>
      <c r="Z302" s="25" t="s">
        <v>55</v>
      </c>
      <c r="AA302" s="25" t="s">
        <v>152</v>
      </c>
      <c r="AB302" s="25" t="s">
        <v>55</v>
      </c>
      <c r="AC302" s="25" t="s">
        <v>55</v>
      </c>
      <c r="AD302" s="25" t="s">
        <v>67</v>
      </c>
      <c r="AE302" s="25" t="s">
        <v>257</v>
      </c>
      <c r="AF302" s="25" t="s">
        <v>55</v>
      </c>
      <c r="AG302" s="25" t="s">
        <v>55</v>
      </c>
      <c r="AH302" s="25" t="s">
        <v>55</v>
      </c>
      <c r="AI302" s="25" t="s">
        <v>55</v>
      </c>
      <c r="AJ302" s="25" t="s">
        <v>55</v>
      </c>
      <c r="AK302" s="25" t="s">
        <v>55</v>
      </c>
      <c r="AL302" s="25" t="s">
        <v>55</v>
      </c>
      <c r="AM302" s="25" t="s">
        <v>55</v>
      </c>
      <c r="AN302" s="25" t="s">
        <v>55</v>
      </c>
      <c r="AO302" s="25" t="s">
        <v>55</v>
      </c>
      <c r="AP302" s="25" t="s">
        <v>55</v>
      </c>
      <c r="AQ302" s="25" t="s">
        <v>55</v>
      </c>
      <c r="AR302" s="25" t="s">
        <v>55</v>
      </c>
      <c r="AS302" s="25" t="s">
        <v>55</v>
      </c>
      <c r="AT302" s="25" t="s">
        <v>55</v>
      </c>
      <c r="AU302" s="25" t="s">
        <v>55</v>
      </c>
      <c r="AV302" s="25" t="s">
        <v>55</v>
      </c>
      <c r="AW302" s="26">
        <v>46089</v>
      </c>
      <c r="AX302" s="26">
        <v>46426</v>
      </c>
      <c r="AY302" s="25" t="s">
        <v>1836</v>
      </c>
      <c r="AZ302" s="20">
        <f t="shared" si="11"/>
        <v>-9</v>
      </c>
      <c r="BA302" s="17" t="e">
        <f t="shared" si="12"/>
        <v>#N/A</v>
      </c>
      <c r="BB302" s="21" t="s">
        <v>335</v>
      </c>
    </row>
    <row r="303" spans="1:54" x14ac:dyDescent="0.35">
      <c r="A303" s="25" t="s">
        <v>2029</v>
      </c>
      <c r="B303" s="25" t="s">
        <v>347</v>
      </c>
      <c r="C303" s="25" t="s">
        <v>116</v>
      </c>
      <c r="D303" s="25" t="s">
        <v>465</v>
      </c>
      <c r="E303" s="25" t="s">
        <v>52</v>
      </c>
      <c r="F303" s="25" t="s">
        <v>2030</v>
      </c>
      <c r="G303" s="25" t="s">
        <v>126</v>
      </c>
      <c r="H303" s="25" t="s">
        <v>157</v>
      </c>
      <c r="I303" s="25" t="s">
        <v>526</v>
      </c>
      <c r="J303" s="25" t="s">
        <v>1343</v>
      </c>
      <c r="K303" s="25" t="s">
        <v>868</v>
      </c>
      <c r="L303" s="25" t="s">
        <v>55</v>
      </c>
      <c r="M303" s="25" t="s">
        <v>1688</v>
      </c>
      <c r="N303" s="25" t="s">
        <v>55</v>
      </c>
      <c r="O303" s="25" t="s">
        <v>2031</v>
      </c>
      <c r="P303" s="25" t="s">
        <v>1700</v>
      </c>
      <c r="Q303" s="25" t="s">
        <v>2032</v>
      </c>
      <c r="R303" s="25" t="s">
        <v>55</v>
      </c>
      <c r="S303" s="25" t="s">
        <v>55</v>
      </c>
      <c r="T303" s="25" t="s">
        <v>2033</v>
      </c>
      <c r="U303" s="25" t="s">
        <v>132</v>
      </c>
      <c r="V303" s="26">
        <v>46022</v>
      </c>
      <c r="W303" s="25" t="s">
        <v>55</v>
      </c>
      <c r="X303" s="25" t="s">
        <v>2034</v>
      </c>
      <c r="Y303" s="25" t="s">
        <v>65</v>
      </c>
      <c r="Z303" s="25" t="s">
        <v>55</v>
      </c>
      <c r="AA303" s="25" t="s">
        <v>221</v>
      </c>
      <c r="AB303" s="25" t="s">
        <v>55</v>
      </c>
      <c r="AC303" s="25" t="s">
        <v>55</v>
      </c>
      <c r="AD303" s="25" t="s">
        <v>118</v>
      </c>
      <c r="AE303" s="25" t="s">
        <v>97</v>
      </c>
      <c r="AF303" s="25" t="s">
        <v>100</v>
      </c>
      <c r="AG303" s="25" t="s">
        <v>55</v>
      </c>
      <c r="AH303" s="25" t="s">
        <v>55</v>
      </c>
      <c r="AI303" s="25" t="s">
        <v>55</v>
      </c>
      <c r="AJ303" s="25" t="s">
        <v>55</v>
      </c>
      <c r="AK303" s="25" t="s">
        <v>55</v>
      </c>
      <c r="AL303" s="25" t="s">
        <v>55</v>
      </c>
      <c r="AM303" s="25" t="s">
        <v>55</v>
      </c>
      <c r="AN303" s="25" t="s">
        <v>55</v>
      </c>
      <c r="AO303" s="25" t="s">
        <v>55</v>
      </c>
      <c r="AP303" s="25" t="s">
        <v>55</v>
      </c>
      <c r="AQ303" s="25" t="s">
        <v>55</v>
      </c>
      <c r="AR303" s="25" t="s">
        <v>55</v>
      </c>
      <c r="AS303" s="25" t="s">
        <v>55</v>
      </c>
      <c r="AT303" s="25" t="s">
        <v>55</v>
      </c>
      <c r="AU303" s="25" t="s">
        <v>55</v>
      </c>
      <c r="AV303" s="25" t="s">
        <v>55</v>
      </c>
      <c r="AW303" s="25" t="s">
        <v>55</v>
      </c>
      <c r="AX303" s="25" t="s">
        <v>55</v>
      </c>
      <c r="AY303" s="25" t="s">
        <v>2035</v>
      </c>
      <c r="AZ303" s="20">
        <f t="shared" si="11"/>
        <v>-40</v>
      </c>
      <c r="BA303" s="17" t="e">
        <f t="shared" si="12"/>
        <v>#N/A</v>
      </c>
      <c r="BB303" s="21" t="s">
        <v>335</v>
      </c>
    </row>
    <row r="304" spans="1:54" x14ac:dyDescent="0.35">
      <c r="A304" s="25" t="s">
        <v>2036</v>
      </c>
      <c r="B304" s="25" t="s">
        <v>347</v>
      </c>
      <c r="C304" s="25" t="s">
        <v>116</v>
      </c>
      <c r="D304" s="25" t="s">
        <v>465</v>
      </c>
      <c r="E304" s="25" t="s">
        <v>52</v>
      </c>
      <c r="F304" s="25" t="s">
        <v>159</v>
      </c>
      <c r="G304" s="25" t="s">
        <v>94</v>
      </c>
      <c r="H304" s="25" t="s">
        <v>95</v>
      </c>
      <c r="I304" s="25" t="s">
        <v>803</v>
      </c>
      <c r="J304" s="25" t="s">
        <v>815</v>
      </c>
      <c r="K304" s="25" t="s">
        <v>572</v>
      </c>
      <c r="L304" s="25" t="s">
        <v>55</v>
      </c>
      <c r="M304" s="25" t="s">
        <v>816</v>
      </c>
      <c r="N304" s="25" t="s">
        <v>55</v>
      </c>
      <c r="O304" s="25" t="s">
        <v>847</v>
      </c>
      <c r="P304" s="25" t="s">
        <v>1345</v>
      </c>
      <c r="Q304" s="25" t="s">
        <v>2037</v>
      </c>
      <c r="R304" s="25" t="s">
        <v>55</v>
      </c>
      <c r="S304" s="25" t="s">
        <v>55</v>
      </c>
      <c r="T304" s="25" t="s">
        <v>2038</v>
      </c>
      <c r="U304" s="25" t="s">
        <v>63</v>
      </c>
      <c r="V304" s="26">
        <v>45991</v>
      </c>
      <c r="W304" s="25" t="s">
        <v>55</v>
      </c>
      <c r="X304" s="25" t="s">
        <v>2039</v>
      </c>
      <c r="Y304" s="25" t="s">
        <v>65</v>
      </c>
      <c r="Z304" s="25" t="s">
        <v>55</v>
      </c>
      <c r="AA304" s="25" t="s">
        <v>152</v>
      </c>
      <c r="AB304" s="25" t="s">
        <v>55</v>
      </c>
      <c r="AC304" s="25" t="s">
        <v>55</v>
      </c>
      <c r="AD304" s="25" t="s">
        <v>118</v>
      </c>
      <c r="AE304" s="25" t="s">
        <v>97</v>
      </c>
      <c r="AF304" s="25" t="s">
        <v>69</v>
      </c>
      <c r="AG304" s="25" t="s">
        <v>55</v>
      </c>
      <c r="AH304" s="25" t="s">
        <v>55</v>
      </c>
      <c r="AI304" s="25" t="s">
        <v>55</v>
      </c>
      <c r="AJ304" s="25" t="s">
        <v>55</v>
      </c>
      <c r="AK304" s="25" t="s">
        <v>55</v>
      </c>
      <c r="AL304" s="25" t="s">
        <v>55</v>
      </c>
      <c r="AM304" s="25" t="s">
        <v>55</v>
      </c>
      <c r="AN304" s="25" t="s">
        <v>55</v>
      </c>
      <c r="AO304" s="25" t="s">
        <v>55</v>
      </c>
      <c r="AP304" s="25" t="s">
        <v>55</v>
      </c>
      <c r="AQ304" s="25" t="s">
        <v>55</v>
      </c>
      <c r="AR304" s="25" t="s">
        <v>55</v>
      </c>
      <c r="AS304" s="25" t="s">
        <v>55</v>
      </c>
      <c r="AT304" s="25" t="s">
        <v>55</v>
      </c>
      <c r="AU304" s="25" t="s">
        <v>55</v>
      </c>
      <c r="AV304" s="25" t="s">
        <v>55</v>
      </c>
      <c r="AW304" s="25" t="s">
        <v>55</v>
      </c>
      <c r="AX304" s="25" t="s">
        <v>55</v>
      </c>
      <c r="AY304" s="25" t="s">
        <v>2035</v>
      </c>
      <c r="AZ304" s="20">
        <f t="shared" si="11"/>
        <v>-9</v>
      </c>
      <c r="BA304" s="17" t="e">
        <f t="shared" si="12"/>
        <v>#N/A</v>
      </c>
      <c r="BB304" s="21" t="s">
        <v>335</v>
      </c>
    </row>
    <row r="305" spans="1:54" x14ac:dyDescent="0.35">
      <c r="A305" s="25" t="s">
        <v>2040</v>
      </c>
      <c r="B305" s="25" t="s">
        <v>347</v>
      </c>
      <c r="C305" s="25" t="s">
        <v>116</v>
      </c>
      <c r="D305" s="25" t="s">
        <v>465</v>
      </c>
      <c r="E305" s="25" t="s">
        <v>52</v>
      </c>
      <c r="F305" s="25" t="s">
        <v>159</v>
      </c>
      <c r="G305" s="25" t="s">
        <v>94</v>
      </c>
      <c r="H305" s="25" t="s">
        <v>95</v>
      </c>
      <c r="I305" s="25" t="s">
        <v>160</v>
      </c>
      <c r="J305" s="25" t="s">
        <v>857</v>
      </c>
      <c r="K305" s="25" t="s">
        <v>572</v>
      </c>
      <c r="L305" s="25" t="s">
        <v>55</v>
      </c>
      <c r="M305" s="25" t="s">
        <v>161</v>
      </c>
      <c r="N305" s="25" t="s">
        <v>55</v>
      </c>
      <c r="O305" s="25" t="s">
        <v>847</v>
      </c>
      <c r="P305" s="25" t="s">
        <v>1345</v>
      </c>
      <c r="Q305" s="25" t="s">
        <v>2041</v>
      </c>
      <c r="R305" s="25" t="s">
        <v>55</v>
      </c>
      <c r="S305" s="25" t="s">
        <v>55</v>
      </c>
      <c r="T305" s="25" t="s">
        <v>2042</v>
      </c>
      <c r="U305" s="25" t="s">
        <v>63</v>
      </c>
      <c r="V305" s="26">
        <v>45991</v>
      </c>
      <c r="W305" s="25" t="s">
        <v>55</v>
      </c>
      <c r="X305" s="25" t="s">
        <v>2039</v>
      </c>
      <c r="Y305" s="25" t="s">
        <v>65</v>
      </c>
      <c r="Z305" s="25" t="s">
        <v>55</v>
      </c>
      <c r="AA305" s="25" t="s">
        <v>152</v>
      </c>
      <c r="AB305" s="25" t="s">
        <v>55</v>
      </c>
      <c r="AC305" s="25" t="s">
        <v>55</v>
      </c>
      <c r="AD305" s="25" t="s">
        <v>118</v>
      </c>
      <c r="AE305" s="25" t="s">
        <v>97</v>
      </c>
      <c r="AF305" s="25" t="s">
        <v>69</v>
      </c>
      <c r="AG305" s="25" t="s">
        <v>55</v>
      </c>
      <c r="AH305" s="25" t="s">
        <v>55</v>
      </c>
      <c r="AI305" s="25" t="s">
        <v>55</v>
      </c>
      <c r="AJ305" s="25" t="s">
        <v>55</v>
      </c>
      <c r="AK305" s="25" t="s">
        <v>55</v>
      </c>
      <c r="AL305" s="25" t="s">
        <v>55</v>
      </c>
      <c r="AM305" s="25" t="s">
        <v>55</v>
      </c>
      <c r="AN305" s="25" t="s">
        <v>55</v>
      </c>
      <c r="AO305" s="25" t="s">
        <v>55</v>
      </c>
      <c r="AP305" s="25" t="s">
        <v>55</v>
      </c>
      <c r="AQ305" s="25" t="s">
        <v>55</v>
      </c>
      <c r="AR305" s="25" t="s">
        <v>55</v>
      </c>
      <c r="AS305" s="25" t="s">
        <v>55</v>
      </c>
      <c r="AT305" s="25" t="s">
        <v>55</v>
      </c>
      <c r="AU305" s="25" t="s">
        <v>55</v>
      </c>
      <c r="AV305" s="25" t="s">
        <v>55</v>
      </c>
      <c r="AW305" s="25" t="s">
        <v>55</v>
      </c>
      <c r="AX305" s="25" t="s">
        <v>55</v>
      </c>
      <c r="AY305" s="25" t="s">
        <v>2035</v>
      </c>
      <c r="AZ305" s="20">
        <f t="shared" si="11"/>
        <v>-9</v>
      </c>
      <c r="BA305" s="17" t="e">
        <f t="shared" si="12"/>
        <v>#N/A</v>
      </c>
      <c r="BB305" s="21" t="s">
        <v>335</v>
      </c>
    </row>
    <row r="306" spans="1:54" x14ac:dyDescent="0.35">
      <c r="A306" s="25" t="s">
        <v>2043</v>
      </c>
      <c r="B306" s="25" t="s">
        <v>347</v>
      </c>
      <c r="C306" s="25" t="s">
        <v>116</v>
      </c>
      <c r="D306" s="25" t="s">
        <v>465</v>
      </c>
      <c r="E306" s="25" t="s">
        <v>52</v>
      </c>
      <c r="F306" s="25" t="s">
        <v>159</v>
      </c>
      <c r="G306" s="25" t="s">
        <v>94</v>
      </c>
      <c r="H306" s="25" t="s">
        <v>95</v>
      </c>
      <c r="I306" s="25" t="s">
        <v>526</v>
      </c>
      <c r="J306" s="25" t="s">
        <v>993</v>
      </c>
      <c r="K306" s="25" t="s">
        <v>572</v>
      </c>
      <c r="L306" s="25" t="s">
        <v>55</v>
      </c>
      <c r="M306" s="25" t="s">
        <v>58</v>
      </c>
      <c r="N306" s="25" t="s">
        <v>55</v>
      </c>
      <c r="O306" s="25" t="s">
        <v>847</v>
      </c>
      <c r="P306" s="25" t="s">
        <v>1345</v>
      </c>
      <c r="Q306" s="25" t="s">
        <v>2044</v>
      </c>
      <c r="R306" s="25" t="s">
        <v>55</v>
      </c>
      <c r="S306" s="25" t="s">
        <v>55</v>
      </c>
      <c r="T306" s="25" t="s">
        <v>2045</v>
      </c>
      <c r="U306" s="25" t="s">
        <v>63</v>
      </c>
      <c r="V306" s="26">
        <v>45991</v>
      </c>
      <c r="W306" s="25" t="s">
        <v>55</v>
      </c>
      <c r="X306" s="25" t="s">
        <v>2039</v>
      </c>
      <c r="Y306" s="25" t="s">
        <v>65</v>
      </c>
      <c r="Z306" s="25" t="s">
        <v>55</v>
      </c>
      <c r="AA306" s="25" t="s">
        <v>152</v>
      </c>
      <c r="AB306" s="25" t="s">
        <v>55</v>
      </c>
      <c r="AC306" s="25" t="s">
        <v>55</v>
      </c>
      <c r="AD306" s="25" t="s">
        <v>118</v>
      </c>
      <c r="AE306" s="25" t="s">
        <v>97</v>
      </c>
      <c r="AF306" s="25" t="s">
        <v>69</v>
      </c>
      <c r="AG306" s="25" t="s">
        <v>55</v>
      </c>
      <c r="AH306" s="25" t="s">
        <v>55</v>
      </c>
      <c r="AI306" s="25" t="s">
        <v>55</v>
      </c>
      <c r="AJ306" s="25" t="s">
        <v>55</v>
      </c>
      <c r="AK306" s="25" t="s">
        <v>55</v>
      </c>
      <c r="AL306" s="25" t="s">
        <v>55</v>
      </c>
      <c r="AM306" s="25" t="s">
        <v>55</v>
      </c>
      <c r="AN306" s="25" t="s">
        <v>55</v>
      </c>
      <c r="AO306" s="25" t="s">
        <v>55</v>
      </c>
      <c r="AP306" s="25" t="s">
        <v>55</v>
      </c>
      <c r="AQ306" s="25" t="s">
        <v>55</v>
      </c>
      <c r="AR306" s="25" t="s">
        <v>55</v>
      </c>
      <c r="AS306" s="25" t="s">
        <v>55</v>
      </c>
      <c r="AT306" s="25" t="s">
        <v>55</v>
      </c>
      <c r="AU306" s="25" t="s">
        <v>55</v>
      </c>
      <c r="AV306" s="25" t="s">
        <v>55</v>
      </c>
      <c r="AW306" s="25" t="s">
        <v>55</v>
      </c>
      <c r="AX306" s="25" t="s">
        <v>55</v>
      </c>
      <c r="AY306" s="25" t="s">
        <v>2035</v>
      </c>
      <c r="AZ306" s="20">
        <f t="shared" si="11"/>
        <v>-9</v>
      </c>
      <c r="BA306" s="17" t="e">
        <f t="shared" si="12"/>
        <v>#N/A</v>
      </c>
      <c r="BB306" s="21" t="s">
        <v>335</v>
      </c>
    </row>
    <row r="307" spans="1:54" x14ac:dyDescent="0.35">
      <c r="A307" s="25" t="s">
        <v>2046</v>
      </c>
      <c r="B307" s="25" t="s">
        <v>347</v>
      </c>
      <c r="C307" s="25" t="s">
        <v>116</v>
      </c>
      <c r="D307" s="25" t="s">
        <v>465</v>
      </c>
      <c r="E307" s="25" t="s">
        <v>52</v>
      </c>
      <c r="F307" s="25" t="s">
        <v>159</v>
      </c>
      <c r="G307" s="25" t="s">
        <v>94</v>
      </c>
      <c r="H307" s="25" t="s">
        <v>95</v>
      </c>
      <c r="I307" s="25" t="s">
        <v>119</v>
      </c>
      <c r="J307" s="25" t="s">
        <v>242</v>
      </c>
      <c r="K307" s="25" t="s">
        <v>572</v>
      </c>
      <c r="L307" s="25" t="s">
        <v>55</v>
      </c>
      <c r="M307" s="25" t="s">
        <v>545</v>
      </c>
      <c r="N307" s="25" t="s">
        <v>55</v>
      </c>
      <c r="O307" s="25" t="s">
        <v>847</v>
      </c>
      <c r="P307" s="25" t="s">
        <v>1345</v>
      </c>
      <c r="Q307" s="25" t="s">
        <v>2044</v>
      </c>
      <c r="R307" s="25" t="s">
        <v>55</v>
      </c>
      <c r="S307" s="25" t="s">
        <v>55</v>
      </c>
      <c r="T307" s="25" t="s">
        <v>2045</v>
      </c>
      <c r="U307" s="25" t="s">
        <v>63</v>
      </c>
      <c r="V307" s="26">
        <v>45991</v>
      </c>
      <c r="W307" s="25" t="s">
        <v>55</v>
      </c>
      <c r="X307" s="25" t="s">
        <v>2039</v>
      </c>
      <c r="Y307" s="25" t="s">
        <v>65</v>
      </c>
      <c r="Z307" s="25" t="s">
        <v>55</v>
      </c>
      <c r="AA307" s="25" t="s">
        <v>152</v>
      </c>
      <c r="AB307" s="25" t="s">
        <v>55</v>
      </c>
      <c r="AC307" s="25" t="s">
        <v>55</v>
      </c>
      <c r="AD307" s="25" t="s">
        <v>118</v>
      </c>
      <c r="AE307" s="25" t="s">
        <v>97</v>
      </c>
      <c r="AF307" s="25" t="s">
        <v>69</v>
      </c>
      <c r="AG307" s="25" t="s">
        <v>55</v>
      </c>
      <c r="AH307" s="25" t="s">
        <v>55</v>
      </c>
      <c r="AI307" s="25" t="s">
        <v>55</v>
      </c>
      <c r="AJ307" s="25" t="s">
        <v>55</v>
      </c>
      <c r="AK307" s="25" t="s">
        <v>55</v>
      </c>
      <c r="AL307" s="25" t="s">
        <v>55</v>
      </c>
      <c r="AM307" s="25" t="s">
        <v>55</v>
      </c>
      <c r="AN307" s="25" t="s">
        <v>55</v>
      </c>
      <c r="AO307" s="25" t="s">
        <v>55</v>
      </c>
      <c r="AP307" s="25" t="s">
        <v>55</v>
      </c>
      <c r="AQ307" s="25" t="s">
        <v>55</v>
      </c>
      <c r="AR307" s="25" t="s">
        <v>55</v>
      </c>
      <c r="AS307" s="25" t="s">
        <v>55</v>
      </c>
      <c r="AT307" s="25" t="s">
        <v>55</v>
      </c>
      <c r="AU307" s="25" t="s">
        <v>55</v>
      </c>
      <c r="AV307" s="25" t="s">
        <v>55</v>
      </c>
      <c r="AW307" s="25" t="s">
        <v>55</v>
      </c>
      <c r="AX307" s="25" t="s">
        <v>55</v>
      </c>
      <c r="AY307" s="25" t="s">
        <v>2035</v>
      </c>
      <c r="AZ307" s="20">
        <f t="shared" si="11"/>
        <v>-9</v>
      </c>
      <c r="BA307" s="17" t="e">
        <f t="shared" si="12"/>
        <v>#N/A</v>
      </c>
      <c r="BB307" s="21" t="s">
        <v>335</v>
      </c>
    </row>
    <row r="308" spans="1:54" x14ac:dyDescent="0.35">
      <c r="A308" s="25" t="s">
        <v>2047</v>
      </c>
      <c r="B308" s="25" t="s">
        <v>347</v>
      </c>
      <c r="C308" s="25" t="s">
        <v>51</v>
      </c>
      <c r="D308" s="25" t="s">
        <v>465</v>
      </c>
      <c r="E308" s="25" t="s">
        <v>52</v>
      </c>
      <c r="F308" s="25" t="s">
        <v>1532</v>
      </c>
      <c r="G308" s="25" t="s">
        <v>126</v>
      </c>
      <c r="H308" s="25" t="s">
        <v>138</v>
      </c>
      <c r="I308" s="25" t="s">
        <v>160</v>
      </c>
      <c r="J308" s="25" t="s">
        <v>2048</v>
      </c>
      <c r="K308" s="25" t="s">
        <v>558</v>
      </c>
      <c r="L308" s="25" t="s">
        <v>103</v>
      </c>
      <c r="M308" s="25" t="s">
        <v>1487</v>
      </c>
      <c r="N308" s="25" t="s">
        <v>1487</v>
      </c>
      <c r="O308" s="25" t="s">
        <v>2049</v>
      </c>
      <c r="P308" s="25" t="s">
        <v>2050</v>
      </c>
      <c r="Q308" s="25" t="s">
        <v>2051</v>
      </c>
      <c r="R308" s="25" t="s">
        <v>63</v>
      </c>
      <c r="S308" s="25" t="s">
        <v>2052</v>
      </c>
      <c r="T308" s="25" t="s">
        <v>2053</v>
      </c>
      <c r="U308" s="25" t="s">
        <v>63</v>
      </c>
      <c r="V308" s="26">
        <v>46022</v>
      </c>
      <c r="W308" s="25" t="s">
        <v>55</v>
      </c>
      <c r="X308" s="25" t="s">
        <v>2054</v>
      </c>
      <c r="Y308" s="25" t="s">
        <v>65</v>
      </c>
      <c r="Z308" s="25" t="s">
        <v>55</v>
      </c>
      <c r="AA308" s="25" t="s">
        <v>221</v>
      </c>
      <c r="AB308" s="25" t="s">
        <v>55</v>
      </c>
      <c r="AC308" s="25" t="s">
        <v>55</v>
      </c>
      <c r="AD308" s="25" t="s">
        <v>67</v>
      </c>
      <c r="AE308" s="25" t="s">
        <v>257</v>
      </c>
      <c r="AF308" s="25" t="s">
        <v>1488</v>
      </c>
      <c r="AG308" s="25" t="s">
        <v>55</v>
      </c>
      <c r="AH308" s="25" t="s">
        <v>55</v>
      </c>
      <c r="AI308" s="25" t="s">
        <v>55</v>
      </c>
      <c r="AJ308" s="25" t="s">
        <v>55</v>
      </c>
      <c r="AK308" s="25" t="s">
        <v>55</v>
      </c>
      <c r="AL308" s="25" t="s">
        <v>55</v>
      </c>
      <c r="AM308" s="25" t="s">
        <v>55</v>
      </c>
      <c r="AN308" s="25" t="s">
        <v>55</v>
      </c>
      <c r="AO308" s="25" t="s">
        <v>55</v>
      </c>
      <c r="AP308" s="25" t="s">
        <v>55</v>
      </c>
      <c r="AQ308" s="25" t="s">
        <v>55</v>
      </c>
      <c r="AR308" s="25" t="s">
        <v>55</v>
      </c>
      <c r="AS308" s="25" t="s">
        <v>55</v>
      </c>
      <c r="AT308" s="25" t="s">
        <v>55</v>
      </c>
      <c r="AU308" s="25" t="s">
        <v>55</v>
      </c>
      <c r="AV308" s="25" t="s">
        <v>55</v>
      </c>
      <c r="AW308" s="26">
        <v>45922</v>
      </c>
      <c r="AX308" s="26">
        <v>45965</v>
      </c>
      <c r="AY308" s="25" t="s">
        <v>2055</v>
      </c>
      <c r="AZ308" s="20">
        <f t="shared" si="11"/>
        <v>-40</v>
      </c>
      <c r="BA308" s="17" t="e">
        <f t="shared" si="12"/>
        <v>#N/A</v>
      </c>
      <c r="BB308" s="21" t="s">
        <v>335</v>
      </c>
    </row>
    <row r="309" spans="1:54" x14ac:dyDescent="0.35">
      <c r="A309" s="25" t="s">
        <v>2056</v>
      </c>
      <c r="B309" s="25" t="s">
        <v>347</v>
      </c>
      <c r="C309" s="25" t="s">
        <v>51</v>
      </c>
      <c r="D309" s="25" t="s">
        <v>465</v>
      </c>
      <c r="E309" s="25" t="s">
        <v>52</v>
      </c>
      <c r="F309" s="25" t="s">
        <v>1532</v>
      </c>
      <c r="G309" s="25" t="s">
        <v>126</v>
      </c>
      <c r="H309" s="25" t="s">
        <v>138</v>
      </c>
      <c r="I309" s="25" t="s">
        <v>119</v>
      </c>
      <c r="J309" s="25" t="s">
        <v>2057</v>
      </c>
      <c r="K309" s="25" t="s">
        <v>544</v>
      </c>
      <c r="L309" s="25" t="s">
        <v>57</v>
      </c>
      <c r="M309" s="25" t="s">
        <v>2058</v>
      </c>
      <c r="N309" s="25" t="s">
        <v>2058</v>
      </c>
      <c r="O309" s="25" t="s">
        <v>2049</v>
      </c>
      <c r="P309" s="25" t="s">
        <v>2059</v>
      </c>
      <c r="Q309" s="25" t="s">
        <v>2060</v>
      </c>
      <c r="R309" s="25" t="s">
        <v>63</v>
      </c>
      <c r="S309" s="25" t="s">
        <v>2061</v>
      </c>
      <c r="T309" s="25" t="s">
        <v>2062</v>
      </c>
      <c r="U309" s="25" t="s">
        <v>63</v>
      </c>
      <c r="V309" s="26">
        <v>46022</v>
      </c>
      <c r="W309" s="25" t="s">
        <v>55</v>
      </c>
      <c r="X309" s="25" t="s">
        <v>2063</v>
      </c>
      <c r="Y309" s="25" t="s">
        <v>65</v>
      </c>
      <c r="Z309" s="25" t="s">
        <v>55</v>
      </c>
      <c r="AA309" s="25" t="s">
        <v>221</v>
      </c>
      <c r="AB309" s="25" t="s">
        <v>55</v>
      </c>
      <c r="AC309" s="25" t="s">
        <v>55</v>
      </c>
      <c r="AD309" s="25" t="s">
        <v>67</v>
      </c>
      <c r="AE309" s="25" t="s">
        <v>257</v>
      </c>
      <c r="AF309" s="25" t="s">
        <v>100</v>
      </c>
      <c r="AG309" s="25" t="s">
        <v>55</v>
      </c>
      <c r="AH309" s="25" t="s">
        <v>55</v>
      </c>
      <c r="AI309" s="25" t="s">
        <v>55</v>
      </c>
      <c r="AJ309" s="25" t="s">
        <v>55</v>
      </c>
      <c r="AK309" s="25" t="s">
        <v>55</v>
      </c>
      <c r="AL309" s="25" t="s">
        <v>55</v>
      </c>
      <c r="AM309" s="25" t="s">
        <v>55</v>
      </c>
      <c r="AN309" s="25" t="s">
        <v>55</v>
      </c>
      <c r="AO309" s="25" t="s">
        <v>55</v>
      </c>
      <c r="AP309" s="25" t="s">
        <v>55</v>
      </c>
      <c r="AQ309" s="25" t="s">
        <v>55</v>
      </c>
      <c r="AR309" s="25" t="s">
        <v>55</v>
      </c>
      <c r="AS309" s="25" t="s">
        <v>55</v>
      </c>
      <c r="AT309" s="25" t="s">
        <v>55</v>
      </c>
      <c r="AU309" s="25" t="s">
        <v>55</v>
      </c>
      <c r="AV309" s="25" t="s">
        <v>55</v>
      </c>
      <c r="AW309" s="26">
        <v>45922</v>
      </c>
      <c r="AX309" s="26">
        <v>45965</v>
      </c>
      <c r="AY309" s="25" t="s">
        <v>2055</v>
      </c>
      <c r="AZ309" s="20">
        <f t="shared" si="11"/>
        <v>-40</v>
      </c>
      <c r="BA309" s="17" t="e">
        <f t="shared" si="12"/>
        <v>#N/A</v>
      </c>
      <c r="BB309" s="21" t="s">
        <v>335</v>
      </c>
    </row>
    <row r="310" spans="1:54" x14ac:dyDescent="0.35">
      <c r="A310" s="25" t="s">
        <v>2064</v>
      </c>
      <c r="B310" s="25" t="s">
        <v>347</v>
      </c>
      <c r="C310" s="25" t="s">
        <v>51</v>
      </c>
      <c r="D310" s="25" t="s">
        <v>465</v>
      </c>
      <c r="E310" s="25" t="s">
        <v>52</v>
      </c>
      <c r="F310" s="25" t="s">
        <v>1532</v>
      </c>
      <c r="G310" s="25" t="s">
        <v>126</v>
      </c>
      <c r="H310" s="25" t="s">
        <v>138</v>
      </c>
      <c r="I310" s="25" t="s">
        <v>119</v>
      </c>
      <c r="J310" s="25" t="s">
        <v>2065</v>
      </c>
      <c r="K310" s="25" t="s">
        <v>544</v>
      </c>
      <c r="L310" s="25" t="s">
        <v>57</v>
      </c>
      <c r="M310" s="25" t="s">
        <v>122</v>
      </c>
      <c r="N310" s="25" t="s">
        <v>122</v>
      </c>
      <c r="O310" s="25" t="s">
        <v>2049</v>
      </c>
      <c r="P310" s="25" t="s">
        <v>2066</v>
      </c>
      <c r="Q310" s="25" t="s">
        <v>2067</v>
      </c>
      <c r="R310" s="25" t="s">
        <v>63</v>
      </c>
      <c r="S310" s="25" t="s">
        <v>2068</v>
      </c>
      <c r="T310" s="25" t="s">
        <v>2069</v>
      </c>
      <c r="U310" s="25" t="s">
        <v>63</v>
      </c>
      <c r="V310" s="26">
        <v>46022</v>
      </c>
      <c r="W310" s="25" t="s">
        <v>55</v>
      </c>
      <c r="X310" s="25" t="s">
        <v>2070</v>
      </c>
      <c r="Y310" s="25" t="s">
        <v>65</v>
      </c>
      <c r="Z310" s="25" t="s">
        <v>55</v>
      </c>
      <c r="AA310" s="25" t="s">
        <v>221</v>
      </c>
      <c r="AB310" s="25" t="s">
        <v>55</v>
      </c>
      <c r="AC310" s="25" t="s">
        <v>55</v>
      </c>
      <c r="AD310" s="25" t="s">
        <v>67</v>
      </c>
      <c r="AE310" s="25" t="s">
        <v>257</v>
      </c>
      <c r="AF310" s="25" t="s">
        <v>123</v>
      </c>
      <c r="AG310" s="25" t="s">
        <v>55</v>
      </c>
      <c r="AH310" s="25" t="s">
        <v>55</v>
      </c>
      <c r="AI310" s="25" t="s">
        <v>55</v>
      </c>
      <c r="AJ310" s="25" t="s">
        <v>55</v>
      </c>
      <c r="AK310" s="25" t="s">
        <v>55</v>
      </c>
      <c r="AL310" s="25" t="s">
        <v>55</v>
      </c>
      <c r="AM310" s="25" t="s">
        <v>55</v>
      </c>
      <c r="AN310" s="25" t="s">
        <v>55</v>
      </c>
      <c r="AO310" s="25" t="s">
        <v>55</v>
      </c>
      <c r="AP310" s="25" t="s">
        <v>55</v>
      </c>
      <c r="AQ310" s="25" t="s">
        <v>55</v>
      </c>
      <c r="AR310" s="25" t="s">
        <v>55</v>
      </c>
      <c r="AS310" s="25" t="s">
        <v>55</v>
      </c>
      <c r="AT310" s="25" t="s">
        <v>55</v>
      </c>
      <c r="AU310" s="25" t="s">
        <v>55</v>
      </c>
      <c r="AV310" s="25" t="s">
        <v>55</v>
      </c>
      <c r="AW310" s="26">
        <v>45922</v>
      </c>
      <c r="AX310" s="26">
        <v>45965</v>
      </c>
      <c r="AY310" s="25" t="s">
        <v>2055</v>
      </c>
      <c r="AZ310" s="20">
        <f t="shared" si="11"/>
        <v>-40</v>
      </c>
      <c r="BA310" s="17" t="e">
        <f t="shared" si="12"/>
        <v>#N/A</v>
      </c>
      <c r="BB310" s="21" t="s">
        <v>335</v>
      </c>
    </row>
    <row r="311" spans="1:54" x14ac:dyDescent="0.35">
      <c r="A311" s="25" t="s">
        <v>2071</v>
      </c>
      <c r="B311" s="25" t="s">
        <v>347</v>
      </c>
      <c r="C311" s="25" t="s">
        <v>51</v>
      </c>
      <c r="D311" s="25" t="s">
        <v>465</v>
      </c>
      <c r="E311" s="25" t="s">
        <v>52</v>
      </c>
      <c r="F311" s="25" t="s">
        <v>1532</v>
      </c>
      <c r="G311" s="25" t="s">
        <v>126</v>
      </c>
      <c r="H311" s="25" t="s">
        <v>138</v>
      </c>
      <c r="I311" s="25" t="s">
        <v>121</v>
      </c>
      <c r="J311" s="25" t="s">
        <v>2072</v>
      </c>
      <c r="K311" s="25" t="s">
        <v>867</v>
      </c>
      <c r="L311" s="25" t="s">
        <v>57</v>
      </c>
      <c r="M311" s="25" t="s">
        <v>844</v>
      </c>
      <c r="N311" s="25" t="s">
        <v>844</v>
      </c>
      <c r="O311" s="25" t="s">
        <v>2049</v>
      </c>
      <c r="P311" s="25" t="s">
        <v>2073</v>
      </c>
      <c r="Q311" s="25" t="s">
        <v>2074</v>
      </c>
      <c r="R311" s="25" t="s">
        <v>63</v>
      </c>
      <c r="S311" s="25" t="s">
        <v>2075</v>
      </c>
      <c r="T311" s="25" t="s">
        <v>2076</v>
      </c>
      <c r="U311" s="25" t="s">
        <v>63</v>
      </c>
      <c r="V311" s="26">
        <v>45991</v>
      </c>
      <c r="W311" s="25" t="s">
        <v>55</v>
      </c>
      <c r="X311" s="25" t="s">
        <v>2077</v>
      </c>
      <c r="Y311" s="25" t="s">
        <v>65</v>
      </c>
      <c r="Z311" s="25" t="s">
        <v>55</v>
      </c>
      <c r="AA311" s="25" t="s">
        <v>152</v>
      </c>
      <c r="AB311" s="25" t="s">
        <v>55</v>
      </c>
      <c r="AC311" s="25" t="s">
        <v>55</v>
      </c>
      <c r="AD311" s="25" t="s">
        <v>67</v>
      </c>
      <c r="AE311" s="25" t="s">
        <v>257</v>
      </c>
      <c r="AF311" s="25" t="s">
        <v>583</v>
      </c>
      <c r="AG311" s="25" t="s">
        <v>55</v>
      </c>
      <c r="AH311" s="25" t="s">
        <v>55</v>
      </c>
      <c r="AI311" s="25" t="s">
        <v>55</v>
      </c>
      <c r="AJ311" s="25" t="s">
        <v>55</v>
      </c>
      <c r="AK311" s="25" t="s">
        <v>55</v>
      </c>
      <c r="AL311" s="25" t="s">
        <v>55</v>
      </c>
      <c r="AM311" s="25" t="s">
        <v>55</v>
      </c>
      <c r="AN311" s="25" t="s">
        <v>55</v>
      </c>
      <c r="AO311" s="25" t="s">
        <v>55</v>
      </c>
      <c r="AP311" s="25" t="s">
        <v>55</v>
      </c>
      <c r="AQ311" s="25" t="s">
        <v>55</v>
      </c>
      <c r="AR311" s="25" t="s">
        <v>55</v>
      </c>
      <c r="AS311" s="25" t="s">
        <v>55</v>
      </c>
      <c r="AT311" s="25" t="s">
        <v>55</v>
      </c>
      <c r="AU311" s="25" t="s">
        <v>55</v>
      </c>
      <c r="AV311" s="25" t="s">
        <v>55</v>
      </c>
      <c r="AW311" s="26">
        <v>45922</v>
      </c>
      <c r="AX311" s="26">
        <v>45965</v>
      </c>
      <c r="AY311" s="25" t="s">
        <v>2055</v>
      </c>
      <c r="AZ311" s="20">
        <f t="shared" si="11"/>
        <v>-9</v>
      </c>
      <c r="BA311" s="17" t="e">
        <f t="shared" si="12"/>
        <v>#N/A</v>
      </c>
      <c r="BB311" s="21" t="s">
        <v>335</v>
      </c>
    </row>
    <row r="312" spans="1:54" x14ac:dyDescent="0.35">
      <c r="A312" s="25" t="s">
        <v>2078</v>
      </c>
      <c r="B312" s="25" t="s">
        <v>347</v>
      </c>
      <c r="C312" s="25" t="s">
        <v>51</v>
      </c>
      <c r="D312" s="25" t="s">
        <v>465</v>
      </c>
      <c r="E312" s="25" t="s">
        <v>52</v>
      </c>
      <c r="F312" s="25" t="s">
        <v>1532</v>
      </c>
      <c r="G312" s="25" t="s">
        <v>126</v>
      </c>
      <c r="H312" s="25" t="s">
        <v>138</v>
      </c>
      <c r="I312" s="25" t="s">
        <v>121</v>
      </c>
      <c r="J312" s="25" t="s">
        <v>752</v>
      </c>
      <c r="K312" s="25" t="s">
        <v>868</v>
      </c>
      <c r="L312" s="25" t="s">
        <v>57</v>
      </c>
      <c r="M312" s="25" t="s">
        <v>2079</v>
      </c>
      <c r="N312" s="25" t="s">
        <v>2079</v>
      </c>
      <c r="O312" s="25" t="s">
        <v>2049</v>
      </c>
      <c r="P312" s="25" t="s">
        <v>2080</v>
      </c>
      <c r="Q312" s="25" t="s">
        <v>2081</v>
      </c>
      <c r="R312" s="25" t="s">
        <v>63</v>
      </c>
      <c r="S312" s="25" t="s">
        <v>2082</v>
      </c>
      <c r="T312" s="25" t="s">
        <v>2083</v>
      </c>
      <c r="U312" s="25" t="s">
        <v>63</v>
      </c>
      <c r="V312" s="26">
        <v>45961</v>
      </c>
      <c r="W312" s="25" t="s">
        <v>55</v>
      </c>
      <c r="X312" s="25" t="s">
        <v>2084</v>
      </c>
      <c r="Y312" s="25" t="s">
        <v>65</v>
      </c>
      <c r="Z312" s="25" t="s">
        <v>55</v>
      </c>
      <c r="AA312" s="25" t="s">
        <v>66</v>
      </c>
      <c r="AB312" s="25" t="s">
        <v>55</v>
      </c>
      <c r="AC312" s="25" t="s">
        <v>55</v>
      </c>
      <c r="AD312" s="25" t="s">
        <v>67</v>
      </c>
      <c r="AE312" s="25" t="s">
        <v>257</v>
      </c>
      <c r="AF312" s="25" t="s">
        <v>1382</v>
      </c>
      <c r="AG312" s="25" t="s">
        <v>55</v>
      </c>
      <c r="AH312" s="25" t="s">
        <v>55</v>
      </c>
      <c r="AI312" s="25" t="s">
        <v>55</v>
      </c>
      <c r="AJ312" s="25" t="s">
        <v>55</v>
      </c>
      <c r="AK312" s="25" t="s">
        <v>55</v>
      </c>
      <c r="AL312" s="25" t="s">
        <v>55</v>
      </c>
      <c r="AM312" s="25" t="s">
        <v>55</v>
      </c>
      <c r="AN312" s="25" t="s">
        <v>55</v>
      </c>
      <c r="AO312" s="25" t="s">
        <v>55</v>
      </c>
      <c r="AP312" s="25" t="s">
        <v>55</v>
      </c>
      <c r="AQ312" s="25" t="s">
        <v>55</v>
      </c>
      <c r="AR312" s="25" t="s">
        <v>55</v>
      </c>
      <c r="AS312" s="25" t="s">
        <v>55</v>
      </c>
      <c r="AT312" s="25" t="s">
        <v>55</v>
      </c>
      <c r="AU312" s="25" t="s">
        <v>55</v>
      </c>
      <c r="AV312" s="25" t="s">
        <v>55</v>
      </c>
      <c r="AW312" s="26">
        <v>45922</v>
      </c>
      <c r="AX312" s="26">
        <v>45965</v>
      </c>
      <c r="AY312" s="25" t="s">
        <v>2055</v>
      </c>
      <c r="AZ312" s="20">
        <f t="shared" si="11"/>
        <v>21</v>
      </c>
      <c r="BA312" s="17" t="str">
        <f t="shared" si="12"/>
        <v>&lt; 3 months</v>
      </c>
      <c r="BB312" s="21" t="s">
        <v>66</v>
      </c>
    </row>
    <row r="313" spans="1:54" x14ac:dyDescent="0.35">
      <c r="A313" s="25" t="s">
        <v>2085</v>
      </c>
      <c r="B313" s="25" t="s">
        <v>347</v>
      </c>
      <c r="C313" s="25" t="s">
        <v>51</v>
      </c>
      <c r="D313" s="25" t="s">
        <v>465</v>
      </c>
      <c r="E313" s="25" t="s">
        <v>108</v>
      </c>
      <c r="F313" s="25" t="s">
        <v>2086</v>
      </c>
      <c r="G313" s="25" t="s">
        <v>493</v>
      </c>
      <c r="H313" s="25" t="s">
        <v>1729</v>
      </c>
      <c r="I313" s="25" t="s">
        <v>160</v>
      </c>
      <c r="J313" s="25" t="s">
        <v>649</v>
      </c>
      <c r="K313" s="25" t="s">
        <v>559</v>
      </c>
      <c r="L313" s="25" t="s">
        <v>103</v>
      </c>
      <c r="M313" s="25" t="s">
        <v>55</v>
      </c>
      <c r="N313" s="25" t="s">
        <v>55</v>
      </c>
      <c r="O313" s="25" t="s">
        <v>2087</v>
      </c>
      <c r="P313" s="25" t="s">
        <v>2088</v>
      </c>
      <c r="Q313" s="25" t="s">
        <v>2089</v>
      </c>
      <c r="R313" s="25" t="s">
        <v>132</v>
      </c>
      <c r="S313" s="25" t="s">
        <v>2090</v>
      </c>
      <c r="T313" s="25" t="s">
        <v>2091</v>
      </c>
      <c r="U313" s="25" t="s">
        <v>63</v>
      </c>
      <c r="V313" s="26">
        <v>45991</v>
      </c>
      <c r="W313" s="25" t="s">
        <v>55</v>
      </c>
      <c r="X313" s="25" t="s">
        <v>2092</v>
      </c>
      <c r="Y313" s="25" t="s">
        <v>65</v>
      </c>
      <c r="Z313" s="25" t="s">
        <v>55</v>
      </c>
      <c r="AA313" s="25" t="s">
        <v>152</v>
      </c>
      <c r="AB313" s="25" t="s">
        <v>55</v>
      </c>
      <c r="AC313" s="25" t="s">
        <v>55</v>
      </c>
      <c r="AD313" s="25" t="s">
        <v>67</v>
      </c>
      <c r="AE313" s="25" t="s">
        <v>257</v>
      </c>
      <c r="AF313" s="25" t="s">
        <v>55</v>
      </c>
      <c r="AG313" s="25" t="s">
        <v>55</v>
      </c>
      <c r="AH313" s="25" t="s">
        <v>55</v>
      </c>
      <c r="AI313" s="25" t="s">
        <v>55</v>
      </c>
      <c r="AJ313" s="25" t="s">
        <v>55</v>
      </c>
      <c r="AK313" s="25" t="s">
        <v>55</v>
      </c>
      <c r="AL313" s="25" t="s">
        <v>55</v>
      </c>
      <c r="AM313" s="25" t="s">
        <v>55</v>
      </c>
      <c r="AN313" s="25" t="s">
        <v>55</v>
      </c>
      <c r="AO313" s="25" t="s">
        <v>55</v>
      </c>
      <c r="AP313" s="25" t="s">
        <v>55</v>
      </c>
      <c r="AQ313" s="25" t="s">
        <v>55</v>
      </c>
      <c r="AR313" s="25" t="s">
        <v>55</v>
      </c>
      <c r="AS313" s="25" t="s">
        <v>55</v>
      </c>
      <c r="AT313" s="25" t="s">
        <v>55</v>
      </c>
      <c r="AU313" s="25" t="s">
        <v>55</v>
      </c>
      <c r="AV313" s="25" t="s">
        <v>55</v>
      </c>
      <c r="AW313" s="26">
        <v>45922</v>
      </c>
      <c r="AX313" s="26">
        <v>45967</v>
      </c>
      <c r="AY313" s="25" t="s">
        <v>2055</v>
      </c>
      <c r="AZ313" s="20">
        <f t="shared" si="11"/>
        <v>-9</v>
      </c>
      <c r="BA313" s="17" t="e">
        <f t="shared" si="12"/>
        <v>#N/A</v>
      </c>
      <c r="BB313" s="21" t="s">
        <v>335</v>
      </c>
    </row>
    <row r="314" spans="1:54" x14ac:dyDescent="0.35">
      <c r="A314" s="25" t="s">
        <v>2093</v>
      </c>
      <c r="B314" s="25" t="s">
        <v>347</v>
      </c>
      <c r="C314" s="25" t="s">
        <v>51</v>
      </c>
      <c r="D314" s="25" t="s">
        <v>465</v>
      </c>
      <c r="E314" s="25" t="s">
        <v>52</v>
      </c>
      <c r="F314" s="25" t="s">
        <v>2086</v>
      </c>
      <c r="G314" s="25" t="s">
        <v>493</v>
      </c>
      <c r="H314" s="25" t="s">
        <v>1729</v>
      </c>
      <c r="I314" s="25" t="s">
        <v>121</v>
      </c>
      <c r="J314" s="25" t="s">
        <v>2072</v>
      </c>
      <c r="K314" s="25" t="s">
        <v>867</v>
      </c>
      <c r="L314" s="25" t="s">
        <v>103</v>
      </c>
      <c r="M314" s="25" t="s">
        <v>844</v>
      </c>
      <c r="N314" s="25" t="s">
        <v>844</v>
      </c>
      <c r="O314" s="25" t="s">
        <v>2087</v>
      </c>
      <c r="P314" s="25" t="s">
        <v>2094</v>
      </c>
      <c r="Q314" s="25" t="s">
        <v>2095</v>
      </c>
      <c r="R314" s="25" t="s">
        <v>132</v>
      </c>
      <c r="S314" s="25" t="s">
        <v>2096</v>
      </c>
      <c r="T314" s="25" t="s">
        <v>2097</v>
      </c>
      <c r="U314" s="25" t="s">
        <v>63</v>
      </c>
      <c r="V314" s="26">
        <v>45991</v>
      </c>
      <c r="W314" s="25" t="s">
        <v>55</v>
      </c>
      <c r="X314" s="25" t="s">
        <v>2098</v>
      </c>
      <c r="Y314" s="25" t="s">
        <v>65</v>
      </c>
      <c r="Z314" s="25" t="s">
        <v>55</v>
      </c>
      <c r="AA314" s="25" t="s">
        <v>152</v>
      </c>
      <c r="AB314" s="25" t="s">
        <v>55</v>
      </c>
      <c r="AC314" s="25" t="s">
        <v>55</v>
      </c>
      <c r="AD314" s="25" t="s">
        <v>67</v>
      </c>
      <c r="AE314" s="25" t="s">
        <v>257</v>
      </c>
      <c r="AF314" s="25" t="s">
        <v>583</v>
      </c>
      <c r="AG314" s="25" t="s">
        <v>55</v>
      </c>
      <c r="AH314" s="25" t="s">
        <v>55</v>
      </c>
      <c r="AI314" s="25" t="s">
        <v>55</v>
      </c>
      <c r="AJ314" s="25" t="s">
        <v>55</v>
      </c>
      <c r="AK314" s="25" t="s">
        <v>55</v>
      </c>
      <c r="AL314" s="25" t="s">
        <v>55</v>
      </c>
      <c r="AM314" s="25" t="s">
        <v>55</v>
      </c>
      <c r="AN314" s="25" t="s">
        <v>55</v>
      </c>
      <c r="AO314" s="25" t="s">
        <v>55</v>
      </c>
      <c r="AP314" s="25" t="s">
        <v>55</v>
      </c>
      <c r="AQ314" s="25" t="s">
        <v>55</v>
      </c>
      <c r="AR314" s="25" t="s">
        <v>55</v>
      </c>
      <c r="AS314" s="25" t="s">
        <v>55</v>
      </c>
      <c r="AT314" s="25" t="s">
        <v>55</v>
      </c>
      <c r="AU314" s="25" t="s">
        <v>55</v>
      </c>
      <c r="AV314" s="25" t="s">
        <v>55</v>
      </c>
      <c r="AW314" s="26">
        <v>45922</v>
      </c>
      <c r="AX314" s="26">
        <v>45967</v>
      </c>
      <c r="AY314" s="25" t="s">
        <v>2055</v>
      </c>
      <c r="AZ314" s="20">
        <f t="shared" si="11"/>
        <v>-9</v>
      </c>
      <c r="BA314" s="17" t="e">
        <f t="shared" si="12"/>
        <v>#N/A</v>
      </c>
      <c r="BB314" s="21" t="s">
        <v>335</v>
      </c>
    </row>
    <row r="315" spans="1:54" x14ac:dyDescent="0.35">
      <c r="A315" s="25" t="s">
        <v>2099</v>
      </c>
      <c r="B315" s="25" t="s">
        <v>347</v>
      </c>
      <c r="C315" s="25" t="s">
        <v>51</v>
      </c>
      <c r="D315" s="25" t="s">
        <v>465</v>
      </c>
      <c r="E315" s="25" t="s">
        <v>52</v>
      </c>
      <c r="F315" s="25" t="s">
        <v>2086</v>
      </c>
      <c r="G315" s="25" t="s">
        <v>493</v>
      </c>
      <c r="H315" s="25" t="s">
        <v>1729</v>
      </c>
      <c r="I315" s="25" t="s">
        <v>101</v>
      </c>
      <c r="J315" s="25" t="s">
        <v>101</v>
      </c>
      <c r="K315" s="25" t="s">
        <v>561</v>
      </c>
      <c r="L315" s="25" t="s">
        <v>57</v>
      </c>
      <c r="M315" s="25" t="s">
        <v>2100</v>
      </c>
      <c r="N315" s="25" t="s">
        <v>2100</v>
      </c>
      <c r="O315" s="25" t="s">
        <v>2087</v>
      </c>
      <c r="P315" s="25" t="s">
        <v>2101</v>
      </c>
      <c r="Q315" s="25" t="s">
        <v>2102</v>
      </c>
      <c r="R315" s="25" t="s">
        <v>63</v>
      </c>
      <c r="S315" s="25" t="s">
        <v>2103</v>
      </c>
      <c r="T315" s="25" t="s">
        <v>2104</v>
      </c>
      <c r="U315" s="25" t="s">
        <v>63</v>
      </c>
      <c r="V315" s="26">
        <v>45991</v>
      </c>
      <c r="W315" s="25" t="s">
        <v>55</v>
      </c>
      <c r="X315" s="25" t="s">
        <v>2105</v>
      </c>
      <c r="Y315" s="25" t="s">
        <v>65</v>
      </c>
      <c r="Z315" s="25" t="s">
        <v>55</v>
      </c>
      <c r="AA315" s="25" t="s">
        <v>152</v>
      </c>
      <c r="AB315" s="25" t="s">
        <v>55</v>
      </c>
      <c r="AC315" s="25" t="s">
        <v>55</v>
      </c>
      <c r="AD315" s="25" t="s">
        <v>67</v>
      </c>
      <c r="AE315" s="25" t="s">
        <v>257</v>
      </c>
      <c r="AF315" s="25" t="s">
        <v>98</v>
      </c>
      <c r="AG315" s="25" t="s">
        <v>55</v>
      </c>
      <c r="AH315" s="25" t="s">
        <v>55</v>
      </c>
      <c r="AI315" s="25" t="s">
        <v>55</v>
      </c>
      <c r="AJ315" s="25" t="s">
        <v>55</v>
      </c>
      <c r="AK315" s="25" t="s">
        <v>55</v>
      </c>
      <c r="AL315" s="25" t="s">
        <v>55</v>
      </c>
      <c r="AM315" s="25" t="s">
        <v>55</v>
      </c>
      <c r="AN315" s="25" t="s">
        <v>55</v>
      </c>
      <c r="AO315" s="25" t="s">
        <v>55</v>
      </c>
      <c r="AP315" s="25" t="s">
        <v>55</v>
      </c>
      <c r="AQ315" s="25" t="s">
        <v>55</v>
      </c>
      <c r="AR315" s="25" t="s">
        <v>55</v>
      </c>
      <c r="AS315" s="25" t="s">
        <v>55</v>
      </c>
      <c r="AT315" s="25" t="s">
        <v>55</v>
      </c>
      <c r="AU315" s="25" t="s">
        <v>55</v>
      </c>
      <c r="AV315" s="25" t="s">
        <v>55</v>
      </c>
      <c r="AW315" s="26">
        <v>45922</v>
      </c>
      <c r="AX315" s="26">
        <v>45967</v>
      </c>
      <c r="AY315" s="25" t="s">
        <v>2055</v>
      </c>
      <c r="AZ315" s="20">
        <f t="shared" si="11"/>
        <v>-9</v>
      </c>
      <c r="BA315" s="17" t="e">
        <f t="shared" si="12"/>
        <v>#N/A</v>
      </c>
      <c r="BB315" s="21" t="s">
        <v>335</v>
      </c>
    </row>
    <row r="316" spans="1:54" x14ac:dyDescent="0.35">
      <c r="A316" s="25" t="s">
        <v>2106</v>
      </c>
      <c r="B316" s="25" t="s">
        <v>347</v>
      </c>
      <c r="C316" s="25" t="s">
        <v>51</v>
      </c>
      <c r="D316" s="25" t="s">
        <v>465</v>
      </c>
      <c r="E316" s="25" t="s">
        <v>108</v>
      </c>
      <c r="F316" s="25" t="s">
        <v>2086</v>
      </c>
      <c r="G316" s="25" t="s">
        <v>493</v>
      </c>
      <c r="H316" s="25" t="s">
        <v>1729</v>
      </c>
      <c r="I316" s="25" t="s">
        <v>56</v>
      </c>
      <c r="J316" s="25" t="s">
        <v>2107</v>
      </c>
      <c r="K316" s="25" t="s">
        <v>572</v>
      </c>
      <c r="L316" s="25" t="s">
        <v>57</v>
      </c>
      <c r="M316" s="25" t="s">
        <v>55</v>
      </c>
      <c r="N316" s="25" t="s">
        <v>55</v>
      </c>
      <c r="O316" s="25" t="s">
        <v>2087</v>
      </c>
      <c r="P316" s="25" t="s">
        <v>2108</v>
      </c>
      <c r="Q316" s="25" t="s">
        <v>2109</v>
      </c>
      <c r="R316" s="25" t="s">
        <v>63</v>
      </c>
      <c r="S316" s="25" t="s">
        <v>2110</v>
      </c>
      <c r="T316" s="25" t="s">
        <v>2111</v>
      </c>
      <c r="U316" s="25" t="s">
        <v>132</v>
      </c>
      <c r="V316" s="26">
        <v>45991</v>
      </c>
      <c r="W316" s="25" t="s">
        <v>55</v>
      </c>
      <c r="X316" s="25" t="s">
        <v>2112</v>
      </c>
      <c r="Y316" s="25" t="s">
        <v>65</v>
      </c>
      <c r="Z316" s="25" t="s">
        <v>55</v>
      </c>
      <c r="AA316" s="25" t="s">
        <v>152</v>
      </c>
      <c r="AB316" s="25" t="s">
        <v>55</v>
      </c>
      <c r="AC316" s="25" t="s">
        <v>55</v>
      </c>
      <c r="AD316" s="25" t="s">
        <v>67</v>
      </c>
      <c r="AE316" s="25" t="s">
        <v>257</v>
      </c>
      <c r="AF316" s="25" t="s">
        <v>55</v>
      </c>
      <c r="AG316" s="25" t="s">
        <v>55</v>
      </c>
      <c r="AH316" s="25" t="s">
        <v>55</v>
      </c>
      <c r="AI316" s="25" t="s">
        <v>55</v>
      </c>
      <c r="AJ316" s="25" t="s">
        <v>55</v>
      </c>
      <c r="AK316" s="25" t="s">
        <v>55</v>
      </c>
      <c r="AL316" s="25" t="s">
        <v>55</v>
      </c>
      <c r="AM316" s="25" t="s">
        <v>55</v>
      </c>
      <c r="AN316" s="25" t="s">
        <v>55</v>
      </c>
      <c r="AO316" s="25" t="s">
        <v>55</v>
      </c>
      <c r="AP316" s="25" t="s">
        <v>55</v>
      </c>
      <c r="AQ316" s="25" t="s">
        <v>55</v>
      </c>
      <c r="AR316" s="25" t="s">
        <v>55</v>
      </c>
      <c r="AS316" s="25" t="s">
        <v>55</v>
      </c>
      <c r="AT316" s="25" t="s">
        <v>55</v>
      </c>
      <c r="AU316" s="25" t="s">
        <v>55</v>
      </c>
      <c r="AV316" s="25" t="s">
        <v>55</v>
      </c>
      <c r="AW316" s="26">
        <v>45922</v>
      </c>
      <c r="AX316" s="26">
        <v>45967</v>
      </c>
      <c r="AY316" s="25" t="s">
        <v>2055</v>
      </c>
      <c r="AZ316" s="20">
        <f t="shared" si="11"/>
        <v>-9</v>
      </c>
      <c r="BA316" s="17" t="e">
        <f t="shared" si="12"/>
        <v>#N/A</v>
      </c>
      <c r="BB316" s="21" t="s">
        <v>335</v>
      </c>
    </row>
    <row r="317" spans="1:54" x14ac:dyDescent="0.35">
      <c r="A317" s="25" t="s">
        <v>2113</v>
      </c>
      <c r="B317" s="25" t="s">
        <v>347</v>
      </c>
      <c r="C317" s="25" t="s">
        <v>51</v>
      </c>
      <c r="D317" s="25" t="s">
        <v>465</v>
      </c>
      <c r="E317" s="25" t="s">
        <v>108</v>
      </c>
      <c r="F317" s="25" t="s">
        <v>2086</v>
      </c>
      <c r="G317" s="25" t="s">
        <v>493</v>
      </c>
      <c r="H317" s="25" t="s">
        <v>1729</v>
      </c>
      <c r="I317" s="25" t="s">
        <v>119</v>
      </c>
      <c r="J317" s="25" t="s">
        <v>2114</v>
      </c>
      <c r="K317" s="25" t="s">
        <v>552</v>
      </c>
      <c r="L317" s="25" t="s">
        <v>57</v>
      </c>
      <c r="M317" s="25" t="s">
        <v>55</v>
      </c>
      <c r="N317" s="25" t="s">
        <v>55</v>
      </c>
      <c r="O317" s="25" t="s">
        <v>2087</v>
      </c>
      <c r="P317" s="25" t="s">
        <v>2115</v>
      </c>
      <c r="Q317" s="25" t="s">
        <v>2116</v>
      </c>
      <c r="R317" s="25" t="s">
        <v>63</v>
      </c>
      <c r="S317" s="25" t="s">
        <v>2117</v>
      </c>
      <c r="T317" s="25" t="s">
        <v>2118</v>
      </c>
      <c r="U317" s="25" t="s">
        <v>63</v>
      </c>
      <c r="V317" s="26">
        <v>46112</v>
      </c>
      <c r="W317" s="25" t="s">
        <v>55</v>
      </c>
      <c r="X317" s="25" t="s">
        <v>2119</v>
      </c>
      <c r="Y317" s="25" t="s">
        <v>65</v>
      </c>
      <c r="Z317" s="25" t="s">
        <v>55</v>
      </c>
      <c r="AA317" s="25" t="s">
        <v>155</v>
      </c>
      <c r="AB317" s="25" t="s">
        <v>55</v>
      </c>
      <c r="AC317" s="25" t="s">
        <v>55</v>
      </c>
      <c r="AD317" s="25" t="s">
        <v>67</v>
      </c>
      <c r="AE317" s="25" t="s">
        <v>257</v>
      </c>
      <c r="AF317" s="25" t="s">
        <v>55</v>
      </c>
      <c r="AG317" s="25" t="s">
        <v>55</v>
      </c>
      <c r="AH317" s="25" t="s">
        <v>55</v>
      </c>
      <c r="AI317" s="25" t="s">
        <v>55</v>
      </c>
      <c r="AJ317" s="25" t="s">
        <v>55</v>
      </c>
      <c r="AK317" s="25" t="s">
        <v>55</v>
      </c>
      <c r="AL317" s="25" t="s">
        <v>55</v>
      </c>
      <c r="AM317" s="25" t="s">
        <v>55</v>
      </c>
      <c r="AN317" s="25" t="s">
        <v>55</v>
      </c>
      <c r="AO317" s="25" t="s">
        <v>55</v>
      </c>
      <c r="AP317" s="25" t="s">
        <v>55</v>
      </c>
      <c r="AQ317" s="25" t="s">
        <v>55</v>
      </c>
      <c r="AR317" s="25" t="s">
        <v>55</v>
      </c>
      <c r="AS317" s="25" t="s">
        <v>55</v>
      </c>
      <c r="AT317" s="25" t="s">
        <v>55</v>
      </c>
      <c r="AU317" s="25" t="s">
        <v>55</v>
      </c>
      <c r="AV317" s="25" t="s">
        <v>55</v>
      </c>
      <c r="AW317" s="26">
        <v>45922</v>
      </c>
      <c r="AX317" s="26">
        <v>45967</v>
      </c>
      <c r="AY317" s="25" t="s">
        <v>2055</v>
      </c>
      <c r="AZ317" s="20">
        <f t="shared" si="11"/>
        <v>-130</v>
      </c>
      <c r="BA317" s="17" t="e">
        <f t="shared" si="12"/>
        <v>#N/A</v>
      </c>
      <c r="BB317" s="21" t="s">
        <v>335</v>
      </c>
    </row>
    <row r="318" spans="1:54" x14ac:dyDescent="0.35">
      <c r="A318" s="25" t="s">
        <v>2120</v>
      </c>
      <c r="B318" s="25" t="s">
        <v>347</v>
      </c>
      <c r="C318" s="25" t="s">
        <v>51</v>
      </c>
      <c r="D318" s="25" t="s">
        <v>465</v>
      </c>
      <c r="E318" s="25" t="s">
        <v>108</v>
      </c>
      <c r="F318" s="25" t="s">
        <v>2086</v>
      </c>
      <c r="G318" s="25" t="s">
        <v>493</v>
      </c>
      <c r="H318" s="25" t="s">
        <v>1729</v>
      </c>
      <c r="I318" s="25" t="s">
        <v>109</v>
      </c>
      <c r="J318" s="25" t="s">
        <v>2121</v>
      </c>
      <c r="K318" s="25" t="s">
        <v>867</v>
      </c>
      <c r="L318" s="25" t="s">
        <v>57</v>
      </c>
      <c r="M318" s="25" t="s">
        <v>55</v>
      </c>
      <c r="N318" s="25" t="s">
        <v>55</v>
      </c>
      <c r="O318" s="25" t="s">
        <v>2087</v>
      </c>
      <c r="P318" s="25" t="s">
        <v>2122</v>
      </c>
      <c r="Q318" s="25" t="s">
        <v>2123</v>
      </c>
      <c r="R318" s="25" t="s">
        <v>63</v>
      </c>
      <c r="S318" s="25" t="s">
        <v>2124</v>
      </c>
      <c r="T318" s="25" t="s">
        <v>2125</v>
      </c>
      <c r="U318" s="25" t="s">
        <v>63</v>
      </c>
      <c r="V318" s="26">
        <v>45961</v>
      </c>
      <c r="W318" s="25" t="s">
        <v>55</v>
      </c>
      <c r="X318" s="25" t="s">
        <v>2126</v>
      </c>
      <c r="Y318" s="25" t="s">
        <v>65</v>
      </c>
      <c r="Z318" s="25" t="s">
        <v>55</v>
      </c>
      <c r="AA318" s="25" t="s">
        <v>66</v>
      </c>
      <c r="AB318" s="25" t="s">
        <v>55</v>
      </c>
      <c r="AC318" s="25" t="s">
        <v>55</v>
      </c>
      <c r="AD318" s="25" t="s">
        <v>67</v>
      </c>
      <c r="AE318" s="25" t="s">
        <v>257</v>
      </c>
      <c r="AF318" s="25" t="s">
        <v>55</v>
      </c>
      <c r="AG318" s="25" t="s">
        <v>55</v>
      </c>
      <c r="AH318" s="25" t="s">
        <v>55</v>
      </c>
      <c r="AI318" s="25" t="s">
        <v>55</v>
      </c>
      <c r="AJ318" s="25" t="s">
        <v>55</v>
      </c>
      <c r="AK318" s="25" t="s">
        <v>55</v>
      </c>
      <c r="AL318" s="25" t="s">
        <v>55</v>
      </c>
      <c r="AM318" s="25" t="s">
        <v>55</v>
      </c>
      <c r="AN318" s="25" t="s">
        <v>55</v>
      </c>
      <c r="AO318" s="25" t="s">
        <v>55</v>
      </c>
      <c r="AP318" s="25" t="s">
        <v>55</v>
      </c>
      <c r="AQ318" s="25" t="s">
        <v>55</v>
      </c>
      <c r="AR318" s="25" t="s">
        <v>55</v>
      </c>
      <c r="AS318" s="25" t="s">
        <v>55</v>
      </c>
      <c r="AT318" s="25" t="s">
        <v>55</v>
      </c>
      <c r="AU318" s="25" t="s">
        <v>55</v>
      </c>
      <c r="AV318" s="25" t="s">
        <v>55</v>
      </c>
      <c r="AW318" s="26">
        <v>45922</v>
      </c>
      <c r="AX318" s="26">
        <v>45967</v>
      </c>
      <c r="AY318" s="25" t="s">
        <v>2055</v>
      </c>
      <c r="AZ318" s="20">
        <f t="shared" si="11"/>
        <v>21</v>
      </c>
      <c r="BA318" s="17" t="str">
        <f t="shared" si="12"/>
        <v>&lt; 3 months</v>
      </c>
      <c r="BB318" s="21" t="s">
        <v>66</v>
      </c>
    </row>
    <row r="319" spans="1:54" x14ac:dyDescent="0.35">
      <c r="A319" s="25" t="s">
        <v>2127</v>
      </c>
      <c r="B319" s="25" t="s">
        <v>347</v>
      </c>
      <c r="C319" s="25" t="s">
        <v>51</v>
      </c>
      <c r="D319" s="25" t="s">
        <v>465</v>
      </c>
      <c r="E319" s="25" t="s">
        <v>52</v>
      </c>
      <c r="F319" s="25" t="s">
        <v>2086</v>
      </c>
      <c r="G319" s="25" t="s">
        <v>493</v>
      </c>
      <c r="H319" s="25" t="s">
        <v>1729</v>
      </c>
      <c r="I319" s="25" t="s">
        <v>160</v>
      </c>
      <c r="J319" s="25" t="s">
        <v>2128</v>
      </c>
      <c r="K319" s="25" t="s">
        <v>572</v>
      </c>
      <c r="L319" s="25" t="s">
        <v>57</v>
      </c>
      <c r="M319" s="25" t="s">
        <v>1328</v>
      </c>
      <c r="N319" s="25" t="s">
        <v>1328</v>
      </c>
      <c r="O319" s="25" t="s">
        <v>2087</v>
      </c>
      <c r="P319" s="25" t="s">
        <v>2129</v>
      </c>
      <c r="Q319" s="25" t="s">
        <v>2130</v>
      </c>
      <c r="R319" s="25" t="s">
        <v>63</v>
      </c>
      <c r="S319" s="25" t="s">
        <v>2131</v>
      </c>
      <c r="T319" s="25" t="s">
        <v>2132</v>
      </c>
      <c r="U319" s="25" t="s">
        <v>63</v>
      </c>
      <c r="V319" s="26">
        <v>45991</v>
      </c>
      <c r="W319" s="25" t="s">
        <v>55</v>
      </c>
      <c r="X319" s="25" t="s">
        <v>2133</v>
      </c>
      <c r="Y319" s="25" t="s">
        <v>65</v>
      </c>
      <c r="Z319" s="25" t="s">
        <v>55</v>
      </c>
      <c r="AA319" s="25" t="s">
        <v>152</v>
      </c>
      <c r="AB319" s="25" t="s">
        <v>55</v>
      </c>
      <c r="AC319" s="25" t="s">
        <v>55</v>
      </c>
      <c r="AD319" s="25" t="s">
        <v>67</v>
      </c>
      <c r="AE319" s="25" t="s">
        <v>257</v>
      </c>
      <c r="AF319" s="25" t="s">
        <v>779</v>
      </c>
      <c r="AG319" s="25" t="s">
        <v>55</v>
      </c>
      <c r="AH319" s="25" t="s">
        <v>55</v>
      </c>
      <c r="AI319" s="25" t="s">
        <v>55</v>
      </c>
      <c r="AJ319" s="25" t="s">
        <v>55</v>
      </c>
      <c r="AK319" s="25" t="s">
        <v>55</v>
      </c>
      <c r="AL319" s="25" t="s">
        <v>55</v>
      </c>
      <c r="AM319" s="25" t="s">
        <v>55</v>
      </c>
      <c r="AN319" s="25" t="s">
        <v>55</v>
      </c>
      <c r="AO319" s="25" t="s">
        <v>55</v>
      </c>
      <c r="AP319" s="25" t="s">
        <v>55</v>
      </c>
      <c r="AQ319" s="25" t="s">
        <v>55</v>
      </c>
      <c r="AR319" s="25" t="s">
        <v>55</v>
      </c>
      <c r="AS319" s="25" t="s">
        <v>55</v>
      </c>
      <c r="AT319" s="25" t="s">
        <v>55</v>
      </c>
      <c r="AU319" s="25" t="s">
        <v>55</v>
      </c>
      <c r="AV319" s="25" t="s">
        <v>55</v>
      </c>
      <c r="AW319" s="26">
        <v>45922</v>
      </c>
      <c r="AX319" s="26">
        <v>45967</v>
      </c>
      <c r="AY319" s="25" t="s">
        <v>2055</v>
      </c>
      <c r="AZ319" s="20">
        <f t="shared" si="11"/>
        <v>-9</v>
      </c>
      <c r="BA319" s="17" t="e">
        <f t="shared" si="12"/>
        <v>#N/A</v>
      </c>
      <c r="BB319" s="21" t="s">
        <v>335</v>
      </c>
    </row>
    <row r="320" spans="1:54" x14ac:dyDescent="0.35">
      <c r="A320" s="25" t="s">
        <v>2134</v>
      </c>
      <c r="B320" s="25" t="s">
        <v>347</v>
      </c>
      <c r="C320" s="25" t="s">
        <v>51</v>
      </c>
      <c r="D320" s="25" t="s">
        <v>465</v>
      </c>
      <c r="E320" s="25" t="s">
        <v>52</v>
      </c>
      <c r="F320" s="25" t="s">
        <v>1715</v>
      </c>
      <c r="G320" s="25" t="s">
        <v>94</v>
      </c>
      <c r="H320" s="25" t="s">
        <v>162</v>
      </c>
      <c r="I320" s="25" t="s">
        <v>121</v>
      </c>
      <c r="J320" s="25" t="s">
        <v>2135</v>
      </c>
      <c r="K320" s="25" t="s">
        <v>564</v>
      </c>
      <c r="L320" s="25" t="s">
        <v>57</v>
      </c>
      <c r="M320" s="25" t="s">
        <v>154</v>
      </c>
      <c r="N320" s="25" t="s">
        <v>154</v>
      </c>
      <c r="O320" s="25" t="s">
        <v>2136</v>
      </c>
      <c r="P320" s="25" t="s">
        <v>2137</v>
      </c>
      <c r="Q320" s="25" t="s">
        <v>2138</v>
      </c>
      <c r="R320" s="25" t="s">
        <v>63</v>
      </c>
      <c r="S320" s="25" t="s">
        <v>2139</v>
      </c>
      <c r="T320" s="25" t="s">
        <v>2140</v>
      </c>
      <c r="U320" s="25" t="s">
        <v>63</v>
      </c>
      <c r="V320" s="26">
        <v>46006</v>
      </c>
      <c r="W320" s="25" t="s">
        <v>55</v>
      </c>
      <c r="X320" s="25" t="s">
        <v>2141</v>
      </c>
      <c r="Y320" s="25" t="s">
        <v>65</v>
      </c>
      <c r="Z320" s="25" t="s">
        <v>55</v>
      </c>
      <c r="AA320" s="25" t="s">
        <v>152</v>
      </c>
      <c r="AB320" s="25" t="s">
        <v>55</v>
      </c>
      <c r="AC320" s="25" t="s">
        <v>55</v>
      </c>
      <c r="AD320" s="25" t="s">
        <v>67</v>
      </c>
      <c r="AE320" s="25" t="s">
        <v>257</v>
      </c>
      <c r="AF320" s="25" t="s">
        <v>156</v>
      </c>
      <c r="AG320" s="25" t="s">
        <v>55</v>
      </c>
      <c r="AH320" s="25" t="s">
        <v>55</v>
      </c>
      <c r="AI320" s="25" t="s">
        <v>55</v>
      </c>
      <c r="AJ320" s="25" t="s">
        <v>55</v>
      </c>
      <c r="AK320" s="25" t="s">
        <v>55</v>
      </c>
      <c r="AL320" s="25" t="s">
        <v>55</v>
      </c>
      <c r="AM320" s="25" t="s">
        <v>55</v>
      </c>
      <c r="AN320" s="25" t="s">
        <v>55</v>
      </c>
      <c r="AO320" s="25" t="s">
        <v>55</v>
      </c>
      <c r="AP320" s="25" t="s">
        <v>55</v>
      </c>
      <c r="AQ320" s="25" t="s">
        <v>55</v>
      </c>
      <c r="AR320" s="25" t="s">
        <v>55</v>
      </c>
      <c r="AS320" s="25" t="s">
        <v>55</v>
      </c>
      <c r="AT320" s="25" t="s">
        <v>55</v>
      </c>
      <c r="AU320" s="25" t="s">
        <v>55</v>
      </c>
      <c r="AV320" s="25" t="s">
        <v>55</v>
      </c>
      <c r="AW320" s="26">
        <v>45807</v>
      </c>
      <c r="AX320" s="26">
        <v>45966</v>
      </c>
      <c r="AY320" s="25" t="s">
        <v>2055</v>
      </c>
      <c r="AZ320" s="20">
        <f t="shared" si="11"/>
        <v>-24</v>
      </c>
      <c r="BA320" s="17" t="e">
        <f t="shared" si="12"/>
        <v>#N/A</v>
      </c>
      <c r="BB320" s="21" t="s">
        <v>335</v>
      </c>
    </row>
    <row r="321" spans="1:54" x14ac:dyDescent="0.35">
      <c r="A321" s="25" t="s">
        <v>2142</v>
      </c>
      <c r="B321" s="25" t="s">
        <v>347</v>
      </c>
      <c r="C321" s="25" t="s">
        <v>51</v>
      </c>
      <c r="D321" s="25" t="s">
        <v>465</v>
      </c>
      <c r="E321" s="25" t="s">
        <v>108</v>
      </c>
      <c r="F321" s="25" t="s">
        <v>1715</v>
      </c>
      <c r="G321" s="25" t="s">
        <v>94</v>
      </c>
      <c r="H321" s="25" t="s">
        <v>162</v>
      </c>
      <c r="I321" s="25" t="s">
        <v>526</v>
      </c>
      <c r="J321" s="25" t="s">
        <v>1785</v>
      </c>
      <c r="K321" s="25" t="s">
        <v>868</v>
      </c>
      <c r="L321" s="25" t="s">
        <v>57</v>
      </c>
      <c r="M321" s="25" t="s">
        <v>55</v>
      </c>
      <c r="N321" s="25" t="s">
        <v>55</v>
      </c>
      <c r="O321" s="25" t="s">
        <v>2136</v>
      </c>
      <c r="P321" s="25" t="s">
        <v>2143</v>
      </c>
      <c r="Q321" s="25" t="s">
        <v>2144</v>
      </c>
      <c r="R321" s="25" t="s">
        <v>63</v>
      </c>
      <c r="S321" s="25" t="s">
        <v>2145</v>
      </c>
      <c r="T321" s="25" t="s">
        <v>2146</v>
      </c>
      <c r="U321" s="25" t="s">
        <v>63</v>
      </c>
      <c r="V321" s="26">
        <v>46112</v>
      </c>
      <c r="W321" s="25" t="s">
        <v>55</v>
      </c>
      <c r="X321" s="25" t="s">
        <v>2147</v>
      </c>
      <c r="Y321" s="25" t="s">
        <v>65</v>
      </c>
      <c r="Z321" s="25" t="s">
        <v>55</v>
      </c>
      <c r="AA321" s="25" t="s">
        <v>155</v>
      </c>
      <c r="AB321" s="25" t="s">
        <v>55</v>
      </c>
      <c r="AC321" s="25" t="s">
        <v>55</v>
      </c>
      <c r="AD321" s="25" t="s">
        <v>67</v>
      </c>
      <c r="AE321" s="25" t="s">
        <v>257</v>
      </c>
      <c r="AF321" s="25" t="s">
        <v>55</v>
      </c>
      <c r="AG321" s="25" t="s">
        <v>55</v>
      </c>
      <c r="AH321" s="25" t="s">
        <v>55</v>
      </c>
      <c r="AI321" s="25" t="s">
        <v>55</v>
      </c>
      <c r="AJ321" s="25" t="s">
        <v>55</v>
      </c>
      <c r="AK321" s="25" t="s">
        <v>55</v>
      </c>
      <c r="AL321" s="25" t="s">
        <v>55</v>
      </c>
      <c r="AM321" s="25" t="s">
        <v>55</v>
      </c>
      <c r="AN321" s="25" t="s">
        <v>55</v>
      </c>
      <c r="AO321" s="25" t="s">
        <v>55</v>
      </c>
      <c r="AP321" s="25" t="s">
        <v>55</v>
      </c>
      <c r="AQ321" s="25" t="s">
        <v>55</v>
      </c>
      <c r="AR321" s="25" t="s">
        <v>55</v>
      </c>
      <c r="AS321" s="25" t="s">
        <v>55</v>
      </c>
      <c r="AT321" s="25" t="s">
        <v>55</v>
      </c>
      <c r="AU321" s="25" t="s">
        <v>55</v>
      </c>
      <c r="AV321" s="25" t="s">
        <v>55</v>
      </c>
      <c r="AW321" s="26">
        <v>45807</v>
      </c>
      <c r="AX321" s="26">
        <v>45966</v>
      </c>
      <c r="AY321" s="25" t="s">
        <v>2055</v>
      </c>
      <c r="AZ321" s="20">
        <f t="shared" si="11"/>
        <v>-130</v>
      </c>
      <c r="BA321" s="17" t="e">
        <f t="shared" si="12"/>
        <v>#N/A</v>
      </c>
      <c r="BB321" s="21" t="s">
        <v>335</v>
      </c>
    </row>
    <row r="322" spans="1:54" x14ac:dyDescent="0.35">
      <c r="A322" s="25" t="s">
        <v>2148</v>
      </c>
      <c r="B322" s="25" t="s">
        <v>347</v>
      </c>
      <c r="C322" s="25" t="s">
        <v>51</v>
      </c>
      <c r="D322" s="25" t="s">
        <v>465</v>
      </c>
      <c r="E322" s="25" t="s">
        <v>108</v>
      </c>
      <c r="F322" s="25" t="s">
        <v>1715</v>
      </c>
      <c r="G322" s="25" t="s">
        <v>94</v>
      </c>
      <c r="H322" s="25" t="s">
        <v>162</v>
      </c>
      <c r="I322" s="25" t="s">
        <v>526</v>
      </c>
      <c r="J322" s="25" t="s">
        <v>1785</v>
      </c>
      <c r="K322" s="25" t="s">
        <v>868</v>
      </c>
      <c r="L322" s="25" t="s">
        <v>57</v>
      </c>
      <c r="M322" s="25" t="s">
        <v>55</v>
      </c>
      <c r="N322" s="25" t="s">
        <v>55</v>
      </c>
      <c r="O322" s="25" t="s">
        <v>2136</v>
      </c>
      <c r="P322" s="25" t="s">
        <v>2149</v>
      </c>
      <c r="Q322" s="25" t="s">
        <v>2150</v>
      </c>
      <c r="R322" s="25" t="s">
        <v>63</v>
      </c>
      <c r="S322" s="25" t="s">
        <v>2151</v>
      </c>
      <c r="T322" s="25" t="s">
        <v>2152</v>
      </c>
      <c r="U322" s="25" t="s">
        <v>63</v>
      </c>
      <c r="V322" s="26">
        <v>46068</v>
      </c>
      <c r="W322" s="25" t="s">
        <v>55</v>
      </c>
      <c r="X322" s="25" t="s">
        <v>2153</v>
      </c>
      <c r="Y322" s="25" t="s">
        <v>65</v>
      </c>
      <c r="Z322" s="25" t="s">
        <v>55</v>
      </c>
      <c r="AA322" s="25" t="s">
        <v>155</v>
      </c>
      <c r="AB322" s="25" t="s">
        <v>55</v>
      </c>
      <c r="AC322" s="25" t="s">
        <v>55</v>
      </c>
      <c r="AD322" s="25" t="s">
        <v>67</v>
      </c>
      <c r="AE322" s="25" t="s">
        <v>257</v>
      </c>
      <c r="AF322" s="25" t="s">
        <v>55</v>
      </c>
      <c r="AG322" s="25" t="s">
        <v>55</v>
      </c>
      <c r="AH322" s="25" t="s">
        <v>55</v>
      </c>
      <c r="AI322" s="25" t="s">
        <v>55</v>
      </c>
      <c r="AJ322" s="25" t="s">
        <v>55</v>
      </c>
      <c r="AK322" s="25" t="s">
        <v>55</v>
      </c>
      <c r="AL322" s="25" t="s">
        <v>55</v>
      </c>
      <c r="AM322" s="25" t="s">
        <v>55</v>
      </c>
      <c r="AN322" s="25" t="s">
        <v>55</v>
      </c>
      <c r="AO322" s="25" t="s">
        <v>55</v>
      </c>
      <c r="AP322" s="25" t="s">
        <v>55</v>
      </c>
      <c r="AQ322" s="25" t="s">
        <v>55</v>
      </c>
      <c r="AR322" s="25" t="s">
        <v>55</v>
      </c>
      <c r="AS322" s="25" t="s">
        <v>55</v>
      </c>
      <c r="AT322" s="25" t="s">
        <v>55</v>
      </c>
      <c r="AU322" s="25" t="s">
        <v>55</v>
      </c>
      <c r="AV322" s="25" t="s">
        <v>55</v>
      </c>
      <c r="AW322" s="26">
        <v>45807</v>
      </c>
      <c r="AX322" s="26">
        <v>45966</v>
      </c>
      <c r="AY322" s="25" t="s">
        <v>2055</v>
      </c>
      <c r="AZ322" s="20">
        <f t="shared" si="11"/>
        <v>-86</v>
      </c>
      <c r="BA322" s="17" t="e">
        <f t="shared" si="12"/>
        <v>#N/A</v>
      </c>
      <c r="BB322" s="21" t="s">
        <v>335</v>
      </c>
    </row>
    <row r="323" spans="1:54" x14ac:dyDescent="0.35">
      <c r="A323" s="25" t="s">
        <v>2154</v>
      </c>
      <c r="B323" s="25" t="s">
        <v>347</v>
      </c>
      <c r="C323" s="25" t="s">
        <v>588</v>
      </c>
      <c r="D323" s="25" t="s">
        <v>118</v>
      </c>
      <c r="E323" s="25" t="s">
        <v>52</v>
      </c>
      <c r="F323" s="25" t="s">
        <v>1644</v>
      </c>
      <c r="G323" s="25" t="s">
        <v>54</v>
      </c>
      <c r="H323" s="25" t="s">
        <v>1728</v>
      </c>
      <c r="I323" s="25" t="s">
        <v>526</v>
      </c>
      <c r="J323" s="25" t="s">
        <v>153</v>
      </c>
      <c r="K323" s="25" t="s">
        <v>589</v>
      </c>
      <c r="L323" s="25" t="s">
        <v>57</v>
      </c>
      <c r="M323" s="25" t="s">
        <v>258</v>
      </c>
      <c r="N323" s="25" t="s">
        <v>55</v>
      </c>
      <c r="O323" s="25" t="s">
        <v>2155</v>
      </c>
      <c r="P323" s="25" t="s">
        <v>2156</v>
      </c>
      <c r="Q323" s="25" t="s">
        <v>2157</v>
      </c>
      <c r="R323" s="25" t="s">
        <v>55</v>
      </c>
      <c r="S323" s="25" t="s">
        <v>2158</v>
      </c>
      <c r="T323" s="25" t="s">
        <v>2159</v>
      </c>
      <c r="U323" s="25" t="s">
        <v>55</v>
      </c>
      <c r="V323" s="26">
        <v>45961</v>
      </c>
      <c r="W323" s="25" t="s">
        <v>55</v>
      </c>
      <c r="X323" s="25" t="s">
        <v>2160</v>
      </c>
      <c r="Y323" s="25" t="s">
        <v>65</v>
      </c>
      <c r="Z323" s="25" t="s">
        <v>55</v>
      </c>
      <c r="AA323" s="25" t="s">
        <v>66</v>
      </c>
      <c r="AB323" s="25" t="s">
        <v>55</v>
      </c>
      <c r="AC323" s="25" t="s">
        <v>55</v>
      </c>
      <c r="AD323" s="25" t="s">
        <v>67</v>
      </c>
      <c r="AE323" s="25" t="s">
        <v>97</v>
      </c>
      <c r="AF323" s="25" t="s">
        <v>226</v>
      </c>
      <c r="AG323" s="25" t="s">
        <v>55</v>
      </c>
      <c r="AH323" s="25" t="s">
        <v>55</v>
      </c>
      <c r="AI323" s="25" t="s">
        <v>55</v>
      </c>
      <c r="AJ323" s="25" t="s">
        <v>55</v>
      </c>
      <c r="AK323" s="25" t="s">
        <v>55</v>
      </c>
      <c r="AL323" s="25" t="s">
        <v>55</v>
      </c>
      <c r="AM323" s="25" t="s">
        <v>55</v>
      </c>
      <c r="AN323" s="25" t="s">
        <v>55</v>
      </c>
      <c r="AO323" s="25" t="s">
        <v>55</v>
      </c>
      <c r="AP323" s="25" t="s">
        <v>55</v>
      </c>
      <c r="AQ323" s="25" t="s">
        <v>55</v>
      </c>
      <c r="AR323" s="25" t="s">
        <v>55</v>
      </c>
      <c r="AS323" s="25" t="s">
        <v>55</v>
      </c>
      <c r="AT323" s="25" t="s">
        <v>55</v>
      </c>
      <c r="AU323" s="25" t="s">
        <v>55</v>
      </c>
      <c r="AV323" s="25" t="s">
        <v>55</v>
      </c>
      <c r="AW323" s="26">
        <v>45919</v>
      </c>
      <c r="AX323" s="26">
        <v>45919</v>
      </c>
      <c r="AY323" s="25" t="s">
        <v>2161</v>
      </c>
      <c r="AZ323" s="20">
        <f t="shared" si="11"/>
        <v>21</v>
      </c>
      <c r="BA323" s="17" t="str">
        <f t="shared" si="12"/>
        <v>&lt; 3 months</v>
      </c>
      <c r="BB323" s="21" t="s">
        <v>66</v>
      </c>
    </row>
    <row r="324" spans="1:54" x14ac:dyDescent="0.35">
      <c r="A324" s="25" t="s">
        <v>2162</v>
      </c>
      <c r="B324" s="25" t="s">
        <v>347</v>
      </c>
      <c r="C324" s="25" t="s">
        <v>588</v>
      </c>
      <c r="D324" s="25" t="s">
        <v>118</v>
      </c>
      <c r="E324" s="25" t="s">
        <v>52</v>
      </c>
      <c r="F324" s="25" t="s">
        <v>1644</v>
      </c>
      <c r="G324" s="25" t="s">
        <v>54</v>
      </c>
      <c r="H324" s="25" t="s">
        <v>1728</v>
      </c>
      <c r="I324" s="25" t="s">
        <v>117</v>
      </c>
      <c r="J324" s="25" t="s">
        <v>153</v>
      </c>
      <c r="K324" s="25" t="s">
        <v>572</v>
      </c>
      <c r="L324" s="25" t="s">
        <v>57</v>
      </c>
      <c r="M324" s="25" t="s">
        <v>128</v>
      </c>
      <c r="N324" s="25" t="s">
        <v>55</v>
      </c>
      <c r="O324" s="25" t="s">
        <v>2155</v>
      </c>
      <c r="P324" s="25" t="s">
        <v>2163</v>
      </c>
      <c r="Q324" s="25" t="s">
        <v>2164</v>
      </c>
      <c r="R324" s="25" t="s">
        <v>55</v>
      </c>
      <c r="S324" s="25" t="s">
        <v>2165</v>
      </c>
      <c r="T324" s="25" t="s">
        <v>2166</v>
      </c>
      <c r="U324" s="25" t="s">
        <v>55</v>
      </c>
      <c r="V324" s="26">
        <v>45961</v>
      </c>
      <c r="W324" s="25" t="s">
        <v>55</v>
      </c>
      <c r="X324" s="25" t="s">
        <v>2160</v>
      </c>
      <c r="Y324" s="25" t="s">
        <v>65</v>
      </c>
      <c r="Z324" s="25" t="s">
        <v>55</v>
      </c>
      <c r="AA324" s="25" t="s">
        <v>66</v>
      </c>
      <c r="AB324" s="25" t="s">
        <v>55</v>
      </c>
      <c r="AC324" s="25" t="s">
        <v>55</v>
      </c>
      <c r="AD324" s="25" t="s">
        <v>67</v>
      </c>
      <c r="AE324" s="25" t="s">
        <v>97</v>
      </c>
      <c r="AF324" s="25" t="s">
        <v>69</v>
      </c>
      <c r="AG324" s="25" t="s">
        <v>55</v>
      </c>
      <c r="AH324" s="25" t="s">
        <v>55</v>
      </c>
      <c r="AI324" s="25" t="s">
        <v>55</v>
      </c>
      <c r="AJ324" s="25" t="s">
        <v>55</v>
      </c>
      <c r="AK324" s="25" t="s">
        <v>55</v>
      </c>
      <c r="AL324" s="25" t="s">
        <v>55</v>
      </c>
      <c r="AM324" s="25" t="s">
        <v>55</v>
      </c>
      <c r="AN324" s="25" t="s">
        <v>55</v>
      </c>
      <c r="AO324" s="25" t="s">
        <v>55</v>
      </c>
      <c r="AP324" s="25" t="s">
        <v>55</v>
      </c>
      <c r="AQ324" s="25" t="s">
        <v>55</v>
      </c>
      <c r="AR324" s="25" t="s">
        <v>55</v>
      </c>
      <c r="AS324" s="25" t="s">
        <v>55</v>
      </c>
      <c r="AT324" s="25" t="s">
        <v>55</v>
      </c>
      <c r="AU324" s="25" t="s">
        <v>55</v>
      </c>
      <c r="AV324" s="25" t="s">
        <v>55</v>
      </c>
      <c r="AW324" s="26">
        <v>45919</v>
      </c>
      <c r="AX324" s="26">
        <v>45919</v>
      </c>
      <c r="AY324" s="25" t="s">
        <v>2161</v>
      </c>
      <c r="AZ324" s="20">
        <f t="shared" si="11"/>
        <v>21</v>
      </c>
      <c r="BA324" s="17" t="str">
        <f t="shared" si="12"/>
        <v>&lt; 3 months</v>
      </c>
      <c r="BB324" s="21" t="s">
        <v>66</v>
      </c>
    </row>
    <row r="325" spans="1:54" x14ac:dyDescent="0.35">
      <c r="A325" s="25" t="s">
        <v>2167</v>
      </c>
      <c r="B325" s="25" t="s">
        <v>347</v>
      </c>
      <c r="C325" s="25" t="s">
        <v>588</v>
      </c>
      <c r="D325" s="25" t="s">
        <v>118</v>
      </c>
      <c r="E325" s="25" t="s">
        <v>52</v>
      </c>
      <c r="F325" s="25" t="s">
        <v>1644</v>
      </c>
      <c r="G325" s="25" t="s">
        <v>54</v>
      </c>
      <c r="H325" s="25" t="s">
        <v>1728</v>
      </c>
      <c r="I325" s="25" t="s">
        <v>2168</v>
      </c>
      <c r="J325" s="25" t="s">
        <v>153</v>
      </c>
      <c r="K325" s="25" t="s">
        <v>572</v>
      </c>
      <c r="L325" s="25" t="s">
        <v>57</v>
      </c>
      <c r="M325" s="25" t="s">
        <v>58</v>
      </c>
      <c r="N325" s="25" t="s">
        <v>55</v>
      </c>
      <c r="O325" s="25" t="s">
        <v>2155</v>
      </c>
      <c r="P325" s="25" t="s">
        <v>2169</v>
      </c>
      <c r="Q325" s="25" t="s">
        <v>2170</v>
      </c>
      <c r="R325" s="25" t="s">
        <v>55</v>
      </c>
      <c r="S325" s="25" t="s">
        <v>2171</v>
      </c>
      <c r="T325" s="25" t="s">
        <v>2172</v>
      </c>
      <c r="U325" s="25" t="s">
        <v>55</v>
      </c>
      <c r="V325" s="26">
        <v>45961</v>
      </c>
      <c r="W325" s="25" t="s">
        <v>55</v>
      </c>
      <c r="X325" s="25" t="s">
        <v>2160</v>
      </c>
      <c r="Y325" s="25" t="s">
        <v>65</v>
      </c>
      <c r="Z325" s="25" t="s">
        <v>55</v>
      </c>
      <c r="AA325" s="25" t="s">
        <v>66</v>
      </c>
      <c r="AB325" s="25" t="s">
        <v>55</v>
      </c>
      <c r="AC325" s="25" t="s">
        <v>55</v>
      </c>
      <c r="AD325" s="25" t="s">
        <v>67</v>
      </c>
      <c r="AE325" s="25" t="s">
        <v>97</v>
      </c>
      <c r="AF325" s="25" t="s">
        <v>69</v>
      </c>
      <c r="AG325" s="25" t="s">
        <v>55</v>
      </c>
      <c r="AH325" s="25" t="s">
        <v>55</v>
      </c>
      <c r="AI325" s="25" t="s">
        <v>55</v>
      </c>
      <c r="AJ325" s="25" t="s">
        <v>55</v>
      </c>
      <c r="AK325" s="25" t="s">
        <v>55</v>
      </c>
      <c r="AL325" s="25" t="s">
        <v>55</v>
      </c>
      <c r="AM325" s="25" t="s">
        <v>55</v>
      </c>
      <c r="AN325" s="25" t="s">
        <v>55</v>
      </c>
      <c r="AO325" s="25" t="s">
        <v>55</v>
      </c>
      <c r="AP325" s="25" t="s">
        <v>55</v>
      </c>
      <c r="AQ325" s="25" t="s">
        <v>55</v>
      </c>
      <c r="AR325" s="25" t="s">
        <v>55</v>
      </c>
      <c r="AS325" s="25" t="s">
        <v>55</v>
      </c>
      <c r="AT325" s="25" t="s">
        <v>55</v>
      </c>
      <c r="AU325" s="25" t="s">
        <v>55</v>
      </c>
      <c r="AV325" s="25" t="s">
        <v>55</v>
      </c>
      <c r="AW325" s="26">
        <v>45919</v>
      </c>
      <c r="AX325" s="26">
        <v>45919</v>
      </c>
      <c r="AY325" s="25" t="s">
        <v>2161</v>
      </c>
      <c r="AZ325" s="20">
        <f t="shared" si="11"/>
        <v>21</v>
      </c>
      <c r="BA325" s="17" t="str">
        <f t="shared" si="12"/>
        <v>&lt; 3 months</v>
      </c>
      <c r="BB325" s="21" t="s">
        <v>66</v>
      </c>
    </row>
    <row r="326" spans="1:54" x14ac:dyDescent="0.35">
      <c r="A326" s="25" t="s">
        <v>2173</v>
      </c>
      <c r="B326" s="25" t="s">
        <v>347</v>
      </c>
      <c r="C326" s="25" t="s">
        <v>588</v>
      </c>
      <c r="D326" s="25" t="s">
        <v>118</v>
      </c>
      <c r="E326" s="25" t="s">
        <v>52</v>
      </c>
      <c r="F326" s="25" t="s">
        <v>1136</v>
      </c>
      <c r="G326" s="25" t="s">
        <v>126</v>
      </c>
      <c r="H326" s="25" t="s">
        <v>1137</v>
      </c>
      <c r="I326" s="25" t="s">
        <v>526</v>
      </c>
      <c r="J326" s="25" t="s">
        <v>153</v>
      </c>
      <c r="K326" s="25" t="s">
        <v>572</v>
      </c>
      <c r="L326" s="25" t="s">
        <v>57</v>
      </c>
      <c r="M326" s="25" t="s">
        <v>58</v>
      </c>
      <c r="N326" s="25" t="s">
        <v>55</v>
      </c>
      <c r="O326" s="25" t="s">
        <v>2174</v>
      </c>
      <c r="P326" s="25" t="s">
        <v>2175</v>
      </c>
      <c r="Q326" s="25" t="s">
        <v>2176</v>
      </c>
      <c r="R326" s="25" t="s">
        <v>55</v>
      </c>
      <c r="S326" s="25" t="s">
        <v>2177</v>
      </c>
      <c r="T326" s="25" t="s">
        <v>2178</v>
      </c>
      <c r="U326" s="25" t="s">
        <v>55</v>
      </c>
      <c r="V326" s="26">
        <v>46020</v>
      </c>
      <c r="W326" s="25" t="s">
        <v>55</v>
      </c>
      <c r="X326" s="25" t="s">
        <v>2179</v>
      </c>
      <c r="Y326" s="25" t="s">
        <v>65</v>
      </c>
      <c r="Z326" s="25" t="s">
        <v>55</v>
      </c>
      <c r="AA326" s="25" t="s">
        <v>221</v>
      </c>
      <c r="AB326" s="25" t="s">
        <v>55</v>
      </c>
      <c r="AC326" s="25" t="s">
        <v>55</v>
      </c>
      <c r="AD326" s="25" t="s">
        <v>67</v>
      </c>
      <c r="AE326" s="25" t="s">
        <v>97</v>
      </c>
      <c r="AF326" s="25" t="s">
        <v>69</v>
      </c>
      <c r="AG326" s="25" t="s">
        <v>55</v>
      </c>
      <c r="AH326" s="25" t="s">
        <v>55</v>
      </c>
      <c r="AI326" s="25" t="s">
        <v>55</v>
      </c>
      <c r="AJ326" s="25" t="s">
        <v>55</v>
      </c>
      <c r="AK326" s="25" t="s">
        <v>55</v>
      </c>
      <c r="AL326" s="25" t="s">
        <v>55</v>
      </c>
      <c r="AM326" s="25" t="s">
        <v>55</v>
      </c>
      <c r="AN326" s="25" t="s">
        <v>55</v>
      </c>
      <c r="AO326" s="25" t="s">
        <v>55</v>
      </c>
      <c r="AP326" s="25" t="s">
        <v>55</v>
      </c>
      <c r="AQ326" s="25" t="s">
        <v>55</v>
      </c>
      <c r="AR326" s="25" t="s">
        <v>55</v>
      </c>
      <c r="AS326" s="25" t="s">
        <v>55</v>
      </c>
      <c r="AT326" s="25" t="s">
        <v>55</v>
      </c>
      <c r="AU326" s="25" t="s">
        <v>55</v>
      </c>
      <c r="AV326" s="25" t="s">
        <v>55</v>
      </c>
      <c r="AW326" s="26">
        <v>45917</v>
      </c>
      <c r="AX326" s="26">
        <v>45917</v>
      </c>
      <c r="AY326" s="25" t="s">
        <v>2161</v>
      </c>
      <c r="AZ326" s="20">
        <f t="shared" si="11"/>
        <v>-38</v>
      </c>
      <c r="BA326" s="17" t="e">
        <f t="shared" si="12"/>
        <v>#N/A</v>
      </c>
      <c r="BB326" s="21" t="s">
        <v>335</v>
      </c>
    </row>
    <row r="327" spans="1:54" x14ac:dyDescent="0.35">
      <c r="A327" s="25" t="s">
        <v>2180</v>
      </c>
      <c r="B327" s="25" t="s">
        <v>347</v>
      </c>
      <c r="C327" s="25" t="s">
        <v>588</v>
      </c>
      <c r="D327" s="25" t="s">
        <v>118</v>
      </c>
      <c r="E327" s="25" t="s">
        <v>52</v>
      </c>
      <c r="F327" s="25" t="s">
        <v>2030</v>
      </c>
      <c r="G327" s="25" t="s">
        <v>126</v>
      </c>
      <c r="H327" s="25" t="s">
        <v>157</v>
      </c>
      <c r="I327" s="25" t="s">
        <v>121</v>
      </c>
      <c r="J327" s="25" t="s">
        <v>562</v>
      </c>
      <c r="K327" s="25" t="s">
        <v>594</v>
      </c>
      <c r="L327" s="25" t="s">
        <v>103</v>
      </c>
      <c r="M327" s="25" t="s">
        <v>96</v>
      </c>
      <c r="N327" s="25" t="s">
        <v>55</v>
      </c>
      <c r="O327" s="25" t="s">
        <v>2181</v>
      </c>
      <c r="P327" s="25" t="s">
        <v>2182</v>
      </c>
      <c r="Q327" s="25" t="s">
        <v>2183</v>
      </c>
      <c r="R327" s="25" t="s">
        <v>55</v>
      </c>
      <c r="S327" s="25" t="s">
        <v>2184</v>
      </c>
      <c r="T327" s="25" t="s">
        <v>2185</v>
      </c>
      <c r="U327" s="25" t="s">
        <v>63</v>
      </c>
      <c r="V327" s="26">
        <v>46053</v>
      </c>
      <c r="W327" s="25" t="s">
        <v>55</v>
      </c>
      <c r="X327" s="25" t="s">
        <v>2186</v>
      </c>
      <c r="Y327" s="25" t="s">
        <v>65</v>
      </c>
      <c r="Z327" s="25" t="s">
        <v>55</v>
      </c>
      <c r="AA327" s="25" t="s">
        <v>155</v>
      </c>
      <c r="AB327" s="25" t="s">
        <v>55</v>
      </c>
      <c r="AC327" s="25" t="s">
        <v>55</v>
      </c>
      <c r="AD327" s="25" t="s">
        <v>67</v>
      </c>
      <c r="AE327" s="25" t="s">
        <v>97</v>
      </c>
      <c r="AF327" s="25" t="s">
        <v>98</v>
      </c>
      <c r="AG327" s="25" t="s">
        <v>55</v>
      </c>
      <c r="AH327" s="25" t="s">
        <v>55</v>
      </c>
      <c r="AI327" s="25" t="s">
        <v>55</v>
      </c>
      <c r="AJ327" s="25" t="s">
        <v>55</v>
      </c>
      <c r="AK327" s="25" t="s">
        <v>55</v>
      </c>
      <c r="AL327" s="25" t="s">
        <v>55</v>
      </c>
      <c r="AM327" s="25" t="s">
        <v>55</v>
      </c>
      <c r="AN327" s="25" t="s">
        <v>55</v>
      </c>
      <c r="AO327" s="25" t="s">
        <v>55</v>
      </c>
      <c r="AP327" s="25" t="s">
        <v>55</v>
      </c>
      <c r="AQ327" s="25" t="s">
        <v>55</v>
      </c>
      <c r="AR327" s="25" t="s">
        <v>55</v>
      </c>
      <c r="AS327" s="25" t="s">
        <v>55</v>
      </c>
      <c r="AT327" s="25" t="s">
        <v>55</v>
      </c>
      <c r="AU327" s="25" t="s">
        <v>55</v>
      </c>
      <c r="AV327" s="25" t="s">
        <v>55</v>
      </c>
      <c r="AW327" s="26">
        <v>45938</v>
      </c>
      <c r="AX327" s="26">
        <v>45939</v>
      </c>
      <c r="AY327" s="25" t="s">
        <v>2161</v>
      </c>
      <c r="AZ327" s="20">
        <f t="shared" si="11"/>
        <v>-71</v>
      </c>
      <c r="BA327" s="17" t="e">
        <f t="shared" si="12"/>
        <v>#N/A</v>
      </c>
      <c r="BB327" s="21" t="s">
        <v>335</v>
      </c>
    </row>
    <row r="328" spans="1:54" x14ac:dyDescent="0.35">
      <c r="A328" s="25" t="s">
        <v>2187</v>
      </c>
      <c r="B328" s="25" t="s">
        <v>347</v>
      </c>
      <c r="C328" s="25" t="s">
        <v>588</v>
      </c>
      <c r="D328" s="25" t="s">
        <v>118</v>
      </c>
      <c r="E328" s="25" t="s">
        <v>52</v>
      </c>
      <c r="F328" s="25" t="s">
        <v>2030</v>
      </c>
      <c r="G328" s="25" t="s">
        <v>126</v>
      </c>
      <c r="H328" s="25" t="s">
        <v>157</v>
      </c>
      <c r="I328" s="25" t="s">
        <v>119</v>
      </c>
      <c r="J328" s="25" t="s">
        <v>2188</v>
      </c>
      <c r="K328" s="25" t="s">
        <v>544</v>
      </c>
      <c r="L328" s="25" t="s">
        <v>57</v>
      </c>
      <c r="M328" s="25" t="s">
        <v>1386</v>
      </c>
      <c r="N328" s="25" t="s">
        <v>55</v>
      </c>
      <c r="O328" s="25" t="s">
        <v>2181</v>
      </c>
      <c r="P328" s="25" t="s">
        <v>2189</v>
      </c>
      <c r="Q328" s="25" t="s">
        <v>2190</v>
      </c>
      <c r="R328" s="25" t="s">
        <v>55</v>
      </c>
      <c r="S328" s="25" t="s">
        <v>2191</v>
      </c>
      <c r="T328" s="25" t="s">
        <v>2192</v>
      </c>
      <c r="U328" s="25" t="s">
        <v>63</v>
      </c>
      <c r="V328" s="26">
        <v>45991</v>
      </c>
      <c r="W328" s="25" t="s">
        <v>55</v>
      </c>
      <c r="X328" s="25" t="s">
        <v>2186</v>
      </c>
      <c r="Y328" s="25" t="s">
        <v>65</v>
      </c>
      <c r="Z328" s="25" t="s">
        <v>55</v>
      </c>
      <c r="AA328" s="25" t="s">
        <v>152</v>
      </c>
      <c r="AB328" s="25" t="s">
        <v>55</v>
      </c>
      <c r="AC328" s="25" t="s">
        <v>55</v>
      </c>
      <c r="AD328" s="25" t="s">
        <v>67</v>
      </c>
      <c r="AE328" s="25" t="s">
        <v>97</v>
      </c>
      <c r="AF328" s="25" t="s">
        <v>1238</v>
      </c>
      <c r="AG328" s="25" t="s">
        <v>55</v>
      </c>
      <c r="AH328" s="25" t="s">
        <v>55</v>
      </c>
      <c r="AI328" s="25" t="s">
        <v>55</v>
      </c>
      <c r="AJ328" s="25" t="s">
        <v>55</v>
      </c>
      <c r="AK328" s="25" t="s">
        <v>55</v>
      </c>
      <c r="AL328" s="25" t="s">
        <v>55</v>
      </c>
      <c r="AM328" s="25" t="s">
        <v>55</v>
      </c>
      <c r="AN328" s="25" t="s">
        <v>55</v>
      </c>
      <c r="AO328" s="25" t="s">
        <v>55</v>
      </c>
      <c r="AP328" s="25" t="s">
        <v>55</v>
      </c>
      <c r="AQ328" s="25" t="s">
        <v>55</v>
      </c>
      <c r="AR328" s="25" t="s">
        <v>55</v>
      </c>
      <c r="AS328" s="25" t="s">
        <v>55</v>
      </c>
      <c r="AT328" s="25" t="s">
        <v>55</v>
      </c>
      <c r="AU328" s="25" t="s">
        <v>55</v>
      </c>
      <c r="AV328" s="25" t="s">
        <v>55</v>
      </c>
      <c r="AW328" s="26">
        <v>45938</v>
      </c>
      <c r="AX328" s="26">
        <v>45939</v>
      </c>
      <c r="AY328" s="25" t="s">
        <v>2161</v>
      </c>
      <c r="AZ328" s="20">
        <f t="shared" si="11"/>
        <v>-9</v>
      </c>
      <c r="BA328" s="17" t="e">
        <f t="shared" si="12"/>
        <v>#N/A</v>
      </c>
      <c r="BB328" s="21" t="s">
        <v>335</v>
      </c>
    </row>
    <row r="329" spans="1:54" x14ac:dyDescent="0.35">
      <c r="A329" s="25" t="s">
        <v>2193</v>
      </c>
      <c r="B329" s="25" t="s">
        <v>347</v>
      </c>
      <c r="C329" s="25" t="s">
        <v>588</v>
      </c>
      <c r="D329" s="25" t="s">
        <v>118</v>
      </c>
      <c r="E329" s="25" t="s">
        <v>52</v>
      </c>
      <c r="F329" s="25" t="s">
        <v>2030</v>
      </c>
      <c r="G329" s="25" t="s">
        <v>126</v>
      </c>
      <c r="H329" s="25" t="s">
        <v>157</v>
      </c>
      <c r="I329" s="25" t="s">
        <v>526</v>
      </c>
      <c r="J329" s="25" t="s">
        <v>153</v>
      </c>
      <c r="K329" s="25" t="s">
        <v>572</v>
      </c>
      <c r="L329" s="25" t="s">
        <v>57</v>
      </c>
      <c r="M329" s="25" t="s">
        <v>58</v>
      </c>
      <c r="N329" s="25" t="s">
        <v>55</v>
      </c>
      <c r="O329" s="25" t="s">
        <v>2181</v>
      </c>
      <c r="P329" s="25" t="s">
        <v>2194</v>
      </c>
      <c r="Q329" s="25" t="s">
        <v>2195</v>
      </c>
      <c r="R329" s="25" t="s">
        <v>55</v>
      </c>
      <c r="S329" s="25" t="s">
        <v>2196</v>
      </c>
      <c r="T329" s="25" t="s">
        <v>2197</v>
      </c>
      <c r="U329" s="25" t="s">
        <v>63</v>
      </c>
      <c r="V329" s="26">
        <v>45991</v>
      </c>
      <c r="W329" s="25" t="s">
        <v>55</v>
      </c>
      <c r="X329" s="25" t="s">
        <v>2186</v>
      </c>
      <c r="Y329" s="25" t="s">
        <v>65</v>
      </c>
      <c r="Z329" s="25" t="s">
        <v>55</v>
      </c>
      <c r="AA329" s="25" t="s">
        <v>152</v>
      </c>
      <c r="AB329" s="25" t="s">
        <v>55</v>
      </c>
      <c r="AC329" s="25" t="s">
        <v>55</v>
      </c>
      <c r="AD329" s="25" t="s">
        <v>67</v>
      </c>
      <c r="AE329" s="25" t="s">
        <v>97</v>
      </c>
      <c r="AF329" s="25" t="s">
        <v>69</v>
      </c>
      <c r="AG329" s="25" t="s">
        <v>55</v>
      </c>
      <c r="AH329" s="25" t="s">
        <v>55</v>
      </c>
      <c r="AI329" s="25" t="s">
        <v>55</v>
      </c>
      <c r="AJ329" s="25" t="s">
        <v>55</v>
      </c>
      <c r="AK329" s="25" t="s">
        <v>55</v>
      </c>
      <c r="AL329" s="25" t="s">
        <v>55</v>
      </c>
      <c r="AM329" s="25" t="s">
        <v>55</v>
      </c>
      <c r="AN329" s="25" t="s">
        <v>55</v>
      </c>
      <c r="AO329" s="25" t="s">
        <v>55</v>
      </c>
      <c r="AP329" s="25" t="s">
        <v>55</v>
      </c>
      <c r="AQ329" s="25" t="s">
        <v>55</v>
      </c>
      <c r="AR329" s="25" t="s">
        <v>55</v>
      </c>
      <c r="AS329" s="25" t="s">
        <v>55</v>
      </c>
      <c r="AT329" s="25" t="s">
        <v>55</v>
      </c>
      <c r="AU329" s="25" t="s">
        <v>55</v>
      </c>
      <c r="AV329" s="25" t="s">
        <v>55</v>
      </c>
      <c r="AW329" s="26">
        <v>45938</v>
      </c>
      <c r="AX329" s="26">
        <v>45939</v>
      </c>
      <c r="AY329" s="25" t="s">
        <v>2161</v>
      </c>
      <c r="AZ329" s="20">
        <f t="shared" si="11"/>
        <v>-9</v>
      </c>
      <c r="BA329" s="17" t="e">
        <f t="shared" si="12"/>
        <v>#N/A</v>
      </c>
      <c r="BB329" s="21" t="s">
        <v>335</v>
      </c>
    </row>
    <row r="330" spans="1:54" x14ac:dyDescent="0.35">
      <c r="A330" s="25" t="s">
        <v>2198</v>
      </c>
      <c r="B330" s="25" t="s">
        <v>347</v>
      </c>
      <c r="C330" s="25" t="s">
        <v>588</v>
      </c>
      <c r="D330" s="25" t="s">
        <v>118</v>
      </c>
      <c r="E330" s="25" t="s">
        <v>52</v>
      </c>
      <c r="F330" s="25" t="s">
        <v>2199</v>
      </c>
      <c r="G330" s="25" t="s">
        <v>126</v>
      </c>
      <c r="H330" s="25" t="s">
        <v>138</v>
      </c>
      <c r="I330" s="25" t="s">
        <v>121</v>
      </c>
      <c r="J330" s="25" t="s">
        <v>223</v>
      </c>
      <c r="K330" s="25" t="s">
        <v>564</v>
      </c>
      <c r="L330" s="25" t="s">
        <v>57</v>
      </c>
      <c r="M330" s="25" t="s">
        <v>154</v>
      </c>
      <c r="N330" s="25" t="s">
        <v>55</v>
      </c>
      <c r="O330" s="25" t="s">
        <v>2200</v>
      </c>
      <c r="P330" s="25" t="s">
        <v>2201</v>
      </c>
      <c r="Q330" s="25" t="s">
        <v>2202</v>
      </c>
      <c r="R330" s="25" t="s">
        <v>55</v>
      </c>
      <c r="S330" s="25" t="s">
        <v>2203</v>
      </c>
      <c r="T330" s="25" t="s">
        <v>2204</v>
      </c>
      <c r="U330" s="25" t="s">
        <v>63</v>
      </c>
      <c r="V330" s="26">
        <v>46023</v>
      </c>
      <c r="W330" s="25" t="s">
        <v>55</v>
      </c>
      <c r="X330" s="25" t="s">
        <v>2205</v>
      </c>
      <c r="Y330" s="25" t="s">
        <v>65</v>
      </c>
      <c r="Z330" s="25" t="s">
        <v>55</v>
      </c>
      <c r="AA330" s="25" t="s">
        <v>221</v>
      </c>
      <c r="AB330" s="25" t="s">
        <v>55</v>
      </c>
      <c r="AC330" s="25" t="s">
        <v>55</v>
      </c>
      <c r="AD330" s="25" t="s">
        <v>67</v>
      </c>
      <c r="AE330" s="25" t="s">
        <v>97</v>
      </c>
      <c r="AF330" s="25" t="s">
        <v>156</v>
      </c>
      <c r="AG330" s="25" t="s">
        <v>55</v>
      </c>
      <c r="AH330" s="25" t="s">
        <v>55</v>
      </c>
      <c r="AI330" s="25" t="s">
        <v>55</v>
      </c>
      <c r="AJ330" s="25" t="s">
        <v>55</v>
      </c>
      <c r="AK330" s="25" t="s">
        <v>55</v>
      </c>
      <c r="AL330" s="25" t="s">
        <v>55</v>
      </c>
      <c r="AM330" s="25" t="s">
        <v>55</v>
      </c>
      <c r="AN330" s="25" t="s">
        <v>55</v>
      </c>
      <c r="AO330" s="25" t="s">
        <v>55</v>
      </c>
      <c r="AP330" s="25" t="s">
        <v>55</v>
      </c>
      <c r="AQ330" s="25" t="s">
        <v>55</v>
      </c>
      <c r="AR330" s="25" t="s">
        <v>55</v>
      </c>
      <c r="AS330" s="25" t="s">
        <v>55</v>
      </c>
      <c r="AT330" s="25" t="s">
        <v>55</v>
      </c>
      <c r="AU330" s="25" t="s">
        <v>55</v>
      </c>
      <c r="AV330" s="25" t="s">
        <v>55</v>
      </c>
      <c r="AW330" s="26">
        <v>45909</v>
      </c>
      <c r="AX330" s="26">
        <v>45945</v>
      </c>
      <c r="AY330" s="25" t="s">
        <v>2161</v>
      </c>
      <c r="AZ330" s="20">
        <f t="shared" ref="AZ330:AZ332" si="13">$AZ$2-V330</f>
        <v>-41</v>
      </c>
      <c r="BA330" s="17" t="e">
        <f t="shared" ref="BA330:BA332" si="14">VLOOKUP(AZ330,$BE$2:$BF$7,2,TRUE)</f>
        <v>#N/A</v>
      </c>
      <c r="BB330" s="21" t="s">
        <v>335</v>
      </c>
    </row>
    <row r="331" spans="1:54" x14ac:dyDescent="0.35">
      <c r="A331" s="25" t="s">
        <v>2206</v>
      </c>
      <c r="B331" s="25" t="s">
        <v>347</v>
      </c>
      <c r="C331" s="25" t="s">
        <v>588</v>
      </c>
      <c r="D331" s="25" t="s">
        <v>118</v>
      </c>
      <c r="E331" s="25" t="s">
        <v>52</v>
      </c>
      <c r="F331" s="25" t="s">
        <v>2199</v>
      </c>
      <c r="G331" s="25" t="s">
        <v>126</v>
      </c>
      <c r="H331" s="25" t="s">
        <v>138</v>
      </c>
      <c r="I331" s="25" t="s">
        <v>101</v>
      </c>
      <c r="J331" s="25" t="s">
        <v>253</v>
      </c>
      <c r="K331" s="25" t="s">
        <v>868</v>
      </c>
      <c r="L331" s="25" t="s">
        <v>103</v>
      </c>
      <c r="M331" s="25" t="s">
        <v>139</v>
      </c>
      <c r="N331" s="25" t="s">
        <v>55</v>
      </c>
      <c r="O331" s="25" t="s">
        <v>2200</v>
      </c>
      <c r="P331" s="25" t="s">
        <v>2207</v>
      </c>
      <c r="Q331" s="25" t="s">
        <v>2208</v>
      </c>
      <c r="R331" s="25" t="s">
        <v>55</v>
      </c>
      <c r="S331" s="25" t="s">
        <v>2209</v>
      </c>
      <c r="T331" s="25" t="s">
        <v>2210</v>
      </c>
      <c r="U331" s="25" t="s">
        <v>132</v>
      </c>
      <c r="V331" s="26">
        <v>46022</v>
      </c>
      <c r="W331" s="25" t="s">
        <v>55</v>
      </c>
      <c r="X331" s="25" t="s">
        <v>2205</v>
      </c>
      <c r="Y331" s="25" t="s">
        <v>65</v>
      </c>
      <c r="Z331" s="25" t="s">
        <v>55</v>
      </c>
      <c r="AA331" s="25" t="s">
        <v>221</v>
      </c>
      <c r="AB331" s="25" t="s">
        <v>55</v>
      </c>
      <c r="AC331" s="25" t="s">
        <v>55</v>
      </c>
      <c r="AD331" s="25" t="s">
        <v>67</v>
      </c>
      <c r="AE331" s="25" t="s">
        <v>97</v>
      </c>
      <c r="AF331" s="25" t="s">
        <v>98</v>
      </c>
      <c r="AG331" s="25" t="s">
        <v>55</v>
      </c>
      <c r="AH331" s="25" t="s">
        <v>55</v>
      </c>
      <c r="AI331" s="25" t="s">
        <v>55</v>
      </c>
      <c r="AJ331" s="25" t="s">
        <v>55</v>
      </c>
      <c r="AK331" s="25" t="s">
        <v>55</v>
      </c>
      <c r="AL331" s="25" t="s">
        <v>55</v>
      </c>
      <c r="AM331" s="25" t="s">
        <v>55</v>
      </c>
      <c r="AN331" s="25" t="s">
        <v>55</v>
      </c>
      <c r="AO331" s="25" t="s">
        <v>55</v>
      </c>
      <c r="AP331" s="25" t="s">
        <v>55</v>
      </c>
      <c r="AQ331" s="25" t="s">
        <v>55</v>
      </c>
      <c r="AR331" s="25" t="s">
        <v>55</v>
      </c>
      <c r="AS331" s="25" t="s">
        <v>55</v>
      </c>
      <c r="AT331" s="25" t="s">
        <v>55</v>
      </c>
      <c r="AU331" s="25" t="s">
        <v>55</v>
      </c>
      <c r="AV331" s="25" t="s">
        <v>55</v>
      </c>
      <c r="AW331" s="26">
        <v>45923</v>
      </c>
      <c r="AX331" s="26">
        <v>45945</v>
      </c>
      <c r="AY331" s="25" t="s">
        <v>2161</v>
      </c>
      <c r="AZ331" s="20">
        <f t="shared" si="13"/>
        <v>-40</v>
      </c>
      <c r="BA331" s="17" t="e">
        <f t="shared" si="14"/>
        <v>#N/A</v>
      </c>
      <c r="BB331" s="21" t="s">
        <v>335</v>
      </c>
    </row>
    <row r="332" spans="1:54" x14ac:dyDescent="0.35">
      <c r="A332" s="25" t="s">
        <v>2211</v>
      </c>
      <c r="B332" s="25" t="s">
        <v>347</v>
      </c>
      <c r="C332" s="25" t="s">
        <v>588</v>
      </c>
      <c r="D332" s="25" t="s">
        <v>118</v>
      </c>
      <c r="E332" s="25" t="s">
        <v>52</v>
      </c>
      <c r="F332" s="25" t="s">
        <v>2199</v>
      </c>
      <c r="G332" s="25" t="s">
        <v>126</v>
      </c>
      <c r="H332" s="25" t="s">
        <v>138</v>
      </c>
      <c r="I332" s="25" t="s">
        <v>526</v>
      </c>
      <c r="J332" s="25" t="s">
        <v>2212</v>
      </c>
      <c r="K332" s="25" t="s">
        <v>572</v>
      </c>
      <c r="L332" s="25" t="s">
        <v>57</v>
      </c>
      <c r="M332" s="25" t="s">
        <v>58</v>
      </c>
      <c r="N332" s="25" t="s">
        <v>55</v>
      </c>
      <c r="O332" s="25" t="s">
        <v>2200</v>
      </c>
      <c r="P332" s="25" t="s">
        <v>2213</v>
      </c>
      <c r="Q332" s="25" t="s">
        <v>2214</v>
      </c>
      <c r="R332" s="25" t="s">
        <v>55</v>
      </c>
      <c r="S332" s="25" t="s">
        <v>2215</v>
      </c>
      <c r="T332" s="25" t="s">
        <v>2216</v>
      </c>
      <c r="U332" s="25" t="s">
        <v>63</v>
      </c>
      <c r="V332" s="26">
        <v>46006</v>
      </c>
      <c r="W332" s="25" t="s">
        <v>55</v>
      </c>
      <c r="X332" s="25" t="s">
        <v>2205</v>
      </c>
      <c r="Y332" s="25" t="s">
        <v>65</v>
      </c>
      <c r="Z332" s="25" t="s">
        <v>55</v>
      </c>
      <c r="AA332" s="25" t="s">
        <v>152</v>
      </c>
      <c r="AB332" s="25" t="s">
        <v>55</v>
      </c>
      <c r="AC332" s="25" t="s">
        <v>55</v>
      </c>
      <c r="AD332" s="25" t="s">
        <v>67</v>
      </c>
      <c r="AE332" s="25" t="s">
        <v>97</v>
      </c>
      <c r="AF332" s="25" t="s">
        <v>69</v>
      </c>
      <c r="AG332" s="25" t="s">
        <v>55</v>
      </c>
      <c r="AH332" s="25" t="s">
        <v>55</v>
      </c>
      <c r="AI332" s="25" t="s">
        <v>55</v>
      </c>
      <c r="AJ332" s="25" t="s">
        <v>55</v>
      </c>
      <c r="AK332" s="25" t="s">
        <v>55</v>
      </c>
      <c r="AL332" s="25" t="s">
        <v>55</v>
      </c>
      <c r="AM332" s="25" t="s">
        <v>55</v>
      </c>
      <c r="AN332" s="25" t="s">
        <v>55</v>
      </c>
      <c r="AO332" s="25" t="s">
        <v>55</v>
      </c>
      <c r="AP332" s="25" t="s">
        <v>55</v>
      </c>
      <c r="AQ332" s="25" t="s">
        <v>55</v>
      </c>
      <c r="AR332" s="25" t="s">
        <v>55</v>
      </c>
      <c r="AS332" s="25" t="s">
        <v>55</v>
      </c>
      <c r="AT332" s="25" t="s">
        <v>55</v>
      </c>
      <c r="AU332" s="25" t="s">
        <v>55</v>
      </c>
      <c r="AV332" s="25" t="s">
        <v>55</v>
      </c>
      <c r="AW332" s="26">
        <v>45930</v>
      </c>
      <c r="AX332" s="26">
        <v>45945</v>
      </c>
      <c r="AY332" s="25" t="s">
        <v>2161</v>
      </c>
      <c r="AZ332" s="20">
        <f t="shared" si="13"/>
        <v>-24</v>
      </c>
      <c r="BA332" s="17" t="e">
        <f t="shared" si="14"/>
        <v>#N/A</v>
      </c>
      <c r="BB332" s="21" t="s">
        <v>335</v>
      </c>
    </row>
    <row r="333" spans="1:54" x14ac:dyDescent="0.35">
      <c r="A333" s="25" t="s">
        <v>2217</v>
      </c>
      <c r="B333" s="25" t="s">
        <v>347</v>
      </c>
      <c r="C333" s="25" t="s">
        <v>588</v>
      </c>
      <c r="D333" s="25" t="s">
        <v>465</v>
      </c>
      <c r="E333" s="25" t="s">
        <v>52</v>
      </c>
      <c r="F333" s="25" t="s">
        <v>2218</v>
      </c>
      <c r="G333" s="25" t="s">
        <v>606</v>
      </c>
      <c r="H333" s="25" t="s">
        <v>607</v>
      </c>
      <c r="I333" s="25" t="s">
        <v>86</v>
      </c>
      <c r="J333" s="25" t="s">
        <v>2219</v>
      </c>
      <c r="K333" s="25" t="s">
        <v>584</v>
      </c>
      <c r="L333" s="25" t="s">
        <v>57</v>
      </c>
      <c r="M333" s="25" t="s">
        <v>2220</v>
      </c>
      <c r="N333" s="25" t="s">
        <v>55</v>
      </c>
      <c r="O333" s="25" t="s">
        <v>2221</v>
      </c>
      <c r="P333" s="25" t="s">
        <v>2222</v>
      </c>
      <c r="Q333" s="25" t="s">
        <v>2223</v>
      </c>
      <c r="R333" s="25" t="s">
        <v>63</v>
      </c>
      <c r="S333" s="25" t="s">
        <v>2224</v>
      </c>
      <c r="T333" s="25" t="s">
        <v>2225</v>
      </c>
      <c r="U333" s="25" t="s">
        <v>132</v>
      </c>
      <c r="V333" s="26">
        <v>45966</v>
      </c>
      <c r="W333" s="25" t="s">
        <v>55</v>
      </c>
      <c r="X333" s="25" t="s">
        <v>2226</v>
      </c>
      <c r="Y333" s="25" t="s">
        <v>65</v>
      </c>
      <c r="Z333" s="25" t="s">
        <v>55</v>
      </c>
      <c r="AA333" s="25" t="s">
        <v>66</v>
      </c>
      <c r="AB333" s="25" t="s">
        <v>55</v>
      </c>
      <c r="AC333" s="25" t="s">
        <v>55</v>
      </c>
      <c r="AD333" s="25" t="s">
        <v>67</v>
      </c>
      <c r="AE333" s="25" t="s">
        <v>97</v>
      </c>
      <c r="AF333" s="25" t="s">
        <v>1490</v>
      </c>
      <c r="AG333" s="25" t="s">
        <v>55</v>
      </c>
      <c r="AH333" s="25" t="s">
        <v>55</v>
      </c>
      <c r="AI333" s="25" t="s">
        <v>55</v>
      </c>
      <c r="AJ333" s="25" t="s">
        <v>55</v>
      </c>
      <c r="AK333" s="25" t="s">
        <v>55</v>
      </c>
      <c r="AL333" s="25" t="s">
        <v>55</v>
      </c>
      <c r="AM333" s="25" t="s">
        <v>55</v>
      </c>
      <c r="AN333" s="25" t="s">
        <v>55</v>
      </c>
      <c r="AO333" s="25" t="s">
        <v>55</v>
      </c>
      <c r="AP333" s="25" t="s">
        <v>55</v>
      </c>
      <c r="AQ333" s="25" t="s">
        <v>55</v>
      </c>
      <c r="AR333" s="25" t="s">
        <v>55</v>
      </c>
      <c r="AS333" s="25" t="s">
        <v>55</v>
      </c>
      <c r="AT333" s="25" t="s">
        <v>55</v>
      </c>
      <c r="AU333" s="25" t="s">
        <v>55</v>
      </c>
      <c r="AV333" s="25" t="s">
        <v>55</v>
      </c>
      <c r="AW333" s="26">
        <v>45919</v>
      </c>
      <c r="AX333" s="26">
        <v>45922</v>
      </c>
      <c r="AY333" s="25" t="s">
        <v>2161</v>
      </c>
      <c r="AZ333" s="20">
        <f t="shared" ref="AZ333:AZ334" si="15">$AZ$2-V333</f>
        <v>16</v>
      </c>
      <c r="BA333" s="17" t="str">
        <f t="shared" ref="BA333:BA334" si="16">VLOOKUP(AZ333,$BE$2:$BF$7,2,TRUE)</f>
        <v>&lt; 3 months</v>
      </c>
      <c r="BB333" s="21" t="s">
        <v>66</v>
      </c>
    </row>
    <row r="334" spans="1:54" x14ac:dyDescent="0.35">
      <c r="A334" s="25" t="s">
        <v>2227</v>
      </c>
      <c r="B334" s="25" t="s">
        <v>347</v>
      </c>
      <c r="C334" s="25" t="s">
        <v>588</v>
      </c>
      <c r="D334" s="25" t="s">
        <v>465</v>
      </c>
      <c r="E334" s="25" t="s">
        <v>52</v>
      </c>
      <c r="F334" s="25" t="s">
        <v>1105</v>
      </c>
      <c r="G334" s="25" t="s">
        <v>126</v>
      </c>
      <c r="H334" s="25" t="s">
        <v>127</v>
      </c>
      <c r="I334" s="25" t="s">
        <v>117</v>
      </c>
      <c r="J334" s="25" t="s">
        <v>153</v>
      </c>
      <c r="K334" s="25" t="s">
        <v>576</v>
      </c>
      <c r="L334" s="25" t="s">
        <v>103</v>
      </c>
      <c r="M334" s="25" t="s">
        <v>128</v>
      </c>
      <c r="N334" s="25" t="s">
        <v>55</v>
      </c>
      <c r="O334" s="25" t="s">
        <v>2228</v>
      </c>
      <c r="P334" s="25" t="s">
        <v>2229</v>
      </c>
      <c r="Q334" s="25" t="s">
        <v>2230</v>
      </c>
      <c r="R334" s="25" t="s">
        <v>63</v>
      </c>
      <c r="S334" s="25" t="s">
        <v>2231</v>
      </c>
      <c r="T334" s="25" t="s">
        <v>2232</v>
      </c>
      <c r="U334" s="25" t="s">
        <v>132</v>
      </c>
      <c r="V334" s="26">
        <v>46022</v>
      </c>
      <c r="W334" s="25" t="s">
        <v>55</v>
      </c>
      <c r="X334" s="25" t="s">
        <v>2233</v>
      </c>
      <c r="Y334" s="25" t="s">
        <v>65</v>
      </c>
      <c r="Z334" s="25" t="s">
        <v>55</v>
      </c>
      <c r="AA334" s="25" t="s">
        <v>221</v>
      </c>
      <c r="AB334" s="25" t="s">
        <v>55</v>
      </c>
      <c r="AC334" s="25" t="s">
        <v>55</v>
      </c>
      <c r="AD334" s="25" t="s">
        <v>67</v>
      </c>
      <c r="AE334" s="25" t="s">
        <v>97</v>
      </c>
      <c r="AF334" s="25" t="s">
        <v>69</v>
      </c>
      <c r="AG334" s="25" t="s">
        <v>55</v>
      </c>
      <c r="AH334" s="25" t="s">
        <v>55</v>
      </c>
      <c r="AI334" s="25" t="s">
        <v>55</v>
      </c>
      <c r="AJ334" s="25" t="s">
        <v>55</v>
      </c>
      <c r="AK334" s="25" t="s">
        <v>55</v>
      </c>
      <c r="AL334" s="25" t="s">
        <v>55</v>
      </c>
      <c r="AM334" s="25" t="s">
        <v>55</v>
      </c>
      <c r="AN334" s="25" t="s">
        <v>55</v>
      </c>
      <c r="AO334" s="25" t="s">
        <v>55</v>
      </c>
      <c r="AP334" s="25" t="s">
        <v>55</v>
      </c>
      <c r="AQ334" s="25" t="s">
        <v>55</v>
      </c>
      <c r="AR334" s="25" t="s">
        <v>55</v>
      </c>
      <c r="AS334" s="25" t="s">
        <v>55</v>
      </c>
      <c r="AT334" s="25" t="s">
        <v>55</v>
      </c>
      <c r="AU334" s="25" t="s">
        <v>55</v>
      </c>
      <c r="AV334" s="25" t="s">
        <v>55</v>
      </c>
      <c r="AW334" s="26">
        <v>45925</v>
      </c>
      <c r="AX334" s="26">
        <v>45936</v>
      </c>
      <c r="AY334" s="25" t="s">
        <v>2161</v>
      </c>
      <c r="AZ334" s="20">
        <f t="shared" si="15"/>
        <v>-40</v>
      </c>
      <c r="BA334" s="17" t="e">
        <f t="shared" si="16"/>
        <v>#N/A</v>
      </c>
      <c r="BB334" s="21" t="s">
        <v>335</v>
      </c>
    </row>
    <row r="335" spans="1:54" x14ac:dyDescent="0.35">
      <c r="A335" s="25" t="s">
        <v>2234</v>
      </c>
      <c r="B335" s="25" t="s">
        <v>347</v>
      </c>
      <c r="C335" s="25" t="s">
        <v>588</v>
      </c>
      <c r="D335" s="25" t="s">
        <v>465</v>
      </c>
      <c r="E335" s="25" t="s">
        <v>52</v>
      </c>
      <c r="F335" s="25" t="s">
        <v>2235</v>
      </c>
      <c r="G335" s="25" t="s">
        <v>606</v>
      </c>
      <c r="H335" s="25" t="s">
        <v>607</v>
      </c>
      <c r="I335" s="25" t="s">
        <v>119</v>
      </c>
      <c r="J335" s="25" t="s">
        <v>2188</v>
      </c>
      <c r="K335" s="25" t="s">
        <v>1385</v>
      </c>
      <c r="L335" s="25" t="s">
        <v>57</v>
      </c>
      <c r="M335" s="25" t="s">
        <v>1386</v>
      </c>
      <c r="N335" s="25" t="s">
        <v>55</v>
      </c>
      <c r="O335" s="25" t="s">
        <v>2236</v>
      </c>
      <c r="P335" s="25" t="s">
        <v>2237</v>
      </c>
      <c r="Q335" s="25" t="s">
        <v>2238</v>
      </c>
      <c r="R335" s="25" t="s">
        <v>63</v>
      </c>
      <c r="S335" s="25" t="s">
        <v>2239</v>
      </c>
      <c r="T335" s="25" t="s">
        <v>2240</v>
      </c>
      <c r="U335" s="25" t="s">
        <v>63</v>
      </c>
      <c r="V335" s="26">
        <v>45961</v>
      </c>
      <c r="W335" s="25" t="s">
        <v>55</v>
      </c>
      <c r="X335" s="25" t="s">
        <v>2241</v>
      </c>
      <c r="Y335" s="25" t="s">
        <v>65</v>
      </c>
      <c r="Z335" s="25" t="s">
        <v>55</v>
      </c>
      <c r="AA335" s="25" t="s">
        <v>66</v>
      </c>
      <c r="AB335" s="25" t="s">
        <v>55</v>
      </c>
      <c r="AC335" s="25" t="s">
        <v>55</v>
      </c>
      <c r="AD335" s="25" t="s">
        <v>67</v>
      </c>
      <c r="AE335" s="25" t="s">
        <v>97</v>
      </c>
      <c r="AF335" s="25" t="s">
        <v>1238</v>
      </c>
      <c r="AG335" s="25" t="s">
        <v>55</v>
      </c>
      <c r="AH335" s="25" t="s">
        <v>55</v>
      </c>
      <c r="AI335" s="25" t="s">
        <v>55</v>
      </c>
      <c r="AJ335" s="25" t="s">
        <v>55</v>
      </c>
      <c r="AK335" s="25" t="s">
        <v>55</v>
      </c>
      <c r="AL335" s="25" t="s">
        <v>55</v>
      </c>
      <c r="AM335" s="25" t="s">
        <v>55</v>
      </c>
      <c r="AN335" s="25" t="s">
        <v>55</v>
      </c>
      <c r="AO335" s="25" t="s">
        <v>55</v>
      </c>
      <c r="AP335" s="25" t="s">
        <v>55</v>
      </c>
      <c r="AQ335" s="25" t="s">
        <v>55</v>
      </c>
      <c r="AR335" s="25" t="s">
        <v>55</v>
      </c>
      <c r="AS335" s="25" t="s">
        <v>55</v>
      </c>
      <c r="AT335" s="25" t="s">
        <v>55</v>
      </c>
      <c r="AU335" s="25" t="s">
        <v>55</v>
      </c>
      <c r="AV335" s="25" t="s">
        <v>55</v>
      </c>
      <c r="AW335" s="26">
        <v>45915</v>
      </c>
      <c r="AX335" s="26">
        <v>45919</v>
      </c>
      <c r="AY335" s="25" t="s">
        <v>2161</v>
      </c>
      <c r="AZ335" s="20">
        <f t="shared" ref="AZ335:AZ341" si="17">$AZ$2-V335</f>
        <v>21</v>
      </c>
      <c r="BA335" s="17" t="str">
        <f t="shared" ref="BA335:BA341" si="18">VLOOKUP(AZ335,$BE$2:$BF$7,2,TRUE)</f>
        <v>&lt; 3 months</v>
      </c>
      <c r="BB335" s="21" t="s">
        <v>66</v>
      </c>
    </row>
    <row r="336" spans="1:54" x14ac:dyDescent="0.35">
      <c r="A336" s="25" t="s">
        <v>2242</v>
      </c>
      <c r="B336" s="25" t="s">
        <v>347</v>
      </c>
      <c r="C336" s="25" t="s">
        <v>588</v>
      </c>
      <c r="D336" s="25" t="s">
        <v>465</v>
      </c>
      <c r="E336" s="25" t="s">
        <v>52</v>
      </c>
      <c r="F336" s="25" t="s">
        <v>1322</v>
      </c>
      <c r="G336" s="25" t="s">
        <v>126</v>
      </c>
      <c r="H336" s="25" t="s">
        <v>127</v>
      </c>
      <c r="I336" s="25" t="s">
        <v>117</v>
      </c>
      <c r="J336" s="25" t="s">
        <v>153</v>
      </c>
      <c r="K336" s="25" t="s">
        <v>572</v>
      </c>
      <c r="L336" s="25" t="s">
        <v>103</v>
      </c>
      <c r="M336" s="25" t="s">
        <v>128</v>
      </c>
      <c r="N336" s="25" t="s">
        <v>55</v>
      </c>
      <c r="O336" s="25" t="s">
        <v>2243</v>
      </c>
      <c r="P336" s="25" t="s">
        <v>2244</v>
      </c>
      <c r="Q336" s="25" t="s">
        <v>2245</v>
      </c>
      <c r="R336" s="25" t="s">
        <v>63</v>
      </c>
      <c r="S336" s="25" t="s">
        <v>2246</v>
      </c>
      <c r="T336" s="25" t="s">
        <v>2247</v>
      </c>
      <c r="U336" s="25" t="s">
        <v>132</v>
      </c>
      <c r="V336" s="26">
        <v>46112</v>
      </c>
      <c r="W336" s="25" t="s">
        <v>55</v>
      </c>
      <c r="X336" s="25" t="s">
        <v>2248</v>
      </c>
      <c r="Y336" s="25" t="s">
        <v>65</v>
      </c>
      <c r="Z336" s="25" t="s">
        <v>55</v>
      </c>
      <c r="AA336" s="25" t="s">
        <v>155</v>
      </c>
      <c r="AB336" s="25" t="s">
        <v>55</v>
      </c>
      <c r="AC336" s="25" t="s">
        <v>55</v>
      </c>
      <c r="AD336" s="25" t="s">
        <v>67</v>
      </c>
      <c r="AE336" s="25" t="s">
        <v>97</v>
      </c>
      <c r="AF336" s="25" t="s">
        <v>69</v>
      </c>
      <c r="AG336" s="25" t="s">
        <v>55</v>
      </c>
      <c r="AH336" s="25" t="s">
        <v>55</v>
      </c>
      <c r="AI336" s="25" t="s">
        <v>55</v>
      </c>
      <c r="AJ336" s="25" t="s">
        <v>55</v>
      </c>
      <c r="AK336" s="25" t="s">
        <v>55</v>
      </c>
      <c r="AL336" s="25" t="s">
        <v>55</v>
      </c>
      <c r="AM336" s="25" t="s">
        <v>55</v>
      </c>
      <c r="AN336" s="25" t="s">
        <v>55</v>
      </c>
      <c r="AO336" s="25" t="s">
        <v>55</v>
      </c>
      <c r="AP336" s="25" t="s">
        <v>55</v>
      </c>
      <c r="AQ336" s="25" t="s">
        <v>55</v>
      </c>
      <c r="AR336" s="25" t="s">
        <v>55</v>
      </c>
      <c r="AS336" s="25" t="s">
        <v>55</v>
      </c>
      <c r="AT336" s="25" t="s">
        <v>55</v>
      </c>
      <c r="AU336" s="25" t="s">
        <v>55</v>
      </c>
      <c r="AV336" s="25" t="s">
        <v>55</v>
      </c>
      <c r="AW336" s="26">
        <v>45910</v>
      </c>
      <c r="AX336" s="26">
        <v>45933</v>
      </c>
      <c r="AY336" s="25" t="s">
        <v>2161</v>
      </c>
      <c r="AZ336" s="20">
        <f t="shared" si="17"/>
        <v>-130</v>
      </c>
      <c r="BA336" s="17" t="e">
        <f t="shared" si="18"/>
        <v>#N/A</v>
      </c>
      <c r="BB336" s="21" t="s">
        <v>335</v>
      </c>
    </row>
    <row r="337" spans="1:54" x14ac:dyDescent="0.35">
      <c r="A337" s="25" t="s">
        <v>2249</v>
      </c>
      <c r="B337" s="25" t="s">
        <v>347</v>
      </c>
      <c r="C337" s="25" t="s">
        <v>588</v>
      </c>
      <c r="D337" s="25" t="s">
        <v>465</v>
      </c>
      <c r="E337" s="25" t="s">
        <v>52</v>
      </c>
      <c r="F337" s="25" t="s">
        <v>1322</v>
      </c>
      <c r="G337" s="25" t="s">
        <v>126</v>
      </c>
      <c r="H337" s="25" t="s">
        <v>127</v>
      </c>
      <c r="I337" s="25" t="s">
        <v>526</v>
      </c>
      <c r="J337" s="25" t="s">
        <v>153</v>
      </c>
      <c r="K337" s="25" t="s">
        <v>601</v>
      </c>
      <c r="L337" s="25" t="s">
        <v>57</v>
      </c>
      <c r="M337" s="25" t="s">
        <v>777</v>
      </c>
      <c r="N337" s="25" t="s">
        <v>55</v>
      </c>
      <c r="O337" s="25" t="s">
        <v>2243</v>
      </c>
      <c r="P337" s="25" t="s">
        <v>2250</v>
      </c>
      <c r="Q337" s="25" t="s">
        <v>2251</v>
      </c>
      <c r="R337" s="25" t="s">
        <v>63</v>
      </c>
      <c r="S337" s="25" t="s">
        <v>2252</v>
      </c>
      <c r="T337" s="25" t="s">
        <v>2253</v>
      </c>
      <c r="U337" s="25" t="s">
        <v>63</v>
      </c>
      <c r="V337" s="26">
        <v>46022</v>
      </c>
      <c r="W337" s="25" t="s">
        <v>55</v>
      </c>
      <c r="X337" s="25" t="s">
        <v>2254</v>
      </c>
      <c r="Y337" s="25" t="s">
        <v>65</v>
      </c>
      <c r="Z337" s="25" t="s">
        <v>55</v>
      </c>
      <c r="AA337" s="25" t="s">
        <v>221</v>
      </c>
      <c r="AB337" s="25" t="s">
        <v>55</v>
      </c>
      <c r="AC337" s="25" t="s">
        <v>55</v>
      </c>
      <c r="AD337" s="25" t="s">
        <v>67</v>
      </c>
      <c r="AE337" s="25" t="s">
        <v>97</v>
      </c>
      <c r="AF337" s="25" t="s">
        <v>779</v>
      </c>
      <c r="AG337" s="25" t="s">
        <v>55</v>
      </c>
      <c r="AH337" s="25" t="s">
        <v>55</v>
      </c>
      <c r="AI337" s="25" t="s">
        <v>55</v>
      </c>
      <c r="AJ337" s="25" t="s">
        <v>55</v>
      </c>
      <c r="AK337" s="25" t="s">
        <v>55</v>
      </c>
      <c r="AL337" s="25" t="s">
        <v>55</v>
      </c>
      <c r="AM337" s="25" t="s">
        <v>55</v>
      </c>
      <c r="AN337" s="25" t="s">
        <v>55</v>
      </c>
      <c r="AO337" s="25" t="s">
        <v>55</v>
      </c>
      <c r="AP337" s="25" t="s">
        <v>55</v>
      </c>
      <c r="AQ337" s="25" t="s">
        <v>55</v>
      </c>
      <c r="AR337" s="25" t="s">
        <v>55</v>
      </c>
      <c r="AS337" s="25" t="s">
        <v>55</v>
      </c>
      <c r="AT337" s="25" t="s">
        <v>55</v>
      </c>
      <c r="AU337" s="25" t="s">
        <v>55</v>
      </c>
      <c r="AV337" s="25" t="s">
        <v>55</v>
      </c>
      <c r="AW337" s="26">
        <v>45920</v>
      </c>
      <c r="AX337" s="26">
        <v>45933</v>
      </c>
      <c r="AY337" s="25" t="s">
        <v>2161</v>
      </c>
      <c r="AZ337" s="20">
        <f t="shared" si="17"/>
        <v>-40</v>
      </c>
      <c r="BA337" s="17" t="e">
        <f t="shared" si="18"/>
        <v>#N/A</v>
      </c>
      <c r="BB337" s="21" t="s">
        <v>335</v>
      </c>
    </row>
    <row r="338" spans="1:54" x14ac:dyDescent="0.35">
      <c r="A338" s="25" t="s">
        <v>2255</v>
      </c>
      <c r="B338" s="25" t="s">
        <v>347</v>
      </c>
      <c r="C338" s="25" t="s">
        <v>588</v>
      </c>
      <c r="D338" s="25" t="s">
        <v>465</v>
      </c>
      <c r="E338" s="25" t="s">
        <v>52</v>
      </c>
      <c r="F338" s="25" t="s">
        <v>1672</v>
      </c>
      <c r="G338" s="25" t="s">
        <v>493</v>
      </c>
      <c r="H338" s="25" t="s">
        <v>1729</v>
      </c>
      <c r="I338" s="25" t="s">
        <v>121</v>
      </c>
      <c r="J338" s="25" t="s">
        <v>223</v>
      </c>
      <c r="K338" s="25" t="s">
        <v>594</v>
      </c>
      <c r="L338" s="25" t="s">
        <v>103</v>
      </c>
      <c r="M338" s="25" t="s">
        <v>154</v>
      </c>
      <c r="N338" s="25" t="s">
        <v>55</v>
      </c>
      <c r="O338" s="25" t="s">
        <v>2256</v>
      </c>
      <c r="P338" s="25" t="s">
        <v>2257</v>
      </c>
      <c r="Q338" s="25" t="s">
        <v>2258</v>
      </c>
      <c r="R338" s="25" t="s">
        <v>63</v>
      </c>
      <c r="S338" s="25" t="s">
        <v>2259</v>
      </c>
      <c r="T338" s="25" t="s">
        <v>2260</v>
      </c>
      <c r="U338" s="25" t="s">
        <v>63</v>
      </c>
      <c r="V338" s="26">
        <v>46023</v>
      </c>
      <c r="W338" s="25" t="s">
        <v>55</v>
      </c>
      <c r="X338" s="25" t="s">
        <v>2261</v>
      </c>
      <c r="Y338" s="25" t="s">
        <v>65</v>
      </c>
      <c r="Z338" s="25" t="s">
        <v>55</v>
      </c>
      <c r="AA338" s="25" t="s">
        <v>221</v>
      </c>
      <c r="AB338" s="25" t="s">
        <v>55</v>
      </c>
      <c r="AC338" s="25" t="s">
        <v>55</v>
      </c>
      <c r="AD338" s="25" t="s">
        <v>67</v>
      </c>
      <c r="AE338" s="25" t="s">
        <v>97</v>
      </c>
      <c r="AF338" s="25" t="s">
        <v>156</v>
      </c>
      <c r="AG338" s="25" t="s">
        <v>55</v>
      </c>
      <c r="AH338" s="25" t="s">
        <v>55</v>
      </c>
      <c r="AI338" s="25" t="s">
        <v>55</v>
      </c>
      <c r="AJ338" s="25" t="s">
        <v>55</v>
      </c>
      <c r="AK338" s="25" t="s">
        <v>55</v>
      </c>
      <c r="AL338" s="25" t="s">
        <v>55</v>
      </c>
      <c r="AM338" s="25" t="s">
        <v>55</v>
      </c>
      <c r="AN338" s="25" t="s">
        <v>55</v>
      </c>
      <c r="AO338" s="25" t="s">
        <v>55</v>
      </c>
      <c r="AP338" s="25" t="s">
        <v>55</v>
      </c>
      <c r="AQ338" s="25" t="s">
        <v>55</v>
      </c>
      <c r="AR338" s="25" t="s">
        <v>55</v>
      </c>
      <c r="AS338" s="25" t="s">
        <v>55</v>
      </c>
      <c r="AT338" s="25" t="s">
        <v>55</v>
      </c>
      <c r="AU338" s="25" t="s">
        <v>55</v>
      </c>
      <c r="AV338" s="25" t="s">
        <v>55</v>
      </c>
      <c r="AW338" s="26">
        <v>45953</v>
      </c>
      <c r="AX338" s="26">
        <v>45953</v>
      </c>
      <c r="AY338" s="25" t="s">
        <v>2161</v>
      </c>
      <c r="AZ338" s="20">
        <f t="shared" si="17"/>
        <v>-41</v>
      </c>
      <c r="BA338" s="17" t="e">
        <f t="shared" si="18"/>
        <v>#N/A</v>
      </c>
      <c r="BB338" s="21" t="s">
        <v>335</v>
      </c>
    </row>
    <row r="339" spans="1:54" x14ac:dyDescent="0.35">
      <c r="A339" s="25" t="s">
        <v>2262</v>
      </c>
      <c r="B339" s="25" t="s">
        <v>347</v>
      </c>
      <c r="C339" s="25" t="s">
        <v>588</v>
      </c>
      <c r="D339" s="25" t="s">
        <v>465</v>
      </c>
      <c r="E339" s="25" t="s">
        <v>52</v>
      </c>
      <c r="F339" s="25" t="s">
        <v>2263</v>
      </c>
      <c r="G339" s="25" t="s">
        <v>126</v>
      </c>
      <c r="H339" s="25" t="s">
        <v>157</v>
      </c>
      <c r="I339" s="25" t="s">
        <v>121</v>
      </c>
      <c r="J339" s="25" t="s">
        <v>562</v>
      </c>
      <c r="K339" s="25" t="s">
        <v>594</v>
      </c>
      <c r="L339" s="25" t="s">
        <v>57</v>
      </c>
      <c r="M339" s="25" t="s">
        <v>96</v>
      </c>
      <c r="N339" s="25" t="s">
        <v>55</v>
      </c>
      <c r="O339" s="25" t="s">
        <v>2264</v>
      </c>
      <c r="P339" s="25" t="s">
        <v>2265</v>
      </c>
      <c r="Q339" s="25" t="s">
        <v>2266</v>
      </c>
      <c r="R339" s="25" t="s">
        <v>63</v>
      </c>
      <c r="S339" s="25" t="s">
        <v>2267</v>
      </c>
      <c r="T339" s="25" t="s">
        <v>2268</v>
      </c>
      <c r="U339" s="25" t="s">
        <v>63</v>
      </c>
      <c r="V339" s="26">
        <v>45991</v>
      </c>
      <c r="W339" s="25" t="s">
        <v>55</v>
      </c>
      <c r="X339" s="25" t="s">
        <v>2269</v>
      </c>
      <c r="Y339" s="25" t="s">
        <v>65</v>
      </c>
      <c r="Z339" s="25" t="s">
        <v>55</v>
      </c>
      <c r="AA339" s="25" t="s">
        <v>152</v>
      </c>
      <c r="AB339" s="25" t="s">
        <v>55</v>
      </c>
      <c r="AC339" s="25" t="s">
        <v>55</v>
      </c>
      <c r="AD339" s="25" t="s">
        <v>67</v>
      </c>
      <c r="AE339" s="25" t="s">
        <v>97</v>
      </c>
      <c r="AF339" s="25" t="s">
        <v>98</v>
      </c>
      <c r="AG339" s="25" t="s">
        <v>55</v>
      </c>
      <c r="AH339" s="25" t="s">
        <v>55</v>
      </c>
      <c r="AI339" s="25" t="s">
        <v>55</v>
      </c>
      <c r="AJ339" s="25" t="s">
        <v>55</v>
      </c>
      <c r="AK339" s="25" t="s">
        <v>55</v>
      </c>
      <c r="AL339" s="25" t="s">
        <v>55</v>
      </c>
      <c r="AM339" s="25" t="s">
        <v>55</v>
      </c>
      <c r="AN339" s="25" t="s">
        <v>55</v>
      </c>
      <c r="AO339" s="25" t="s">
        <v>55</v>
      </c>
      <c r="AP339" s="25" t="s">
        <v>55</v>
      </c>
      <c r="AQ339" s="25" t="s">
        <v>55</v>
      </c>
      <c r="AR339" s="25" t="s">
        <v>55</v>
      </c>
      <c r="AS339" s="25" t="s">
        <v>55</v>
      </c>
      <c r="AT339" s="25" t="s">
        <v>55</v>
      </c>
      <c r="AU339" s="25" t="s">
        <v>55</v>
      </c>
      <c r="AV339" s="25" t="s">
        <v>55</v>
      </c>
      <c r="AW339" s="26">
        <v>45928</v>
      </c>
      <c r="AX339" s="26">
        <v>45929</v>
      </c>
      <c r="AY339" s="25" t="s">
        <v>2161</v>
      </c>
      <c r="AZ339" s="20">
        <f t="shared" si="17"/>
        <v>-9</v>
      </c>
      <c r="BA339" s="17" t="e">
        <f t="shared" si="18"/>
        <v>#N/A</v>
      </c>
      <c r="BB339" s="21" t="s">
        <v>335</v>
      </c>
    </row>
    <row r="340" spans="1:54" x14ac:dyDescent="0.35">
      <c r="A340" s="25" t="s">
        <v>2270</v>
      </c>
      <c r="B340" s="25" t="s">
        <v>347</v>
      </c>
      <c r="C340" s="25" t="s">
        <v>588</v>
      </c>
      <c r="D340" s="25" t="s">
        <v>465</v>
      </c>
      <c r="E340" s="25" t="s">
        <v>52</v>
      </c>
      <c r="F340" s="25" t="s">
        <v>2271</v>
      </c>
      <c r="G340" s="25" t="s">
        <v>606</v>
      </c>
      <c r="H340" s="25" t="s">
        <v>2272</v>
      </c>
      <c r="I340" s="25" t="s">
        <v>160</v>
      </c>
      <c r="J340" s="25" t="s">
        <v>153</v>
      </c>
      <c r="K340" s="25" t="s">
        <v>594</v>
      </c>
      <c r="L340" s="25" t="s">
        <v>57</v>
      </c>
      <c r="M340" s="25" t="s">
        <v>161</v>
      </c>
      <c r="N340" s="25" t="s">
        <v>55</v>
      </c>
      <c r="O340" s="25" t="s">
        <v>2273</v>
      </c>
      <c r="P340" s="25" t="s">
        <v>2274</v>
      </c>
      <c r="Q340" s="25" t="s">
        <v>2275</v>
      </c>
      <c r="R340" s="25" t="s">
        <v>63</v>
      </c>
      <c r="S340" s="25" t="s">
        <v>2276</v>
      </c>
      <c r="T340" s="25" t="s">
        <v>2277</v>
      </c>
      <c r="U340" s="25" t="s">
        <v>63</v>
      </c>
      <c r="V340" s="26">
        <v>45991</v>
      </c>
      <c r="W340" s="25" t="s">
        <v>55</v>
      </c>
      <c r="X340" s="25" t="s">
        <v>2278</v>
      </c>
      <c r="Y340" s="25" t="s">
        <v>65</v>
      </c>
      <c r="Z340" s="25" t="s">
        <v>55</v>
      </c>
      <c r="AA340" s="25" t="s">
        <v>152</v>
      </c>
      <c r="AB340" s="25" t="s">
        <v>55</v>
      </c>
      <c r="AC340" s="25" t="s">
        <v>55</v>
      </c>
      <c r="AD340" s="25" t="s">
        <v>67</v>
      </c>
      <c r="AE340" s="25" t="s">
        <v>97</v>
      </c>
      <c r="AF340" s="25" t="s">
        <v>69</v>
      </c>
      <c r="AG340" s="25" t="s">
        <v>55</v>
      </c>
      <c r="AH340" s="25" t="s">
        <v>55</v>
      </c>
      <c r="AI340" s="25" t="s">
        <v>55</v>
      </c>
      <c r="AJ340" s="25" t="s">
        <v>55</v>
      </c>
      <c r="AK340" s="25" t="s">
        <v>55</v>
      </c>
      <c r="AL340" s="25" t="s">
        <v>55</v>
      </c>
      <c r="AM340" s="25" t="s">
        <v>55</v>
      </c>
      <c r="AN340" s="25" t="s">
        <v>55</v>
      </c>
      <c r="AO340" s="25" t="s">
        <v>55</v>
      </c>
      <c r="AP340" s="25" t="s">
        <v>55</v>
      </c>
      <c r="AQ340" s="25" t="s">
        <v>55</v>
      </c>
      <c r="AR340" s="25" t="s">
        <v>55</v>
      </c>
      <c r="AS340" s="25" t="s">
        <v>55</v>
      </c>
      <c r="AT340" s="25" t="s">
        <v>55</v>
      </c>
      <c r="AU340" s="25" t="s">
        <v>55</v>
      </c>
      <c r="AV340" s="25" t="s">
        <v>55</v>
      </c>
      <c r="AW340" s="26">
        <v>45960</v>
      </c>
      <c r="AX340" s="26">
        <v>45960</v>
      </c>
      <c r="AY340" s="25" t="s">
        <v>2161</v>
      </c>
      <c r="AZ340" s="20">
        <f t="shared" si="17"/>
        <v>-9</v>
      </c>
      <c r="BA340" s="17" t="e">
        <f t="shared" si="18"/>
        <v>#N/A</v>
      </c>
      <c r="BB340" s="21" t="s">
        <v>335</v>
      </c>
    </row>
    <row r="341" spans="1:54" x14ac:dyDescent="0.35">
      <c r="A341" s="25" t="s">
        <v>2279</v>
      </c>
      <c r="B341" s="25" t="s">
        <v>347</v>
      </c>
      <c r="C341" s="25" t="s">
        <v>588</v>
      </c>
      <c r="D341" s="25" t="s">
        <v>465</v>
      </c>
      <c r="E341" s="25" t="s">
        <v>52</v>
      </c>
      <c r="F341" s="25" t="s">
        <v>2280</v>
      </c>
      <c r="G341" s="25" t="s">
        <v>493</v>
      </c>
      <c r="H341" s="25" t="s">
        <v>2281</v>
      </c>
      <c r="I341" s="25" t="s">
        <v>526</v>
      </c>
      <c r="J341" s="25" t="s">
        <v>993</v>
      </c>
      <c r="K341" s="25" t="s">
        <v>594</v>
      </c>
      <c r="L341" s="25" t="s">
        <v>57</v>
      </c>
      <c r="M341" s="25" t="s">
        <v>777</v>
      </c>
      <c r="N341" s="25" t="s">
        <v>55</v>
      </c>
      <c r="O341" s="25" t="s">
        <v>2282</v>
      </c>
      <c r="P341" s="25" t="s">
        <v>2283</v>
      </c>
      <c r="Q341" s="25" t="s">
        <v>2284</v>
      </c>
      <c r="R341" s="25" t="s">
        <v>63</v>
      </c>
      <c r="S341" s="25" t="s">
        <v>2285</v>
      </c>
      <c r="T341" s="25" t="s">
        <v>2286</v>
      </c>
      <c r="U341" s="25" t="s">
        <v>132</v>
      </c>
      <c r="V341" s="26">
        <v>46022</v>
      </c>
      <c r="W341" s="25" t="s">
        <v>55</v>
      </c>
      <c r="X341" s="25" t="s">
        <v>2287</v>
      </c>
      <c r="Y341" s="25" t="s">
        <v>65</v>
      </c>
      <c r="Z341" s="25" t="s">
        <v>55</v>
      </c>
      <c r="AA341" s="25" t="s">
        <v>221</v>
      </c>
      <c r="AB341" s="25" t="s">
        <v>55</v>
      </c>
      <c r="AC341" s="25" t="s">
        <v>55</v>
      </c>
      <c r="AD341" s="25" t="s">
        <v>67</v>
      </c>
      <c r="AE341" s="25" t="s">
        <v>97</v>
      </c>
      <c r="AF341" s="25" t="s">
        <v>779</v>
      </c>
      <c r="AG341" s="25" t="s">
        <v>55</v>
      </c>
      <c r="AH341" s="25" t="s">
        <v>55</v>
      </c>
      <c r="AI341" s="25" t="s">
        <v>55</v>
      </c>
      <c r="AJ341" s="25" t="s">
        <v>55</v>
      </c>
      <c r="AK341" s="25" t="s">
        <v>55</v>
      </c>
      <c r="AL341" s="25" t="s">
        <v>55</v>
      </c>
      <c r="AM341" s="25" t="s">
        <v>55</v>
      </c>
      <c r="AN341" s="25" t="s">
        <v>55</v>
      </c>
      <c r="AO341" s="25" t="s">
        <v>55</v>
      </c>
      <c r="AP341" s="25" t="s">
        <v>55</v>
      </c>
      <c r="AQ341" s="25" t="s">
        <v>55</v>
      </c>
      <c r="AR341" s="25" t="s">
        <v>55</v>
      </c>
      <c r="AS341" s="25" t="s">
        <v>55</v>
      </c>
      <c r="AT341" s="25" t="s">
        <v>55</v>
      </c>
      <c r="AU341" s="25" t="s">
        <v>55</v>
      </c>
      <c r="AV341" s="25" t="s">
        <v>55</v>
      </c>
      <c r="AW341" s="26">
        <v>45936</v>
      </c>
      <c r="AX341" s="26">
        <v>45946</v>
      </c>
      <c r="AY341" s="25" t="s">
        <v>2161</v>
      </c>
      <c r="AZ341" s="20">
        <f t="shared" si="17"/>
        <v>-40</v>
      </c>
      <c r="BA341" s="17" t="e">
        <f t="shared" si="18"/>
        <v>#N/A</v>
      </c>
      <c r="BB341" s="21" t="s">
        <v>335</v>
      </c>
    </row>
    <row r="342" spans="1:54" x14ac:dyDescent="0.35">
      <c r="A342" s="25" t="s">
        <v>2288</v>
      </c>
      <c r="B342" s="25" t="s">
        <v>347</v>
      </c>
      <c r="C342" s="25" t="s">
        <v>588</v>
      </c>
      <c r="D342" s="25" t="s">
        <v>465</v>
      </c>
      <c r="E342" s="25" t="s">
        <v>52</v>
      </c>
      <c r="F342" s="25" t="s">
        <v>2289</v>
      </c>
      <c r="G342" s="25" t="s">
        <v>126</v>
      </c>
      <c r="H342" s="25" t="s">
        <v>157</v>
      </c>
      <c r="I342" s="25" t="s">
        <v>361</v>
      </c>
      <c r="J342" s="25" t="s">
        <v>153</v>
      </c>
      <c r="K342" s="25" t="s">
        <v>561</v>
      </c>
      <c r="L342" s="25" t="s">
        <v>103</v>
      </c>
      <c r="M342" s="25" t="s">
        <v>139</v>
      </c>
      <c r="N342" s="25" t="s">
        <v>55</v>
      </c>
      <c r="O342" s="25" t="s">
        <v>2290</v>
      </c>
      <c r="P342" s="25" t="s">
        <v>2291</v>
      </c>
      <c r="Q342" s="25" t="s">
        <v>2292</v>
      </c>
      <c r="R342" s="25" t="s">
        <v>63</v>
      </c>
      <c r="S342" s="25" t="s">
        <v>2293</v>
      </c>
      <c r="T342" s="25" t="s">
        <v>118</v>
      </c>
      <c r="U342" s="25" t="s">
        <v>63</v>
      </c>
      <c r="V342" s="26">
        <v>45975</v>
      </c>
      <c r="W342" s="25" t="s">
        <v>55</v>
      </c>
      <c r="X342" s="25" t="s">
        <v>2294</v>
      </c>
      <c r="Y342" s="25" t="s">
        <v>65</v>
      </c>
      <c r="Z342" s="25" t="s">
        <v>55</v>
      </c>
      <c r="AA342" s="25" t="s">
        <v>66</v>
      </c>
      <c r="AB342" s="25" t="s">
        <v>55</v>
      </c>
      <c r="AC342" s="25" t="s">
        <v>55</v>
      </c>
      <c r="AD342" s="25" t="s">
        <v>67</v>
      </c>
      <c r="AE342" s="25" t="s">
        <v>97</v>
      </c>
      <c r="AF342" s="25" t="s">
        <v>98</v>
      </c>
      <c r="AG342" s="25" t="s">
        <v>55</v>
      </c>
      <c r="AH342" s="25" t="s">
        <v>55</v>
      </c>
      <c r="AI342" s="25" t="s">
        <v>55</v>
      </c>
      <c r="AJ342" s="25" t="s">
        <v>55</v>
      </c>
      <c r="AK342" s="25" t="s">
        <v>55</v>
      </c>
      <c r="AL342" s="25" t="s">
        <v>55</v>
      </c>
      <c r="AM342" s="25" t="s">
        <v>55</v>
      </c>
      <c r="AN342" s="25" t="s">
        <v>55</v>
      </c>
      <c r="AO342" s="25" t="s">
        <v>55</v>
      </c>
      <c r="AP342" s="25" t="s">
        <v>55</v>
      </c>
      <c r="AQ342" s="25" t="s">
        <v>55</v>
      </c>
      <c r="AR342" s="25" t="s">
        <v>55</v>
      </c>
      <c r="AS342" s="25" t="s">
        <v>55</v>
      </c>
      <c r="AT342" s="25" t="s">
        <v>55</v>
      </c>
      <c r="AU342" s="25" t="s">
        <v>55</v>
      </c>
      <c r="AV342" s="25" t="s">
        <v>55</v>
      </c>
      <c r="AW342" s="26">
        <v>45961</v>
      </c>
      <c r="AX342" s="26">
        <v>45961</v>
      </c>
      <c r="AY342" s="25" t="s">
        <v>2161</v>
      </c>
      <c r="AZ342" s="20">
        <f t="shared" ref="AZ342:AZ395" si="19">$AZ$2-V342</f>
        <v>7</v>
      </c>
      <c r="BA342" s="17" t="str">
        <f t="shared" ref="BA342:BA395" si="20">VLOOKUP(AZ342,$BE$2:$BF$7,2,TRUE)</f>
        <v>&lt; 3 months</v>
      </c>
      <c r="BB342" s="21" t="s">
        <v>66</v>
      </c>
    </row>
    <row r="343" spans="1:54" x14ac:dyDescent="0.35">
      <c r="A343" s="25" t="s">
        <v>2295</v>
      </c>
      <c r="B343" s="25" t="s">
        <v>347</v>
      </c>
      <c r="C343" s="25" t="s">
        <v>588</v>
      </c>
      <c r="D343" s="25" t="s">
        <v>465</v>
      </c>
      <c r="E343" s="25" t="s">
        <v>52</v>
      </c>
      <c r="F343" s="25" t="s">
        <v>2296</v>
      </c>
      <c r="G343" s="25" t="s">
        <v>54</v>
      </c>
      <c r="H343" s="25" t="s">
        <v>1712</v>
      </c>
      <c r="I343" s="25" t="s">
        <v>149</v>
      </c>
      <c r="J343" s="25" t="s">
        <v>55</v>
      </c>
      <c r="K343" s="25" t="s">
        <v>1720</v>
      </c>
      <c r="L343" s="25" t="s">
        <v>103</v>
      </c>
      <c r="M343" s="25" t="s">
        <v>55</v>
      </c>
      <c r="N343" s="25" t="s">
        <v>55</v>
      </c>
      <c r="O343" s="25" t="s">
        <v>2297</v>
      </c>
      <c r="P343" s="25" t="s">
        <v>2298</v>
      </c>
      <c r="Q343" s="25" t="s">
        <v>2299</v>
      </c>
      <c r="R343" s="25" t="s">
        <v>55</v>
      </c>
      <c r="S343" s="25" t="s">
        <v>2300</v>
      </c>
      <c r="T343" s="25" t="s">
        <v>2301</v>
      </c>
      <c r="U343" s="25" t="s">
        <v>55</v>
      </c>
      <c r="V343" s="26">
        <v>46022</v>
      </c>
      <c r="W343" s="25" t="s">
        <v>55</v>
      </c>
      <c r="X343" s="25" t="s">
        <v>2302</v>
      </c>
      <c r="Y343" s="25" t="s">
        <v>65</v>
      </c>
      <c r="Z343" s="25" t="s">
        <v>55</v>
      </c>
      <c r="AA343" s="25" t="s">
        <v>221</v>
      </c>
      <c r="AB343" s="25" t="s">
        <v>55</v>
      </c>
      <c r="AC343" s="25" t="s">
        <v>55</v>
      </c>
      <c r="AD343" s="25" t="s">
        <v>118</v>
      </c>
      <c r="AE343" s="25" t="s">
        <v>97</v>
      </c>
      <c r="AF343" s="25" t="s">
        <v>55</v>
      </c>
      <c r="AG343" s="25" t="s">
        <v>55</v>
      </c>
      <c r="AH343" s="25" t="s">
        <v>55</v>
      </c>
      <c r="AI343" s="25" t="s">
        <v>55</v>
      </c>
      <c r="AJ343" s="25" t="s">
        <v>55</v>
      </c>
      <c r="AK343" s="25" t="s">
        <v>55</v>
      </c>
      <c r="AL343" s="25" t="s">
        <v>55</v>
      </c>
      <c r="AM343" s="25" t="s">
        <v>55</v>
      </c>
      <c r="AN343" s="25" t="s">
        <v>55</v>
      </c>
      <c r="AO343" s="25" t="s">
        <v>55</v>
      </c>
      <c r="AP343" s="25" t="s">
        <v>55</v>
      </c>
      <c r="AQ343" s="25" t="s">
        <v>55</v>
      </c>
      <c r="AR343" s="25" t="s">
        <v>55</v>
      </c>
      <c r="AS343" s="25" t="s">
        <v>55</v>
      </c>
      <c r="AT343" s="25" t="s">
        <v>55</v>
      </c>
      <c r="AU343" s="25" t="s">
        <v>55</v>
      </c>
      <c r="AV343" s="25" t="s">
        <v>55</v>
      </c>
      <c r="AW343" s="25" t="s">
        <v>55</v>
      </c>
      <c r="AX343" s="26">
        <v>45973</v>
      </c>
      <c r="AY343" s="25" t="s">
        <v>2161</v>
      </c>
      <c r="AZ343" s="20">
        <f t="shared" si="19"/>
        <v>-40</v>
      </c>
      <c r="BA343" s="17" t="e">
        <f t="shared" si="20"/>
        <v>#N/A</v>
      </c>
      <c r="BB343" s="21" t="s">
        <v>335</v>
      </c>
    </row>
    <row r="344" spans="1:54" x14ac:dyDescent="0.35">
      <c r="A344" s="25" t="s">
        <v>2303</v>
      </c>
      <c r="B344" s="25" t="s">
        <v>347</v>
      </c>
      <c r="C344" s="25" t="s">
        <v>588</v>
      </c>
      <c r="D344" s="25" t="s">
        <v>465</v>
      </c>
      <c r="E344" s="25" t="s">
        <v>52</v>
      </c>
      <c r="F344" s="25" t="s">
        <v>2304</v>
      </c>
      <c r="G344" s="25" t="s">
        <v>126</v>
      </c>
      <c r="H344" s="25" t="s">
        <v>157</v>
      </c>
      <c r="I344" s="25" t="s">
        <v>149</v>
      </c>
      <c r="J344" s="25" t="s">
        <v>55</v>
      </c>
      <c r="K344" s="25" t="s">
        <v>1720</v>
      </c>
      <c r="L344" s="25" t="s">
        <v>103</v>
      </c>
      <c r="M344" s="25" t="s">
        <v>55</v>
      </c>
      <c r="N344" s="25" t="s">
        <v>55</v>
      </c>
      <c r="O344" s="25" t="s">
        <v>2305</v>
      </c>
      <c r="P344" s="25" t="s">
        <v>2298</v>
      </c>
      <c r="Q344" s="25" t="s">
        <v>2306</v>
      </c>
      <c r="R344" s="25" t="s">
        <v>55</v>
      </c>
      <c r="S344" s="25" t="s">
        <v>2300</v>
      </c>
      <c r="T344" s="25" t="s">
        <v>2301</v>
      </c>
      <c r="U344" s="25" t="s">
        <v>55</v>
      </c>
      <c r="V344" s="26">
        <v>46022</v>
      </c>
      <c r="W344" s="25" t="s">
        <v>55</v>
      </c>
      <c r="X344" s="25" t="s">
        <v>2307</v>
      </c>
      <c r="Y344" s="25" t="s">
        <v>65</v>
      </c>
      <c r="Z344" s="25" t="s">
        <v>55</v>
      </c>
      <c r="AA344" s="25" t="s">
        <v>221</v>
      </c>
      <c r="AB344" s="25" t="s">
        <v>55</v>
      </c>
      <c r="AC344" s="25" t="s">
        <v>55</v>
      </c>
      <c r="AD344" s="25" t="s">
        <v>118</v>
      </c>
      <c r="AE344" s="25" t="s">
        <v>97</v>
      </c>
      <c r="AF344" s="25" t="s">
        <v>55</v>
      </c>
      <c r="AG344" s="25" t="s">
        <v>55</v>
      </c>
      <c r="AH344" s="25" t="s">
        <v>55</v>
      </c>
      <c r="AI344" s="25" t="s">
        <v>55</v>
      </c>
      <c r="AJ344" s="25" t="s">
        <v>55</v>
      </c>
      <c r="AK344" s="25" t="s">
        <v>55</v>
      </c>
      <c r="AL344" s="25" t="s">
        <v>55</v>
      </c>
      <c r="AM344" s="25" t="s">
        <v>55</v>
      </c>
      <c r="AN344" s="25" t="s">
        <v>55</v>
      </c>
      <c r="AO344" s="25" t="s">
        <v>55</v>
      </c>
      <c r="AP344" s="25" t="s">
        <v>55</v>
      </c>
      <c r="AQ344" s="25" t="s">
        <v>55</v>
      </c>
      <c r="AR344" s="25" t="s">
        <v>55</v>
      </c>
      <c r="AS344" s="25" t="s">
        <v>55</v>
      </c>
      <c r="AT344" s="25" t="s">
        <v>55</v>
      </c>
      <c r="AU344" s="25" t="s">
        <v>55</v>
      </c>
      <c r="AV344" s="25" t="s">
        <v>55</v>
      </c>
      <c r="AW344" s="25" t="s">
        <v>55</v>
      </c>
      <c r="AX344" s="26">
        <v>45973</v>
      </c>
      <c r="AY344" s="25" t="s">
        <v>2161</v>
      </c>
      <c r="AZ344" s="20">
        <f t="shared" si="19"/>
        <v>-40</v>
      </c>
      <c r="BA344" s="17" t="e">
        <f t="shared" si="20"/>
        <v>#N/A</v>
      </c>
      <c r="BB344" s="21" t="s">
        <v>335</v>
      </c>
    </row>
    <row r="345" spans="1:54" x14ac:dyDescent="0.35">
      <c r="A345" s="25" t="s">
        <v>2308</v>
      </c>
      <c r="B345" s="25" t="s">
        <v>347</v>
      </c>
      <c r="C345" s="25" t="s">
        <v>588</v>
      </c>
      <c r="D345" s="25" t="s">
        <v>465</v>
      </c>
      <c r="E345" s="25" t="s">
        <v>52</v>
      </c>
      <c r="F345" s="25" t="s">
        <v>1726</v>
      </c>
      <c r="G345" s="25" t="s">
        <v>126</v>
      </c>
      <c r="H345" s="25" t="s">
        <v>138</v>
      </c>
      <c r="I345" s="25" t="s">
        <v>149</v>
      </c>
      <c r="J345" s="25" t="s">
        <v>55</v>
      </c>
      <c r="K345" s="25" t="s">
        <v>1720</v>
      </c>
      <c r="L345" s="25" t="s">
        <v>103</v>
      </c>
      <c r="M345" s="25" t="s">
        <v>55</v>
      </c>
      <c r="N345" s="25" t="s">
        <v>55</v>
      </c>
      <c r="O345" s="25" t="s">
        <v>2309</v>
      </c>
      <c r="P345" s="25" t="s">
        <v>2298</v>
      </c>
      <c r="Q345" s="25" t="s">
        <v>2310</v>
      </c>
      <c r="R345" s="25" t="s">
        <v>55</v>
      </c>
      <c r="S345" s="25" t="s">
        <v>2300</v>
      </c>
      <c r="T345" s="25" t="s">
        <v>2301</v>
      </c>
      <c r="U345" s="25" t="s">
        <v>55</v>
      </c>
      <c r="V345" s="26">
        <v>46022</v>
      </c>
      <c r="W345" s="25" t="s">
        <v>55</v>
      </c>
      <c r="X345" s="25" t="s">
        <v>2311</v>
      </c>
      <c r="Y345" s="25" t="s">
        <v>65</v>
      </c>
      <c r="Z345" s="25" t="s">
        <v>55</v>
      </c>
      <c r="AA345" s="25" t="s">
        <v>221</v>
      </c>
      <c r="AB345" s="25" t="s">
        <v>55</v>
      </c>
      <c r="AC345" s="25" t="s">
        <v>55</v>
      </c>
      <c r="AD345" s="25" t="s">
        <v>118</v>
      </c>
      <c r="AE345" s="25" t="s">
        <v>97</v>
      </c>
      <c r="AF345" s="25" t="s">
        <v>55</v>
      </c>
      <c r="AG345" s="25" t="s">
        <v>55</v>
      </c>
      <c r="AH345" s="25" t="s">
        <v>55</v>
      </c>
      <c r="AI345" s="25" t="s">
        <v>55</v>
      </c>
      <c r="AJ345" s="25" t="s">
        <v>55</v>
      </c>
      <c r="AK345" s="25" t="s">
        <v>55</v>
      </c>
      <c r="AL345" s="25" t="s">
        <v>55</v>
      </c>
      <c r="AM345" s="25" t="s">
        <v>55</v>
      </c>
      <c r="AN345" s="25" t="s">
        <v>55</v>
      </c>
      <c r="AO345" s="25" t="s">
        <v>55</v>
      </c>
      <c r="AP345" s="25" t="s">
        <v>55</v>
      </c>
      <c r="AQ345" s="25" t="s">
        <v>55</v>
      </c>
      <c r="AR345" s="25" t="s">
        <v>55</v>
      </c>
      <c r="AS345" s="25" t="s">
        <v>55</v>
      </c>
      <c r="AT345" s="25" t="s">
        <v>55</v>
      </c>
      <c r="AU345" s="25" t="s">
        <v>55</v>
      </c>
      <c r="AV345" s="25" t="s">
        <v>55</v>
      </c>
      <c r="AW345" s="25" t="s">
        <v>55</v>
      </c>
      <c r="AX345" s="26">
        <v>45973</v>
      </c>
      <c r="AY345" s="25" t="s">
        <v>2161</v>
      </c>
      <c r="AZ345" s="20">
        <f t="shared" si="19"/>
        <v>-40</v>
      </c>
      <c r="BA345" s="17" t="e">
        <f t="shared" si="20"/>
        <v>#N/A</v>
      </c>
      <c r="BB345" s="21" t="s">
        <v>335</v>
      </c>
    </row>
    <row r="346" spans="1:54" x14ac:dyDescent="0.35">
      <c r="A346" s="25" t="s">
        <v>2312</v>
      </c>
      <c r="B346" s="25" t="s">
        <v>347</v>
      </c>
      <c r="C346" s="25" t="s">
        <v>588</v>
      </c>
      <c r="D346" s="25" t="s">
        <v>465</v>
      </c>
      <c r="E346" s="25" t="s">
        <v>52</v>
      </c>
      <c r="F346" s="25" t="s">
        <v>2313</v>
      </c>
      <c r="G346" s="25" t="s">
        <v>606</v>
      </c>
      <c r="H346" s="25" t="s">
        <v>952</v>
      </c>
      <c r="I346" s="25" t="s">
        <v>149</v>
      </c>
      <c r="J346" s="25" t="s">
        <v>55</v>
      </c>
      <c r="K346" s="25" t="s">
        <v>1720</v>
      </c>
      <c r="L346" s="25" t="s">
        <v>103</v>
      </c>
      <c r="M346" s="25" t="s">
        <v>55</v>
      </c>
      <c r="N346" s="25" t="s">
        <v>55</v>
      </c>
      <c r="O346" s="25" t="s">
        <v>2314</v>
      </c>
      <c r="P346" s="25" t="s">
        <v>2298</v>
      </c>
      <c r="Q346" s="25" t="s">
        <v>2315</v>
      </c>
      <c r="R346" s="25" t="s">
        <v>55</v>
      </c>
      <c r="S346" s="25" t="s">
        <v>2300</v>
      </c>
      <c r="T346" s="25" t="s">
        <v>2301</v>
      </c>
      <c r="U346" s="25" t="s">
        <v>55</v>
      </c>
      <c r="V346" s="26">
        <v>46022</v>
      </c>
      <c r="W346" s="25" t="s">
        <v>55</v>
      </c>
      <c r="X346" s="25" t="s">
        <v>2316</v>
      </c>
      <c r="Y346" s="25" t="s">
        <v>65</v>
      </c>
      <c r="Z346" s="25" t="s">
        <v>55</v>
      </c>
      <c r="AA346" s="25" t="s">
        <v>221</v>
      </c>
      <c r="AB346" s="25" t="s">
        <v>55</v>
      </c>
      <c r="AC346" s="25" t="s">
        <v>55</v>
      </c>
      <c r="AD346" s="25" t="s">
        <v>118</v>
      </c>
      <c r="AE346" s="25" t="s">
        <v>97</v>
      </c>
      <c r="AF346" s="25" t="s">
        <v>55</v>
      </c>
      <c r="AG346" s="25" t="s">
        <v>55</v>
      </c>
      <c r="AH346" s="25" t="s">
        <v>55</v>
      </c>
      <c r="AI346" s="25" t="s">
        <v>55</v>
      </c>
      <c r="AJ346" s="25" t="s">
        <v>55</v>
      </c>
      <c r="AK346" s="25" t="s">
        <v>55</v>
      </c>
      <c r="AL346" s="25" t="s">
        <v>55</v>
      </c>
      <c r="AM346" s="25" t="s">
        <v>55</v>
      </c>
      <c r="AN346" s="25" t="s">
        <v>55</v>
      </c>
      <c r="AO346" s="25" t="s">
        <v>55</v>
      </c>
      <c r="AP346" s="25" t="s">
        <v>55</v>
      </c>
      <c r="AQ346" s="25" t="s">
        <v>55</v>
      </c>
      <c r="AR346" s="25" t="s">
        <v>55</v>
      </c>
      <c r="AS346" s="25" t="s">
        <v>55</v>
      </c>
      <c r="AT346" s="25" t="s">
        <v>55</v>
      </c>
      <c r="AU346" s="25" t="s">
        <v>55</v>
      </c>
      <c r="AV346" s="25" t="s">
        <v>55</v>
      </c>
      <c r="AW346" s="25" t="s">
        <v>55</v>
      </c>
      <c r="AX346" s="26">
        <v>45973</v>
      </c>
      <c r="AY346" s="25" t="s">
        <v>2161</v>
      </c>
      <c r="AZ346" s="20">
        <f t="shared" si="19"/>
        <v>-40</v>
      </c>
      <c r="BA346" s="17" t="e">
        <f t="shared" si="20"/>
        <v>#N/A</v>
      </c>
      <c r="BB346" s="21" t="s">
        <v>335</v>
      </c>
    </row>
    <row r="347" spans="1:54" x14ac:dyDescent="0.35">
      <c r="A347" s="25" t="s">
        <v>2317</v>
      </c>
      <c r="B347" s="25" t="s">
        <v>347</v>
      </c>
      <c r="C347" s="25" t="s">
        <v>588</v>
      </c>
      <c r="D347" s="25" t="s">
        <v>465</v>
      </c>
      <c r="E347" s="25" t="s">
        <v>52</v>
      </c>
      <c r="F347" s="25" t="s">
        <v>1604</v>
      </c>
      <c r="G347" s="25" t="s">
        <v>606</v>
      </c>
      <c r="H347" s="25" t="s">
        <v>607</v>
      </c>
      <c r="I347" s="25" t="s">
        <v>149</v>
      </c>
      <c r="J347" s="25" t="s">
        <v>55</v>
      </c>
      <c r="K347" s="25" t="s">
        <v>1720</v>
      </c>
      <c r="L347" s="25" t="s">
        <v>103</v>
      </c>
      <c r="M347" s="25" t="s">
        <v>55</v>
      </c>
      <c r="N347" s="25" t="s">
        <v>55</v>
      </c>
      <c r="O347" s="25" t="s">
        <v>2318</v>
      </c>
      <c r="P347" s="25" t="s">
        <v>2298</v>
      </c>
      <c r="Q347" s="25" t="s">
        <v>2319</v>
      </c>
      <c r="R347" s="25" t="s">
        <v>55</v>
      </c>
      <c r="S347" s="25" t="s">
        <v>2300</v>
      </c>
      <c r="T347" s="25" t="s">
        <v>2301</v>
      </c>
      <c r="U347" s="25" t="s">
        <v>55</v>
      </c>
      <c r="V347" s="26">
        <v>46022</v>
      </c>
      <c r="W347" s="25" t="s">
        <v>55</v>
      </c>
      <c r="X347" s="25" t="s">
        <v>2320</v>
      </c>
      <c r="Y347" s="25" t="s">
        <v>65</v>
      </c>
      <c r="Z347" s="25" t="s">
        <v>55</v>
      </c>
      <c r="AA347" s="25" t="s">
        <v>221</v>
      </c>
      <c r="AB347" s="25" t="s">
        <v>55</v>
      </c>
      <c r="AC347" s="25" t="s">
        <v>55</v>
      </c>
      <c r="AD347" s="25" t="s">
        <v>118</v>
      </c>
      <c r="AE347" s="25" t="s">
        <v>97</v>
      </c>
      <c r="AF347" s="25" t="s">
        <v>55</v>
      </c>
      <c r="AG347" s="25" t="s">
        <v>55</v>
      </c>
      <c r="AH347" s="25" t="s">
        <v>55</v>
      </c>
      <c r="AI347" s="25" t="s">
        <v>55</v>
      </c>
      <c r="AJ347" s="25" t="s">
        <v>55</v>
      </c>
      <c r="AK347" s="25" t="s">
        <v>55</v>
      </c>
      <c r="AL347" s="25" t="s">
        <v>55</v>
      </c>
      <c r="AM347" s="25" t="s">
        <v>55</v>
      </c>
      <c r="AN347" s="25" t="s">
        <v>55</v>
      </c>
      <c r="AO347" s="25" t="s">
        <v>55</v>
      </c>
      <c r="AP347" s="25" t="s">
        <v>55</v>
      </c>
      <c r="AQ347" s="25" t="s">
        <v>55</v>
      </c>
      <c r="AR347" s="25" t="s">
        <v>55</v>
      </c>
      <c r="AS347" s="25" t="s">
        <v>55</v>
      </c>
      <c r="AT347" s="25" t="s">
        <v>55</v>
      </c>
      <c r="AU347" s="25" t="s">
        <v>55</v>
      </c>
      <c r="AV347" s="25" t="s">
        <v>55</v>
      </c>
      <c r="AW347" s="25" t="s">
        <v>55</v>
      </c>
      <c r="AX347" s="26">
        <v>45973</v>
      </c>
      <c r="AY347" s="25" t="s">
        <v>2161</v>
      </c>
      <c r="AZ347" s="20">
        <f t="shared" si="19"/>
        <v>-40</v>
      </c>
      <c r="BA347" s="17" t="e">
        <f t="shared" si="20"/>
        <v>#N/A</v>
      </c>
      <c r="BB347" s="21" t="s">
        <v>335</v>
      </c>
    </row>
    <row r="348" spans="1:54" x14ac:dyDescent="0.35">
      <c r="A348" s="25" t="s">
        <v>2321</v>
      </c>
      <c r="B348" s="25" t="s">
        <v>347</v>
      </c>
      <c r="C348" s="25" t="s">
        <v>588</v>
      </c>
      <c r="D348" s="25" t="s">
        <v>465</v>
      </c>
      <c r="E348" s="25" t="s">
        <v>52</v>
      </c>
      <c r="F348" s="25" t="s">
        <v>2235</v>
      </c>
      <c r="G348" s="25" t="s">
        <v>606</v>
      </c>
      <c r="H348" s="25" t="s">
        <v>607</v>
      </c>
      <c r="I348" s="25" t="s">
        <v>149</v>
      </c>
      <c r="J348" s="25" t="s">
        <v>55</v>
      </c>
      <c r="K348" s="25" t="s">
        <v>1720</v>
      </c>
      <c r="L348" s="25" t="s">
        <v>103</v>
      </c>
      <c r="M348" s="25" t="s">
        <v>55</v>
      </c>
      <c r="N348" s="25" t="s">
        <v>55</v>
      </c>
      <c r="O348" s="25" t="s">
        <v>2322</v>
      </c>
      <c r="P348" s="25" t="s">
        <v>2298</v>
      </c>
      <c r="Q348" s="25" t="s">
        <v>2323</v>
      </c>
      <c r="R348" s="25" t="s">
        <v>55</v>
      </c>
      <c r="S348" s="25" t="s">
        <v>2300</v>
      </c>
      <c r="T348" s="25" t="s">
        <v>2301</v>
      </c>
      <c r="U348" s="25" t="s">
        <v>55</v>
      </c>
      <c r="V348" s="26">
        <v>46022</v>
      </c>
      <c r="W348" s="25" t="s">
        <v>55</v>
      </c>
      <c r="X348" s="25" t="s">
        <v>2324</v>
      </c>
      <c r="Y348" s="25" t="s">
        <v>65</v>
      </c>
      <c r="Z348" s="25" t="s">
        <v>55</v>
      </c>
      <c r="AA348" s="25" t="s">
        <v>221</v>
      </c>
      <c r="AB348" s="25" t="s">
        <v>55</v>
      </c>
      <c r="AC348" s="25" t="s">
        <v>55</v>
      </c>
      <c r="AD348" s="25" t="s">
        <v>118</v>
      </c>
      <c r="AE348" s="25" t="s">
        <v>97</v>
      </c>
      <c r="AF348" s="25" t="s">
        <v>55</v>
      </c>
      <c r="AG348" s="25" t="s">
        <v>55</v>
      </c>
      <c r="AH348" s="25" t="s">
        <v>55</v>
      </c>
      <c r="AI348" s="25" t="s">
        <v>55</v>
      </c>
      <c r="AJ348" s="25" t="s">
        <v>55</v>
      </c>
      <c r="AK348" s="25" t="s">
        <v>55</v>
      </c>
      <c r="AL348" s="25" t="s">
        <v>55</v>
      </c>
      <c r="AM348" s="25" t="s">
        <v>55</v>
      </c>
      <c r="AN348" s="25" t="s">
        <v>55</v>
      </c>
      <c r="AO348" s="25" t="s">
        <v>55</v>
      </c>
      <c r="AP348" s="25" t="s">
        <v>55</v>
      </c>
      <c r="AQ348" s="25" t="s">
        <v>55</v>
      </c>
      <c r="AR348" s="25" t="s">
        <v>55</v>
      </c>
      <c r="AS348" s="25" t="s">
        <v>55</v>
      </c>
      <c r="AT348" s="25" t="s">
        <v>55</v>
      </c>
      <c r="AU348" s="25" t="s">
        <v>55</v>
      </c>
      <c r="AV348" s="25" t="s">
        <v>55</v>
      </c>
      <c r="AW348" s="25" t="s">
        <v>55</v>
      </c>
      <c r="AX348" s="26">
        <v>45973</v>
      </c>
      <c r="AY348" s="25" t="s">
        <v>2161</v>
      </c>
      <c r="AZ348" s="20">
        <f t="shared" si="19"/>
        <v>-40</v>
      </c>
      <c r="BA348" s="17" t="e">
        <f t="shared" si="20"/>
        <v>#N/A</v>
      </c>
      <c r="BB348" s="21" t="s">
        <v>335</v>
      </c>
    </row>
    <row r="349" spans="1:54" x14ac:dyDescent="0.35">
      <c r="A349" s="25" t="s">
        <v>2325</v>
      </c>
      <c r="B349" s="25" t="s">
        <v>347</v>
      </c>
      <c r="C349" s="25" t="s">
        <v>588</v>
      </c>
      <c r="D349" s="25" t="s">
        <v>465</v>
      </c>
      <c r="E349" s="25" t="s">
        <v>52</v>
      </c>
      <c r="F349" s="25" t="s">
        <v>2326</v>
      </c>
      <c r="G349" s="25" t="s">
        <v>126</v>
      </c>
      <c r="H349" s="25" t="s">
        <v>138</v>
      </c>
      <c r="I349" s="25" t="s">
        <v>149</v>
      </c>
      <c r="J349" s="25" t="s">
        <v>55</v>
      </c>
      <c r="K349" s="25" t="s">
        <v>1720</v>
      </c>
      <c r="L349" s="25" t="s">
        <v>103</v>
      </c>
      <c r="M349" s="25" t="s">
        <v>55</v>
      </c>
      <c r="N349" s="25" t="s">
        <v>55</v>
      </c>
      <c r="O349" s="25" t="s">
        <v>2327</v>
      </c>
      <c r="P349" s="25" t="s">
        <v>2298</v>
      </c>
      <c r="Q349" s="25" t="s">
        <v>2328</v>
      </c>
      <c r="R349" s="25" t="s">
        <v>55</v>
      </c>
      <c r="S349" s="25" t="s">
        <v>2300</v>
      </c>
      <c r="T349" s="25" t="s">
        <v>2301</v>
      </c>
      <c r="U349" s="25" t="s">
        <v>55</v>
      </c>
      <c r="V349" s="26">
        <v>46022</v>
      </c>
      <c r="W349" s="25" t="s">
        <v>55</v>
      </c>
      <c r="X349" s="25" t="s">
        <v>2329</v>
      </c>
      <c r="Y349" s="25" t="s">
        <v>65</v>
      </c>
      <c r="Z349" s="25" t="s">
        <v>55</v>
      </c>
      <c r="AA349" s="25" t="s">
        <v>221</v>
      </c>
      <c r="AB349" s="25" t="s">
        <v>55</v>
      </c>
      <c r="AC349" s="25" t="s">
        <v>55</v>
      </c>
      <c r="AD349" s="25" t="s">
        <v>118</v>
      </c>
      <c r="AE349" s="25" t="s">
        <v>97</v>
      </c>
      <c r="AF349" s="25" t="s">
        <v>55</v>
      </c>
      <c r="AG349" s="25" t="s">
        <v>55</v>
      </c>
      <c r="AH349" s="25" t="s">
        <v>55</v>
      </c>
      <c r="AI349" s="25" t="s">
        <v>55</v>
      </c>
      <c r="AJ349" s="25" t="s">
        <v>55</v>
      </c>
      <c r="AK349" s="25" t="s">
        <v>55</v>
      </c>
      <c r="AL349" s="25" t="s">
        <v>55</v>
      </c>
      <c r="AM349" s="25" t="s">
        <v>55</v>
      </c>
      <c r="AN349" s="25" t="s">
        <v>55</v>
      </c>
      <c r="AO349" s="25" t="s">
        <v>55</v>
      </c>
      <c r="AP349" s="25" t="s">
        <v>55</v>
      </c>
      <c r="AQ349" s="25" t="s">
        <v>55</v>
      </c>
      <c r="AR349" s="25" t="s">
        <v>55</v>
      </c>
      <c r="AS349" s="25" t="s">
        <v>55</v>
      </c>
      <c r="AT349" s="25" t="s">
        <v>55</v>
      </c>
      <c r="AU349" s="25" t="s">
        <v>55</v>
      </c>
      <c r="AV349" s="25" t="s">
        <v>55</v>
      </c>
      <c r="AW349" s="25" t="s">
        <v>55</v>
      </c>
      <c r="AX349" s="26">
        <v>45973</v>
      </c>
      <c r="AY349" s="25" t="s">
        <v>2161</v>
      </c>
      <c r="AZ349" s="20">
        <f t="shared" si="19"/>
        <v>-40</v>
      </c>
      <c r="BA349" s="17" t="e">
        <f t="shared" si="20"/>
        <v>#N/A</v>
      </c>
      <c r="BB349" s="21" t="s">
        <v>335</v>
      </c>
    </row>
    <row r="350" spans="1:54" x14ac:dyDescent="0.35">
      <c r="A350" s="25" t="s">
        <v>2330</v>
      </c>
      <c r="B350" s="25" t="s">
        <v>347</v>
      </c>
      <c r="C350" s="25" t="s">
        <v>588</v>
      </c>
      <c r="D350" s="25" t="s">
        <v>465</v>
      </c>
      <c r="E350" s="25" t="s">
        <v>52</v>
      </c>
      <c r="F350" s="25" t="s">
        <v>2331</v>
      </c>
      <c r="G350" s="25" t="s">
        <v>54</v>
      </c>
      <c r="H350" s="25" t="s">
        <v>1713</v>
      </c>
      <c r="I350" s="25" t="s">
        <v>149</v>
      </c>
      <c r="J350" s="25" t="s">
        <v>55</v>
      </c>
      <c r="K350" s="25" t="s">
        <v>1720</v>
      </c>
      <c r="L350" s="25" t="s">
        <v>103</v>
      </c>
      <c r="M350" s="25" t="s">
        <v>55</v>
      </c>
      <c r="N350" s="25" t="s">
        <v>55</v>
      </c>
      <c r="O350" s="25" t="s">
        <v>2332</v>
      </c>
      <c r="P350" s="25" t="s">
        <v>2298</v>
      </c>
      <c r="Q350" s="25" t="s">
        <v>2333</v>
      </c>
      <c r="R350" s="25" t="s">
        <v>55</v>
      </c>
      <c r="S350" s="25" t="s">
        <v>2300</v>
      </c>
      <c r="T350" s="25" t="s">
        <v>2301</v>
      </c>
      <c r="U350" s="25" t="s">
        <v>55</v>
      </c>
      <c r="V350" s="26">
        <v>46022</v>
      </c>
      <c r="W350" s="25" t="s">
        <v>55</v>
      </c>
      <c r="X350" s="25" t="s">
        <v>2334</v>
      </c>
      <c r="Y350" s="25" t="s">
        <v>65</v>
      </c>
      <c r="Z350" s="25" t="s">
        <v>55</v>
      </c>
      <c r="AA350" s="25" t="s">
        <v>221</v>
      </c>
      <c r="AB350" s="25" t="s">
        <v>55</v>
      </c>
      <c r="AC350" s="25" t="s">
        <v>55</v>
      </c>
      <c r="AD350" s="25" t="s">
        <v>118</v>
      </c>
      <c r="AE350" s="25" t="s">
        <v>97</v>
      </c>
      <c r="AF350" s="25" t="s">
        <v>55</v>
      </c>
      <c r="AG350" s="25" t="s">
        <v>55</v>
      </c>
      <c r="AH350" s="25" t="s">
        <v>55</v>
      </c>
      <c r="AI350" s="25" t="s">
        <v>55</v>
      </c>
      <c r="AJ350" s="25" t="s">
        <v>55</v>
      </c>
      <c r="AK350" s="25" t="s">
        <v>55</v>
      </c>
      <c r="AL350" s="25" t="s">
        <v>55</v>
      </c>
      <c r="AM350" s="25" t="s">
        <v>55</v>
      </c>
      <c r="AN350" s="25" t="s">
        <v>55</v>
      </c>
      <c r="AO350" s="25" t="s">
        <v>55</v>
      </c>
      <c r="AP350" s="25" t="s">
        <v>55</v>
      </c>
      <c r="AQ350" s="25" t="s">
        <v>55</v>
      </c>
      <c r="AR350" s="25" t="s">
        <v>55</v>
      </c>
      <c r="AS350" s="25" t="s">
        <v>55</v>
      </c>
      <c r="AT350" s="25" t="s">
        <v>55</v>
      </c>
      <c r="AU350" s="25" t="s">
        <v>55</v>
      </c>
      <c r="AV350" s="25" t="s">
        <v>55</v>
      </c>
      <c r="AW350" s="25" t="s">
        <v>55</v>
      </c>
      <c r="AX350" s="26">
        <v>45973</v>
      </c>
      <c r="AY350" s="25" t="s">
        <v>2161</v>
      </c>
      <c r="AZ350" s="20">
        <f t="shared" si="19"/>
        <v>-40</v>
      </c>
      <c r="BA350" s="17" t="e">
        <f t="shared" si="20"/>
        <v>#N/A</v>
      </c>
      <c r="BB350" s="21" t="s">
        <v>335</v>
      </c>
    </row>
    <row r="351" spans="1:54" x14ac:dyDescent="0.35">
      <c r="A351" s="25" t="s">
        <v>2335</v>
      </c>
      <c r="B351" s="25" t="s">
        <v>347</v>
      </c>
      <c r="C351" s="25" t="s">
        <v>588</v>
      </c>
      <c r="D351" s="25" t="s">
        <v>465</v>
      </c>
      <c r="E351" s="25" t="s">
        <v>52</v>
      </c>
      <c r="F351" s="25" t="s">
        <v>2336</v>
      </c>
      <c r="G351" s="25" t="s">
        <v>126</v>
      </c>
      <c r="H351" s="25" t="s">
        <v>157</v>
      </c>
      <c r="I351" s="25" t="s">
        <v>149</v>
      </c>
      <c r="J351" s="25" t="s">
        <v>55</v>
      </c>
      <c r="K351" s="25" t="s">
        <v>1720</v>
      </c>
      <c r="L351" s="25" t="s">
        <v>103</v>
      </c>
      <c r="M351" s="25" t="s">
        <v>55</v>
      </c>
      <c r="N351" s="25" t="s">
        <v>55</v>
      </c>
      <c r="O351" s="25" t="s">
        <v>2337</v>
      </c>
      <c r="P351" s="25" t="s">
        <v>2298</v>
      </c>
      <c r="Q351" s="25" t="s">
        <v>2338</v>
      </c>
      <c r="R351" s="25" t="s">
        <v>55</v>
      </c>
      <c r="S351" s="25" t="s">
        <v>2300</v>
      </c>
      <c r="T351" s="25" t="s">
        <v>2301</v>
      </c>
      <c r="U351" s="25" t="s">
        <v>55</v>
      </c>
      <c r="V351" s="26">
        <v>46022</v>
      </c>
      <c r="W351" s="25" t="s">
        <v>55</v>
      </c>
      <c r="X351" s="25" t="s">
        <v>2339</v>
      </c>
      <c r="Y351" s="25" t="s">
        <v>65</v>
      </c>
      <c r="Z351" s="25" t="s">
        <v>55</v>
      </c>
      <c r="AA351" s="25" t="s">
        <v>221</v>
      </c>
      <c r="AB351" s="25" t="s">
        <v>55</v>
      </c>
      <c r="AC351" s="25" t="s">
        <v>55</v>
      </c>
      <c r="AD351" s="25" t="s">
        <v>118</v>
      </c>
      <c r="AE351" s="25" t="s">
        <v>97</v>
      </c>
      <c r="AF351" s="25" t="s">
        <v>55</v>
      </c>
      <c r="AG351" s="25" t="s">
        <v>55</v>
      </c>
      <c r="AH351" s="25" t="s">
        <v>55</v>
      </c>
      <c r="AI351" s="25" t="s">
        <v>55</v>
      </c>
      <c r="AJ351" s="25" t="s">
        <v>55</v>
      </c>
      <c r="AK351" s="25" t="s">
        <v>55</v>
      </c>
      <c r="AL351" s="25" t="s">
        <v>55</v>
      </c>
      <c r="AM351" s="25" t="s">
        <v>55</v>
      </c>
      <c r="AN351" s="25" t="s">
        <v>55</v>
      </c>
      <c r="AO351" s="25" t="s">
        <v>55</v>
      </c>
      <c r="AP351" s="25" t="s">
        <v>55</v>
      </c>
      <c r="AQ351" s="25" t="s">
        <v>55</v>
      </c>
      <c r="AR351" s="25" t="s">
        <v>55</v>
      </c>
      <c r="AS351" s="25" t="s">
        <v>55</v>
      </c>
      <c r="AT351" s="25" t="s">
        <v>55</v>
      </c>
      <c r="AU351" s="25" t="s">
        <v>55</v>
      </c>
      <c r="AV351" s="25" t="s">
        <v>55</v>
      </c>
      <c r="AW351" s="25" t="s">
        <v>55</v>
      </c>
      <c r="AX351" s="26">
        <v>45973</v>
      </c>
      <c r="AY351" s="25" t="s">
        <v>2161</v>
      </c>
      <c r="AZ351" s="20">
        <f t="shared" si="19"/>
        <v>-40</v>
      </c>
      <c r="BA351" s="17" t="e">
        <f t="shared" si="20"/>
        <v>#N/A</v>
      </c>
      <c r="BB351" s="21" t="s">
        <v>335</v>
      </c>
    </row>
    <row r="352" spans="1:54" x14ac:dyDescent="0.35">
      <c r="A352" s="25" t="s">
        <v>2340</v>
      </c>
      <c r="B352" s="25" t="s">
        <v>347</v>
      </c>
      <c r="C352" s="25" t="s">
        <v>588</v>
      </c>
      <c r="D352" s="25" t="s">
        <v>465</v>
      </c>
      <c r="E352" s="25" t="s">
        <v>52</v>
      </c>
      <c r="F352" s="25" t="s">
        <v>1227</v>
      </c>
      <c r="G352" s="25" t="s">
        <v>126</v>
      </c>
      <c r="H352" s="25" t="s">
        <v>127</v>
      </c>
      <c r="I352" s="25" t="s">
        <v>149</v>
      </c>
      <c r="J352" s="25" t="s">
        <v>55</v>
      </c>
      <c r="K352" s="25" t="s">
        <v>1720</v>
      </c>
      <c r="L352" s="25" t="s">
        <v>103</v>
      </c>
      <c r="M352" s="25" t="s">
        <v>55</v>
      </c>
      <c r="N352" s="25" t="s">
        <v>55</v>
      </c>
      <c r="O352" s="25" t="s">
        <v>2341</v>
      </c>
      <c r="P352" s="25" t="s">
        <v>2298</v>
      </c>
      <c r="Q352" s="25" t="s">
        <v>2342</v>
      </c>
      <c r="R352" s="25" t="s">
        <v>55</v>
      </c>
      <c r="S352" s="25" t="s">
        <v>2300</v>
      </c>
      <c r="T352" s="25" t="s">
        <v>2301</v>
      </c>
      <c r="U352" s="25" t="s">
        <v>55</v>
      </c>
      <c r="V352" s="26">
        <v>46022</v>
      </c>
      <c r="W352" s="25" t="s">
        <v>55</v>
      </c>
      <c r="X352" s="25" t="s">
        <v>2343</v>
      </c>
      <c r="Y352" s="25" t="s">
        <v>65</v>
      </c>
      <c r="Z352" s="25" t="s">
        <v>55</v>
      </c>
      <c r="AA352" s="25" t="s">
        <v>221</v>
      </c>
      <c r="AB352" s="25" t="s">
        <v>55</v>
      </c>
      <c r="AC352" s="25" t="s">
        <v>55</v>
      </c>
      <c r="AD352" s="25" t="s">
        <v>118</v>
      </c>
      <c r="AE352" s="25" t="s">
        <v>97</v>
      </c>
      <c r="AF352" s="25" t="s">
        <v>55</v>
      </c>
      <c r="AG352" s="25" t="s">
        <v>55</v>
      </c>
      <c r="AH352" s="25" t="s">
        <v>55</v>
      </c>
      <c r="AI352" s="25" t="s">
        <v>55</v>
      </c>
      <c r="AJ352" s="25" t="s">
        <v>55</v>
      </c>
      <c r="AK352" s="25" t="s">
        <v>55</v>
      </c>
      <c r="AL352" s="25" t="s">
        <v>55</v>
      </c>
      <c r="AM352" s="25" t="s">
        <v>55</v>
      </c>
      <c r="AN352" s="25" t="s">
        <v>55</v>
      </c>
      <c r="AO352" s="25" t="s">
        <v>55</v>
      </c>
      <c r="AP352" s="25" t="s">
        <v>55</v>
      </c>
      <c r="AQ352" s="25" t="s">
        <v>55</v>
      </c>
      <c r="AR352" s="25" t="s">
        <v>55</v>
      </c>
      <c r="AS352" s="25" t="s">
        <v>55</v>
      </c>
      <c r="AT352" s="25" t="s">
        <v>55</v>
      </c>
      <c r="AU352" s="25" t="s">
        <v>55</v>
      </c>
      <c r="AV352" s="25" t="s">
        <v>55</v>
      </c>
      <c r="AW352" s="25" t="s">
        <v>55</v>
      </c>
      <c r="AX352" s="26">
        <v>45973</v>
      </c>
      <c r="AY352" s="25" t="s">
        <v>2161</v>
      </c>
      <c r="AZ352" s="20">
        <f t="shared" si="19"/>
        <v>-40</v>
      </c>
      <c r="BA352" s="17" t="e">
        <f t="shared" si="20"/>
        <v>#N/A</v>
      </c>
      <c r="BB352" s="21" t="s">
        <v>335</v>
      </c>
    </row>
    <row r="353" spans="1:54" x14ac:dyDescent="0.35">
      <c r="A353" s="25" t="s">
        <v>2344</v>
      </c>
      <c r="B353" s="25" t="s">
        <v>347</v>
      </c>
      <c r="C353" s="25" t="s">
        <v>588</v>
      </c>
      <c r="D353" s="25" t="s">
        <v>465</v>
      </c>
      <c r="E353" s="25" t="s">
        <v>52</v>
      </c>
      <c r="F353" s="25" t="s">
        <v>245</v>
      </c>
      <c r="G353" s="25" t="s">
        <v>126</v>
      </c>
      <c r="H353" s="25" t="s">
        <v>157</v>
      </c>
      <c r="I353" s="25" t="s">
        <v>149</v>
      </c>
      <c r="J353" s="25" t="s">
        <v>55</v>
      </c>
      <c r="K353" s="25" t="s">
        <v>1720</v>
      </c>
      <c r="L353" s="25" t="s">
        <v>103</v>
      </c>
      <c r="M353" s="25" t="s">
        <v>55</v>
      </c>
      <c r="N353" s="25" t="s">
        <v>55</v>
      </c>
      <c r="O353" s="25" t="s">
        <v>2345</v>
      </c>
      <c r="P353" s="25" t="s">
        <v>2298</v>
      </c>
      <c r="Q353" s="25" t="s">
        <v>2346</v>
      </c>
      <c r="R353" s="25" t="s">
        <v>55</v>
      </c>
      <c r="S353" s="25" t="s">
        <v>2300</v>
      </c>
      <c r="T353" s="25" t="s">
        <v>2301</v>
      </c>
      <c r="U353" s="25" t="s">
        <v>55</v>
      </c>
      <c r="V353" s="26">
        <v>46022</v>
      </c>
      <c r="W353" s="25" t="s">
        <v>55</v>
      </c>
      <c r="X353" s="25" t="s">
        <v>2347</v>
      </c>
      <c r="Y353" s="25" t="s">
        <v>65</v>
      </c>
      <c r="Z353" s="25" t="s">
        <v>55</v>
      </c>
      <c r="AA353" s="25" t="s">
        <v>221</v>
      </c>
      <c r="AB353" s="25" t="s">
        <v>55</v>
      </c>
      <c r="AC353" s="25" t="s">
        <v>55</v>
      </c>
      <c r="AD353" s="25" t="s">
        <v>118</v>
      </c>
      <c r="AE353" s="25" t="s">
        <v>97</v>
      </c>
      <c r="AF353" s="25" t="s">
        <v>55</v>
      </c>
      <c r="AG353" s="25" t="s">
        <v>55</v>
      </c>
      <c r="AH353" s="25" t="s">
        <v>55</v>
      </c>
      <c r="AI353" s="25" t="s">
        <v>55</v>
      </c>
      <c r="AJ353" s="25" t="s">
        <v>55</v>
      </c>
      <c r="AK353" s="25" t="s">
        <v>55</v>
      </c>
      <c r="AL353" s="25" t="s">
        <v>55</v>
      </c>
      <c r="AM353" s="25" t="s">
        <v>55</v>
      </c>
      <c r="AN353" s="25" t="s">
        <v>55</v>
      </c>
      <c r="AO353" s="25" t="s">
        <v>55</v>
      </c>
      <c r="AP353" s="25" t="s">
        <v>55</v>
      </c>
      <c r="AQ353" s="25" t="s">
        <v>55</v>
      </c>
      <c r="AR353" s="25" t="s">
        <v>55</v>
      </c>
      <c r="AS353" s="25" t="s">
        <v>55</v>
      </c>
      <c r="AT353" s="25" t="s">
        <v>55</v>
      </c>
      <c r="AU353" s="25" t="s">
        <v>55</v>
      </c>
      <c r="AV353" s="25" t="s">
        <v>55</v>
      </c>
      <c r="AW353" s="25" t="s">
        <v>55</v>
      </c>
      <c r="AX353" s="26">
        <v>45973</v>
      </c>
      <c r="AY353" s="25" t="s">
        <v>2161</v>
      </c>
      <c r="AZ353" s="20">
        <f t="shared" si="19"/>
        <v>-40</v>
      </c>
      <c r="BA353" s="17" t="e">
        <f t="shared" si="20"/>
        <v>#N/A</v>
      </c>
      <c r="BB353" s="21" t="s">
        <v>335</v>
      </c>
    </row>
    <row r="354" spans="1:54" x14ac:dyDescent="0.35">
      <c r="A354" s="25" t="s">
        <v>2348</v>
      </c>
      <c r="B354" s="25" t="s">
        <v>347</v>
      </c>
      <c r="C354" s="25" t="s">
        <v>588</v>
      </c>
      <c r="D354" s="25" t="s">
        <v>465</v>
      </c>
      <c r="E354" s="25" t="s">
        <v>52</v>
      </c>
      <c r="F354" s="25" t="s">
        <v>817</v>
      </c>
      <c r="G354" s="25" t="s">
        <v>606</v>
      </c>
      <c r="H354" s="25" t="s">
        <v>818</v>
      </c>
      <c r="I354" s="25" t="s">
        <v>149</v>
      </c>
      <c r="J354" s="25" t="s">
        <v>55</v>
      </c>
      <c r="K354" s="25" t="s">
        <v>1720</v>
      </c>
      <c r="L354" s="25" t="s">
        <v>103</v>
      </c>
      <c r="M354" s="25" t="s">
        <v>55</v>
      </c>
      <c r="N354" s="25" t="s">
        <v>55</v>
      </c>
      <c r="O354" s="25" t="s">
        <v>2349</v>
      </c>
      <c r="P354" s="25" t="s">
        <v>2298</v>
      </c>
      <c r="Q354" s="25" t="s">
        <v>2350</v>
      </c>
      <c r="R354" s="25" t="s">
        <v>55</v>
      </c>
      <c r="S354" s="25" t="s">
        <v>2300</v>
      </c>
      <c r="T354" s="25" t="s">
        <v>2301</v>
      </c>
      <c r="U354" s="25" t="s">
        <v>55</v>
      </c>
      <c r="V354" s="26">
        <v>46022</v>
      </c>
      <c r="W354" s="25" t="s">
        <v>55</v>
      </c>
      <c r="X354" s="25" t="s">
        <v>2351</v>
      </c>
      <c r="Y354" s="25" t="s">
        <v>65</v>
      </c>
      <c r="Z354" s="25" t="s">
        <v>55</v>
      </c>
      <c r="AA354" s="25" t="s">
        <v>221</v>
      </c>
      <c r="AB354" s="25" t="s">
        <v>55</v>
      </c>
      <c r="AC354" s="25" t="s">
        <v>55</v>
      </c>
      <c r="AD354" s="25" t="s">
        <v>118</v>
      </c>
      <c r="AE354" s="25" t="s">
        <v>97</v>
      </c>
      <c r="AF354" s="25" t="s">
        <v>55</v>
      </c>
      <c r="AG354" s="25" t="s">
        <v>55</v>
      </c>
      <c r="AH354" s="25" t="s">
        <v>55</v>
      </c>
      <c r="AI354" s="25" t="s">
        <v>55</v>
      </c>
      <c r="AJ354" s="25" t="s">
        <v>55</v>
      </c>
      <c r="AK354" s="25" t="s">
        <v>55</v>
      </c>
      <c r="AL354" s="25" t="s">
        <v>55</v>
      </c>
      <c r="AM354" s="25" t="s">
        <v>55</v>
      </c>
      <c r="AN354" s="25" t="s">
        <v>55</v>
      </c>
      <c r="AO354" s="25" t="s">
        <v>55</v>
      </c>
      <c r="AP354" s="25" t="s">
        <v>55</v>
      </c>
      <c r="AQ354" s="25" t="s">
        <v>55</v>
      </c>
      <c r="AR354" s="25" t="s">
        <v>55</v>
      </c>
      <c r="AS354" s="25" t="s">
        <v>55</v>
      </c>
      <c r="AT354" s="25" t="s">
        <v>55</v>
      </c>
      <c r="AU354" s="25" t="s">
        <v>55</v>
      </c>
      <c r="AV354" s="25" t="s">
        <v>55</v>
      </c>
      <c r="AW354" s="25" t="s">
        <v>55</v>
      </c>
      <c r="AX354" s="26">
        <v>45973</v>
      </c>
      <c r="AY354" s="25" t="s">
        <v>2161</v>
      </c>
      <c r="AZ354" s="20">
        <f t="shared" si="19"/>
        <v>-40</v>
      </c>
      <c r="BA354" s="17" t="e">
        <f t="shared" si="20"/>
        <v>#N/A</v>
      </c>
      <c r="BB354" s="21" t="s">
        <v>335</v>
      </c>
    </row>
    <row r="355" spans="1:54" x14ac:dyDescent="0.35">
      <c r="A355" s="25" t="s">
        <v>2352</v>
      </c>
      <c r="B355" s="25" t="s">
        <v>347</v>
      </c>
      <c r="C355" s="25" t="s">
        <v>588</v>
      </c>
      <c r="D355" s="25" t="s">
        <v>465</v>
      </c>
      <c r="E355" s="25" t="s">
        <v>52</v>
      </c>
      <c r="F355" s="25" t="s">
        <v>1136</v>
      </c>
      <c r="G355" s="25" t="s">
        <v>126</v>
      </c>
      <c r="H355" s="25" t="s">
        <v>1137</v>
      </c>
      <c r="I355" s="25" t="s">
        <v>149</v>
      </c>
      <c r="J355" s="25" t="s">
        <v>55</v>
      </c>
      <c r="K355" s="25" t="s">
        <v>1720</v>
      </c>
      <c r="L355" s="25" t="s">
        <v>103</v>
      </c>
      <c r="M355" s="25" t="s">
        <v>55</v>
      </c>
      <c r="N355" s="25" t="s">
        <v>55</v>
      </c>
      <c r="O355" s="25" t="s">
        <v>2353</v>
      </c>
      <c r="P355" s="25" t="s">
        <v>2298</v>
      </c>
      <c r="Q355" s="25" t="s">
        <v>2354</v>
      </c>
      <c r="R355" s="25" t="s">
        <v>55</v>
      </c>
      <c r="S355" s="25" t="s">
        <v>2300</v>
      </c>
      <c r="T355" s="25" t="s">
        <v>2301</v>
      </c>
      <c r="U355" s="25" t="s">
        <v>55</v>
      </c>
      <c r="V355" s="26">
        <v>46022</v>
      </c>
      <c r="W355" s="25" t="s">
        <v>55</v>
      </c>
      <c r="X355" s="25" t="s">
        <v>2355</v>
      </c>
      <c r="Y355" s="25" t="s">
        <v>65</v>
      </c>
      <c r="Z355" s="25" t="s">
        <v>55</v>
      </c>
      <c r="AA355" s="25" t="s">
        <v>221</v>
      </c>
      <c r="AB355" s="25" t="s">
        <v>55</v>
      </c>
      <c r="AC355" s="25" t="s">
        <v>55</v>
      </c>
      <c r="AD355" s="25" t="s">
        <v>118</v>
      </c>
      <c r="AE355" s="25" t="s">
        <v>97</v>
      </c>
      <c r="AF355" s="25" t="s">
        <v>55</v>
      </c>
      <c r="AG355" s="25" t="s">
        <v>55</v>
      </c>
      <c r="AH355" s="25" t="s">
        <v>55</v>
      </c>
      <c r="AI355" s="25" t="s">
        <v>55</v>
      </c>
      <c r="AJ355" s="25" t="s">
        <v>55</v>
      </c>
      <c r="AK355" s="25" t="s">
        <v>55</v>
      </c>
      <c r="AL355" s="25" t="s">
        <v>55</v>
      </c>
      <c r="AM355" s="25" t="s">
        <v>55</v>
      </c>
      <c r="AN355" s="25" t="s">
        <v>55</v>
      </c>
      <c r="AO355" s="25" t="s">
        <v>55</v>
      </c>
      <c r="AP355" s="25" t="s">
        <v>55</v>
      </c>
      <c r="AQ355" s="25" t="s">
        <v>55</v>
      </c>
      <c r="AR355" s="25" t="s">
        <v>55</v>
      </c>
      <c r="AS355" s="25" t="s">
        <v>55</v>
      </c>
      <c r="AT355" s="25" t="s">
        <v>55</v>
      </c>
      <c r="AU355" s="25" t="s">
        <v>55</v>
      </c>
      <c r="AV355" s="25" t="s">
        <v>55</v>
      </c>
      <c r="AW355" s="25" t="s">
        <v>55</v>
      </c>
      <c r="AX355" s="26">
        <v>45973</v>
      </c>
      <c r="AY355" s="25" t="s">
        <v>2161</v>
      </c>
      <c r="AZ355" s="20">
        <f t="shared" si="19"/>
        <v>-40</v>
      </c>
      <c r="BA355" s="17" t="e">
        <f t="shared" si="20"/>
        <v>#N/A</v>
      </c>
      <c r="BB355" s="21" t="s">
        <v>335</v>
      </c>
    </row>
    <row r="356" spans="1:54" x14ac:dyDescent="0.35">
      <c r="A356" s="25" t="s">
        <v>2356</v>
      </c>
      <c r="B356" s="25" t="s">
        <v>347</v>
      </c>
      <c r="C356" s="25" t="s">
        <v>588</v>
      </c>
      <c r="D356" s="25" t="s">
        <v>465</v>
      </c>
      <c r="E356" s="25" t="s">
        <v>52</v>
      </c>
      <c r="F356" s="25" t="s">
        <v>1147</v>
      </c>
      <c r="G356" s="25" t="s">
        <v>54</v>
      </c>
      <c r="H356" s="25" t="s">
        <v>1713</v>
      </c>
      <c r="I356" s="25" t="s">
        <v>149</v>
      </c>
      <c r="J356" s="25" t="s">
        <v>55</v>
      </c>
      <c r="K356" s="25" t="s">
        <v>1720</v>
      </c>
      <c r="L356" s="25" t="s">
        <v>103</v>
      </c>
      <c r="M356" s="25" t="s">
        <v>55</v>
      </c>
      <c r="N356" s="25" t="s">
        <v>55</v>
      </c>
      <c r="O356" s="25" t="s">
        <v>2357</v>
      </c>
      <c r="P356" s="25" t="s">
        <v>2298</v>
      </c>
      <c r="Q356" s="25" t="s">
        <v>2358</v>
      </c>
      <c r="R356" s="25" t="s">
        <v>55</v>
      </c>
      <c r="S356" s="25" t="s">
        <v>2300</v>
      </c>
      <c r="T356" s="25" t="s">
        <v>2301</v>
      </c>
      <c r="U356" s="25" t="s">
        <v>55</v>
      </c>
      <c r="V356" s="26">
        <v>46022</v>
      </c>
      <c r="W356" s="25" t="s">
        <v>55</v>
      </c>
      <c r="X356" s="25" t="s">
        <v>2359</v>
      </c>
      <c r="Y356" s="25" t="s">
        <v>65</v>
      </c>
      <c r="Z356" s="25" t="s">
        <v>55</v>
      </c>
      <c r="AA356" s="25" t="s">
        <v>221</v>
      </c>
      <c r="AB356" s="25" t="s">
        <v>55</v>
      </c>
      <c r="AC356" s="25" t="s">
        <v>55</v>
      </c>
      <c r="AD356" s="25" t="s">
        <v>118</v>
      </c>
      <c r="AE356" s="25" t="s">
        <v>97</v>
      </c>
      <c r="AF356" s="25" t="s">
        <v>55</v>
      </c>
      <c r="AG356" s="25" t="s">
        <v>55</v>
      </c>
      <c r="AH356" s="25" t="s">
        <v>55</v>
      </c>
      <c r="AI356" s="25" t="s">
        <v>55</v>
      </c>
      <c r="AJ356" s="25" t="s">
        <v>55</v>
      </c>
      <c r="AK356" s="25" t="s">
        <v>55</v>
      </c>
      <c r="AL356" s="25" t="s">
        <v>55</v>
      </c>
      <c r="AM356" s="25" t="s">
        <v>55</v>
      </c>
      <c r="AN356" s="25" t="s">
        <v>55</v>
      </c>
      <c r="AO356" s="25" t="s">
        <v>55</v>
      </c>
      <c r="AP356" s="25" t="s">
        <v>55</v>
      </c>
      <c r="AQ356" s="25" t="s">
        <v>55</v>
      </c>
      <c r="AR356" s="25" t="s">
        <v>55</v>
      </c>
      <c r="AS356" s="25" t="s">
        <v>55</v>
      </c>
      <c r="AT356" s="25" t="s">
        <v>55</v>
      </c>
      <c r="AU356" s="25" t="s">
        <v>55</v>
      </c>
      <c r="AV356" s="25" t="s">
        <v>55</v>
      </c>
      <c r="AW356" s="25" t="s">
        <v>55</v>
      </c>
      <c r="AX356" s="26">
        <v>45973</v>
      </c>
      <c r="AY356" s="25" t="s">
        <v>2161</v>
      </c>
      <c r="AZ356" s="20">
        <f t="shared" si="19"/>
        <v>-40</v>
      </c>
      <c r="BA356" s="17" t="e">
        <f t="shared" si="20"/>
        <v>#N/A</v>
      </c>
      <c r="BB356" s="21" t="s">
        <v>335</v>
      </c>
    </row>
    <row r="357" spans="1:54" x14ac:dyDescent="0.35">
      <c r="A357" s="25" t="s">
        <v>2360</v>
      </c>
      <c r="B357" s="25" t="s">
        <v>347</v>
      </c>
      <c r="C357" s="25" t="s">
        <v>588</v>
      </c>
      <c r="D357" s="25" t="s">
        <v>465</v>
      </c>
      <c r="E357" s="25" t="s">
        <v>52</v>
      </c>
      <c r="F357" s="25" t="s">
        <v>2361</v>
      </c>
      <c r="G357" s="25" t="s">
        <v>54</v>
      </c>
      <c r="H357" s="25" t="s">
        <v>1713</v>
      </c>
      <c r="I357" s="25" t="s">
        <v>149</v>
      </c>
      <c r="J357" s="25" t="s">
        <v>55</v>
      </c>
      <c r="K357" s="25" t="s">
        <v>1720</v>
      </c>
      <c r="L357" s="25" t="s">
        <v>103</v>
      </c>
      <c r="M357" s="25" t="s">
        <v>55</v>
      </c>
      <c r="N357" s="25" t="s">
        <v>55</v>
      </c>
      <c r="O357" s="25" t="s">
        <v>2362</v>
      </c>
      <c r="P357" s="25" t="s">
        <v>2298</v>
      </c>
      <c r="Q357" s="25" t="s">
        <v>2363</v>
      </c>
      <c r="R357" s="25" t="s">
        <v>55</v>
      </c>
      <c r="S357" s="25" t="s">
        <v>2300</v>
      </c>
      <c r="T357" s="25" t="s">
        <v>2301</v>
      </c>
      <c r="U357" s="25" t="s">
        <v>55</v>
      </c>
      <c r="V357" s="26">
        <v>46022</v>
      </c>
      <c r="W357" s="25" t="s">
        <v>55</v>
      </c>
      <c r="X357" s="25" t="s">
        <v>2364</v>
      </c>
      <c r="Y357" s="25" t="s">
        <v>65</v>
      </c>
      <c r="Z357" s="25" t="s">
        <v>55</v>
      </c>
      <c r="AA357" s="25" t="s">
        <v>221</v>
      </c>
      <c r="AB357" s="25" t="s">
        <v>55</v>
      </c>
      <c r="AC357" s="25" t="s">
        <v>55</v>
      </c>
      <c r="AD357" s="25" t="s">
        <v>118</v>
      </c>
      <c r="AE357" s="25" t="s">
        <v>97</v>
      </c>
      <c r="AF357" s="25" t="s">
        <v>55</v>
      </c>
      <c r="AG357" s="25" t="s">
        <v>55</v>
      </c>
      <c r="AH357" s="25" t="s">
        <v>55</v>
      </c>
      <c r="AI357" s="25" t="s">
        <v>55</v>
      </c>
      <c r="AJ357" s="25" t="s">
        <v>55</v>
      </c>
      <c r="AK357" s="25" t="s">
        <v>55</v>
      </c>
      <c r="AL357" s="25" t="s">
        <v>55</v>
      </c>
      <c r="AM357" s="25" t="s">
        <v>55</v>
      </c>
      <c r="AN357" s="25" t="s">
        <v>55</v>
      </c>
      <c r="AO357" s="25" t="s">
        <v>55</v>
      </c>
      <c r="AP357" s="25" t="s">
        <v>55</v>
      </c>
      <c r="AQ357" s="25" t="s">
        <v>55</v>
      </c>
      <c r="AR357" s="25" t="s">
        <v>55</v>
      </c>
      <c r="AS357" s="25" t="s">
        <v>55</v>
      </c>
      <c r="AT357" s="25" t="s">
        <v>55</v>
      </c>
      <c r="AU357" s="25" t="s">
        <v>55</v>
      </c>
      <c r="AV357" s="25" t="s">
        <v>55</v>
      </c>
      <c r="AW357" s="25" t="s">
        <v>55</v>
      </c>
      <c r="AX357" s="26">
        <v>45973</v>
      </c>
      <c r="AY357" s="25" t="s">
        <v>2161</v>
      </c>
      <c r="AZ357" s="20">
        <f t="shared" si="19"/>
        <v>-40</v>
      </c>
      <c r="BA357" s="17" t="e">
        <f t="shared" si="20"/>
        <v>#N/A</v>
      </c>
      <c r="BB357" s="21" t="s">
        <v>335</v>
      </c>
    </row>
    <row r="358" spans="1:54" x14ac:dyDescent="0.35">
      <c r="A358" s="25" t="s">
        <v>2365</v>
      </c>
      <c r="B358" s="25" t="s">
        <v>347</v>
      </c>
      <c r="C358" s="25" t="s">
        <v>588</v>
      </c>
      <c r="D358" s="25" t="s">
        <v>465</v>
      </c>
      <c r="E358" s="25" t="s">
        <v>52</v>
      </c>
      <c r="F358" s="25" t="s">
        <v>896</v>
      </c>
      <c r="G358" s="25" t="s">
        <v>54</v>
      </c>
      <c r="H358" s="25" t="s">
        <v>1727</v>
      </c>
      <c r="I358" s="25" t="s">
        <v>149</v>
      </c>
      <c r="J358" s="25" t="s">
        <v>55</v>
      </c>
      <c r="K358" s="25" t="s">
        <v>1720</v>
      </c>
      <c r="L358" s="25" t="s">
        <v>103</v>
      </c>
      <c r="M358" s="25" t="s">
        <v>55</v>
      </c>
      <c r="N358" s="25" t="s">
        <v>55</v>
      </c>
      <c r="O358" s="25" t="s">
        <v>2366</v>
      </c>
      <c r="P358" s="25" t="s">
        <v>2298</v>
      </c>
      <c r="Q358" s="25" t="s">
        <v>2367</v>
      </c>
      <c r="R358" s="25" t="s">
        <v>55</v>
      </c>
      <c r="S358" s="25" t="s">
        <v>2300</v>
      </c>
      <c r="T358" s="25" t="s">
        <v>2301</v>
      </c>
      <c r="U358" s="25" t="s">
        <v>55</v>
      </c>
      <c r="V358" s="26">
        <v>46022</v>
      </c>
      <c r="W358" s="25" t="s">
        <v>55</v>
      </c>
      <c r="X358" s="25" t="s">
        <v>2368</v>
      </c>
      <c r="Y358" s="25" t="s">
        <v>65</v>
      </c>
      <c r="Z358" s="25" t="s">
        <v>55</v>
      </c>
      <c r="AA358" s="25" t="s">
        <v>221</v>
      </c>
      <c r="AB358" s="25" t="s">
        <v>55</v>
      </c>
      <c r="AC358" s="25" t="s">
        <v>55</v>
      </c>
      <c r="AD358" s="25" t="s">
        <v>118</v>
      </c>
      <c r="AE358" s="25" t="s">
        <v>97</v>
      </c>
      <c r="AF358" s="25" t="s">
        <v>55</v>
      </c>
      <c r="AG358" s="25" t="s">
        <v>55</v>
      </c>
      <c r="AH358" s="25" t="s">
        <v>55</v>
      </c>
      <c r="AI358" s="25" t="s">
        <v>55</v>
      </c>
      <c r="AJ358" s="25" t="s">
        <v>55</v>
      </c>
      <c r="AK358" s="25" t="s">
        <v>55</v>
      </c>
      <c r="AL358" s="25" t="s">
        <v>55</v>
      </c>
      <c r="AM358" s="25" t="s">
        <v>55</v>
      </c>
      <c r="AN358" s="25" t="s">
        <v>55</v>
      </c>
      <c r="AO358" s="25" t="s">
        <v>55</v>
      </c>
      <c r="AP358" s="25" t="s">
        <v>55</v>
      </c>
      <c r="AQ358" s="25" t="s">
        <v>55</v>
      </c>
      <c r="AR358" s="25" t="s">
        <v>55</v>
      </c>
      <c r="AS358" s="25" t="s">
        <v>55</v>
      </c>
      <c r="AT358" s="25" t="s">
        <v>55</v>
      </c>
      <c r="AU358" s="25" t="s">
        <v>55</v>
      </c>
      <c r="AV358" s="25" t="s">
        <v>55</v>
      </c>
      <c r="AW358" s="25" t="s">
        <v>55</v>
      </c>
      <c r="AX358" s="26">
        <v>45973</v>
      </c>
      <c r="AY358" s="25" t="s">
        <v>2161</v>
      </c>
      <c r="AZ358" s="20">
        <f t="shared" si="19"/>
        <v>-40</v>
      </c>
      <c r="BA358" s="17" t="e">
        <f t="shared" si="20"/>
        <v>#N/A</v>
      </c>
      <c r="BB358" s="21" t="s">
        <v>335</v>
      </c>
    </row>
    <row r="359" spans="1:54" x14ac:dyDescent="0.35">
      <c r="A359" s="25" t="s">
        <v>2369</v>
      </c>
      <c r="B359" s="25" t="s">
        <v>347</v>
      </c>
      <c r="C359" s="25" t="s">
        <v>588</v>
      </c>
      <c r="D359" s="25" t="s">
        <v>465</v>
      </c>
      <c r="E359" s="25" t="s">
        <v>52</v>
      </c>
      <c r="F359" s="25" t="s">
        <v>2370</v>
      </c>
      <c r="G359" s="25" t="s">
        <v>54</v>
      </c>
      <c r="H359" s="25" t="s">
        <v>1713</v>
      </c>
      <c r="I359" s="25" t="s">
        <v>149</v>
      </c>
      <c r="J359" s="25" t="s">
        <v>55</v>
      </c>
      <c r="K359" s="25" t="s">
        <v>1720</v>
      </c>
      <c r="L359" s="25" t="s">
        <v>103</v>
      </c>
      <c r="M359" s="25" t="s">
        <v>55</v>
      </c>
      <c r="N359" s="25" t="s">
        <v>55</v>
      </c>
      <c r="O359" s="25" t="s">
        <v>2371</v>
      </c>
      <c r="P359" s="25" t="s">
        <v>2298</v>
      </c>
      <c r="Q359" s="25" t="s">
        <v>2372</v>
      </c>
      <c r="R359" s="25" t="s">
        <v>55</v>
      </c>
      <c r="S359" s="25" t="s">
        <v>2300</v>
      </c>
      <c r="T359" s="25" t="s">
        <v>2301</v>
      </c>
      <c r="U359" s="25" t="s">
        <v>55</v>
      </c>
      <c r="V359" s="26">
        <v>46022</v>
      </c>
      <c r="W359" s="25" t="s">
        <v>55</v>
      </c>
      <c r="X359" s="25" t="s">
        <v>2373</v>
      </c>
      <c r="Y359" s="25" t="s">
        <v>65</v>
      </c>
      <c r="Z359" s="25" t="s">
        <v>55</v>
      </c>
      <c r="AA359" s="25" t="s">
        <v>221</v>
      </c>
      <c r="AB359" s="25" t="s">
        <v>55</v>
      </c>
      <c r="AC359" s="25" t="s">
        <v>55</v>
      </c>
      <c r="AD359" s="25" t="s">
        <v>118</v>
      </c>
      <c r="AE359" s="25" t="s">
        <v>97</v>
      </c>
      <c r="AF359" s="25" t="s">
        <v>55</v>
      </c>
      <c r="AG359" s="25" t="s">
        <v>55</v>
      </c>
      <c r="AH359" s="25" t="s">
        <v>55</v>
      </c>
      <c r="AI359" s="25" t="s">
        <v>55</v>
      </c>
      <c r="AJ359" s="25" t="s">
        <v>55</v>
      </c>
      <c r="AK359" s="25" t="s">
        <v>55</v>
      </c>
      <c r="AL359" s="25" t="s">
        <v>55</v>
      </c>
      <c r="AM359" s="25" t="s">
        <v>55</v>
      </c>
      <c r="AN359" s="25" t="s">
        <v>55</v>
      </c>
      <c r="AO359" s="25" t="s">
        <v>55</v>
      </c>
      <c r="AP359" s="25" t="s">
        <v>55</v>
      </c>
      <c r="AQ359" s="25" t="s">
        <v>55</v>
      </c>
      <c r="AR359" s="25" t="s">
        <v>55</v>
      </c>
      <c r="AS359" s="25" t="s">
        <v>55</v>
      </c>
      <c r="AT359" s="25" t="s">
        <v>55</v>
      </c>
      <c r="AU359" s="25" t="s">
        <v>55</v>
      </c>
      <c r="AV359" s="25" t="s">
        <v>55</v>
      </c>
      <c r="AW359" s="25" t="s">
        <v>55</v>
      </c>
      <c r="AX359" s="26">
        <v>45973</v>
      </c>
      <c r="AY359" s="25" t="s">
        <v>2161</v>
      </c>
      <c r="AZ359" s="20">
        <f t="shared" si="19"/>
        <v>-40</v>
      </c>
      <c r="BA359" s="17" t="e">
        <f t="shared" si="20"/>
        <v>#N/A</v>
      </c>
      <c r="BB359" s="21" t="s">
        <v>335</v>
      </c>
    </row>
    <row r="360" spans="1:54" x14ac:dyDescent="0.35">
      <c r="A360" s="25" t="s">
        <v>2374</v>
      </c>
      <c r="B360" s="25" t="s">
        <v>347</v>
      </c>
      <c r="C360" s="25" t="s">
        <v>588</v>
      </c>
      <c r="D360" s="25" t="s">
        <v>465</v>
      </c>
      <c r="E360" s="25" t="s">
        <v>52</v>
      </c>
      <c r="F360" s="25" t="s">
        <v>2375</v>
      </c>
      <c r="G360" s="25" t="s">
        <v>54</v>
      </c>
      <c r="H360" s="25" t="s">
        <v>1714</v>
      </c>
      <c r="I360" s="25" t="s">
        <v>149</v>
      </c>
      <c r="J360" s="25" t="s">
        <v>55</v>
      </c>
      <c r="K360" s="25" t="s">
        <v>1720</v>
      </c>
      <c r="L360" s="25" t="s">
        <v>103</v>
      </c>
      <c r="M360" s="25" t="s">
        <v>55</v>
      </c>
      <c r="N360" s="25" t="s">
        <v>55</v>
      </c>
      <c r="O360" s="25" t="s">
        <v>2376</v>
      </c>
      <c r="P360" s="25" t="s">
        <v>2298</v>
      </c>
      <c r="Q360" s="25" t="s">
        <v>2377</v>
      </c>
      <c r="R360" s="25" t="s">
        <v>55</v>
      </c>
      <c r="S360" s="25" t="s">
        <v>2300</v>
      </c>
      <c r="T360" s="25" t="s">
        <v>2301</v>
      </c>
      <c r="U360" s="25" t="s">
        <v>55</v>
      </c>
      <c r="V360" s="26">
        <v>46022</v>
      </c>
      <c r="W360" s="25" t="s">
        <v>55</v>
      </c>
      <c r="X360" s="25" t="s">
        <v>2378</v>
      </c>
      <c r="Y360" s="25" t="s">
        <v>65</v>
      </c>
      <c r="Z360" s="25" t="s">
        <v>55</v>
      </c>
      <c r="AA360" s="25" t="s">
        <v>221</v>
      </c>
      <c r="AB360" s="25" t="s">
        <v>55</v>
      </c>
      <c r="AC360" s="25" t="s">
        <v>55</v>
      </c>
      <c r="AD360" s="25" t="s">
        <v>118</v>
      </c>
      <c r="AE360" s="25" t="s">
        <v>97</v>
      </c>
      <c r="AF360" s="25" t="s">
        <v>55</v>
      </c>
      <c r="AG360" s="25" t="s">
        <v>55</v>
      </c>
      <c r="AH360" s="25" t="s">
        <v>55</v>
      </c>
      <c r="AI360" s="25" t="s">
        <v>55</v>
      </c>
      <c r="AJ360" s="25" t="s">
        <v>55</v>
      </c>
      <c r="AK360" s="25" t="s">
        <v>55</v>
      </c>
      <c r="AL360" s="25" t="s">
        <v>55</v>
      </c>
      <c r="AM360" s="25" t="s">
        <v>55</v>
      </c>
      <c r="AN360" s="25" t="s">
        <v>55</v>
      </c>
      <c r="AO360" s="25" t="s">
        <v>55</v>
      </c>
      <c r="AP360" s="25" t="s">
        <v>55</v>
      </c>
      <c r="AQ360" s="25" t="s">
        <v>55</v>
      </c>
      <c r="AR360" s="25" t="s">
        <v>55</v>
      </c>
      <c r="AS360" s="25" t="s">
        <v>55</v>
      </c>
      <c r="AT360" s="25" t="s">
        <v>55</v>
      </c>
      <c r="AU360" s="25" t="s">
        <v>55</v>
      </c>
      <c r="AV360" s="25" t="s">
        <v>55</v>
      </c>
      <c r="AW360" s="25" t="s">
        <v>55</v>
      </c>
      <c r="AX360" s="26">
        <v>45973</v>
      </c>
      <c r="AY360" s="25" t="s">
        <v>2161</v>
      </c>
      <c r="AZ360" s="20">
        <f t="shared" si="19"/>
        <v>-40</v>
      </c>
      <c r="BA360" s="17" t="e">
        <f t="shared" si="20"/>
        <v>#N/A</v>
      </c>
      <c r="BB360" s="21" t="s">
        <v>335</v>
      </c>
    </row>
    <row r="361" spans="1:54" x14ac:dyDescent="0.35">
      <c r="A361" s="25" t="s">
        <v>2379</v>
      </c>
      <c r="B361" s="25" t="s">
        <v>347</v>
      </c>
      <c r="C361" s="25" t="s">
        <v>588</v>
      </c>
      <c r="D361" s="25" t="s">
        <v>465</v>
      </c>
      <c r="E361" s="25" t="s">
        <v>52</v>
      </c>
      <c r="F361" s="25" t="s">
        <v>501</v>
      </c>
      <c r="G361" s="25" t="s">
        <v>54</v>
      </c>
      <c r="H361" s="25" t="s">
        <v>1711</v>
      </c>
      <c r="I361" s="25" t="s">
        <v>149</v>
      </c>
      <c r="J361" s="25" t="s">
        <v>55</v>
      </c>
      <c r="K361" s="25" t="s">
        <v>1720</v>
      </c>
      <c r="L361" s="25" t="s">
        <v>103</v>
      </c>
      <c r="M361" s="25" t="s">
        <v>55</v>
      </c>
      <c r="N361" s="25" t="s">
        <v>55</v>
      </c>
      <c r="O361" s="25" t="s">
        <v>2380</v>
      </c>
      <c r="P361" s="25" t="s">
        <v>2298</v>
      </c>
      <c r="Q361" s="25" t="s">
        <v>2381</v>
      </c>
      <c r="R361" s="25" t="s">
        <v>55</v>
      </c>
      <c r="S361" s="25" t="s">
        <v>2300</v>
      </c>
      <c r="T361" s="25" t="s">
        <v>2301</v>
      </c>
      <c r="U361" s="25" t="s">
        <v>55</v>
      </c>
      <c r="V361" s="26">
        <v>46022</v>
      </c>
      <c r="W361" s="25" t="s">
        <v>55</v>
      </c>
      <c r="X361" s="25" t="s">
        <v>2382</v>
      </c>
      <c r="Y361" s="25" t="s">
        <v>65</v>
      </c>
      <c r="Z361" s="25" t="s">
        <v>55</v>
      </c>
      <c r="AA361" s="25" t="s">
        <v>221</v>
      </c>
      <c r="AB361" s="25" t="s">
        <v>55</v>
      </c>
      <c r="AC361" s="25" t="s">
        <v>55</v>
      </c>
      <c r="AD361" s="25" t="s">
        <v>118</v>
      </c>
      <c r="AE361" s="25" t="s">
        <v>97</v>
      </c>
      <c r="AF361" s="25" t="s">
        <v>55</v>
      </c>
      <c r="AG361" s="25" t="s">
        <v>55</v>
      </c>
      <c r="AH361" s="25" t="s">
        <v>55</v>
      </c>
      <c r="AI361" s="25" t="s">
        <v>55</v>
      </c>
      <c r="AJ361" s="25" t="s">
        <v>55</v>
      </c>
      <c r="AK361" s="25" t="s">
        <v>55</v>
      </c>
      <c r="AL361" s="25" t="s">
        <v>55</v>
      </c>
      <c r="AM361" s="25" t="s">
        <v>55</v>
      </c>
      <c r="AN361" s="25" t="s">
        <v>55</v>
      </c>
      <c r="AO361" s="25" t="s">
        <v>55</v>
      </c>
      <c r="AP361" s="25" t="s">
        <v>55</v>
      </c>
      <c r="AQ361" s="25" t="s">
        <v>55</v>
      </c>
      <c r="AR361" s="25" t="s">
        <v>55</v>
      </c>
      <c r="AS361" s="25" t="s">
        <v>55</v>
      </c>
      <c r="AT361" s="25" t="s">
        <v>55</v>
      </c>
      <c r="AU361" s="25" t="s">
        <v>55</v>
      </c>
      <c r="AV361" s="25" t="s">
        <v>55</v>
      </c>
      <c r="AW361" s="25" t="s">
        <v>55</v>
      </c>
      <c r="AX361" s="26">
        <v>45973</v>
      </c>
      <c r="AY361" s="25" t="s">
        <v>2161</v>
      </c>
      <c r="AZ361" s="20">
        <f t="shared" si="19"/>
        <v>-40</v>
      </c>
      <c r="BA361" s="17" t="e">
        <f t="shared" si="20"/>
        <v>#N/A</v>
      </c>
      <c r="BB361" s="21" t="s">
        <v>335</v>
      </c>
    </row>
    <row r="362" spans="1:54" x14ac:dyDescent="0.35">
      <c r="A362" s="25" t="s">
        <v>2383</v>
      </c>
      <c r="B362" s="25" t="s">
        <v>347</v>
      </c>
      <c r="C362" s="25" t="s">
        <v>588</v>
      </c>
      <c r="D362" s="25" t="s">
        <v>465</v>
      </c>
      <c r="E362" s="25" t="s">
        <v>52</v>
      </c>
      <c r="F362" s="25" t="s">
        <v>2384</v>
      </c>
      <c r="G362" s="25" t="s">
        <v>54</v>
      </c>
      <c r="H362" s="25" t="s">
        <v>1727</v>
      </c>
      <c r="I362" s="25" t="s">
        <v>149</v>
      </c>
      <c r="J362" s="25" t="s">
        <v>55</v>
      </c>
      <c r="K362" s="25" t="s">
        <v>1720</v>
      </c>
      <c r="L362" s="25" t="s">
        <v>103</v>
      </c>
      <c r="M362" s="25" t="s">
        <v>55</v>
      </c>
      <c r="N362" s="25" t="s">
        <v>55</v>
      </c>
      <c r="O362" s="25" t="s">
        <v>2385</v>
      </c>
      <c r="P362" s="25" t="s">
        <v>2298</v>
      </c>
      <c r="Q362" s="25" t="s">
        <v>2386</v>
      </c>
      <c r="R362" s="25" t="s">
        <v>55</v>
      </c>
      <c r="S362" s="25" t="s">
        <v>2300</v>
      </c>
      <c r="T362" s="25" t="s">
        <v>2301</v>
      </c>
      <c r="U362" s="25" t="s">
        <v>55</v>
      </c>
      <c r="V362" s="26">
        <v>46022</v>
      </c>
      <c r="W362" s="25" t="s">
        <v>55</v>
      </c>
      <c r="X362" s="25" t="s">
        <v>2387</v>
      </c>
      <c r="Y362" s="25" t="s">
        <v>65</v>
      </c>
      <c r="Z362" s="25" t="s">
        <v>55</v>
      </c>
      <c r="AA362" s="25" t="s">
        <v>221</v>
      </c>
      <c r="AB362" s="25" t="s">
        <v>55</v>
      </c>
      <c r="AC362" s="25" t="s">
        <v>55</v>
      </c>
      <c r="AD362" s="25" t="s">
        <v>118</v>
      </c>
      <c r="AE362" s="25" t="s">
        <v>97</v>
      </c>
      <c r="AF362" s="25" t="s">
        <v>55</v>
      </c>
      <c r="AG362" s="25" t="s">
        <v>55</v>
      </c>
      <c r="AH362" s="25" t="s">
        <v>55</v>
      </c>
      <c r="AI362" s="25" t="s">
        <v>55</v>
      </c>
      <c r="AJ362" s="25" t="s">
        <v>55</v>
      </c>
      <c r="AK362" s="25" t="s">
        <v>55</v>
      </c>
      <c r="AL362" s="25" t="s">
        <v>55</v>
      </c>
      <c r="AM362" s="25" t="s">
        <v>55</v>
      </c>
      <c r="AN362" s="25" t="s">
        <v>55</v>
      </c>
      <c r="AO362" s="25" t="s">
        <v>55</v>
      </c>
      <c r="AP362" s="25" t="s">
        <v>55</v>
      </c>
      <c r="AQ362" s="25" t="s">
        <v>55</v>
      </c>
      <c r="AR362" s="25" t="s">
        <v>55</v>
      </c>
      <c r="AS362" s="25" t="s">
        <v>55</v>
      </c>
      <c r="AT362" s="25" t="s">
        <v>55</v>
      </c>
      <c r="AU362" s="25" t="s">
        <v>55</v>
      </c>
      <c r="AV362" s="25" t="s">
        <v>55</v>
      </c>
      <c r="AW362" s="25" t="s">
        <v>55</v>
      </c>
      <c r="AX362" s="26">
        <v>45973</v>
      </c>
      <c r="AY362" s="25" t="s">
        <v>2161</v>
      </c>
      <c r="AZ362" s="20">
        <f t="shared" si="19"/>
        <v>-40</v>
      </c>
      <c r="BA362" s="17" t="e">
        <f t="shared" si="20"/>
        <v>#N/A</v>
      </c>
      <c r="BB362" s="21" t="s">
        <v>335</v>
      </c>
    </row>
    <row r="363" spans="1:54" x14ac:dyDescent="0.35">
      <c r="A363" s="25" t="s">
        <v>2388</v>
      </c>
      <c r="B363" s="25" t="s">
        <v>347</v>
      </c>
      <c r="C363" s="25" t="s">
        <v>588</v>
      </c>
      <c r="D363" s="25" t="s">
        <v>465</v>
      </c>
      <c r="E363" s="25" t="s">
        <v>52</v>
      </c>
      <c r="F363" s="25" t="s">
        <v>2389</v>
      </c>
      <c r="G363" s="25" t="s">
        <v>54</v>
      </c>
      <c r="H363" s="25" t="s">
        <v>1712</v>
      </c>
      <c r="I363" s="25" t="s">
        <v>149</v>
      </c>
      <c r="J363" s="25" t="s">
        <v>55</v>
      </c>
      <c r="K363" s="25" t="s">
        <v>1720</v>
      </c>
      <c r="L363" s="25" t="s">
        <v>103</v>
      </c>
      <c r="M363" s="25" t="s">
        <v>55</v>
      </c>
      <c r="N363" s="25" t="s">
        <v>55</v>
      </c>
      <c r="O363" s="25" t="s">
        <v>2390</v>
      </c>
      <c r="P363" s="25" t="s">
        <v>2298</v>
      </c>
      <c r="Q363" s="25" t="s">
        <v>2391</v>
      </c>
      <c r="R363" s="25" t="s">
        <v>55</v>
      </c>
      <c r="S363" s="25" t="s">
        <v>2300</v>
      </c>
      <c r="T363" s="25" t="s">
        <v>2301</v>
      </c>
      <c r="U363" s="25" t="s">
        <v>55</v>
      </c>
      <c r="V363" s="26">
        <v>46022</v>
      </c>
      <c r="W363" s="25" t="s">
        <v>55</v>
      </c>
      <c r="X363" s="25" t="s">
        <v>2392</v>
      </c>
      <c r="Y363" s="25" t="s">
        <v>65</v>
      </c>
      <c r="Z363" s="25" t="s">
        <v>55</v>
      </c>
      <c r="AA363" s="25" t="s">
        <v>221</v>
      </c>
      <c r="AB363" s="25" t="s">
        <v>55</v>
      </c>
      <c r="AC363" s="25" t="s">
        <v>55</v>
      </c>
      <c r="AD363" s="25" t="s">
        <v>118</v>
      </c>
      <c r="AE363" s="25" t="s">
        <v>97</v>
      </c>
      <c r="AF363" s="25" t="s">
        <v>55</v>
      </c>
      <c r="AG363" s="25" t="s">
        <v>55</v>
      </c>
      <c r="AH363" s="25" t="s">
        <v>55</v>
      </c>
      <c r="AI363" s="25" t="s">
        <v>55</v>
      </c>
      <c r="AJ363" s="25" t="s">
        <v>55</v>
      </c>
      <c r="AK363" s="25" t="s">
        <v>55</v>
      </c>
      <c r="AL363" s="25" t="s">
        <v>55</v>
      </c>
      <c r="AM363" s="25" t="s">
        <v>55</v>
      </c>
      <c r="AN363" s="25" t="s">
        <v>55</v>
      </c>
      <c r="AO363" s="25" t="s">
        <v>55</v>
      </c>
      <c r="AP363" s="25" t="s">
        <v>55</v>
      </c>
      <c r="AQ363" s="25" t="s">
        <v>55</v>
      </c>
      <c r="AR363" s="25" t="s">
        <v>55</v>
      </c>
      <c r="AS363" s="25" t="s">
        <v>55</v>
      </c>
      <c r="AT363" s="25" t="s">
        <v>55</v>
      </c>
      <c r="AU363" s="25" t="s">
        <v>55</v>
      </c>
      <c r="AV363" s="25" t="s">
        <v>55</v>
      </c>
      <c r="AW363" s="25" t="s">
        <v>55</v>
      </c>
      <c r="AX363" s="26">
        <v>45973</v>
      </c>
      <c r="AY363" s="25" t="s">
        <v>2161</v>
      </c>
      <c r="AZ363" s="20">
        <f t="shared" si="19"/>
        <v>-40</v>
      </c>
      <c r="BA363" s="17" t="e">
        <f t="shared" si="20"/>
        <v>#N/A</v>
      </c>
      <c r="BB363" s="21" t="s">
        <v>335</v>
      </c>
    </row>
    <row r="364" spans="1:54" x14ac:dyDescent="0.35">
      <c r="A364" s="25" t="s">
        <v>2393</v>
      </c>
      <c r="B364" s="25" t="s">
        <v>347</v>
      </c>
      <c r="C364" s="25" t="s">
        <v>588</v>
      </c>
      <c r="D364" s="25" t="s">
        <v>465</v>
      </c>
      <c r="E364" s="25" t="s">
        <v>52</v>
      </c>
      <c r="F364" s="25" t="s">
        <v>2394</v>
      </c>
      <c r="G364" s="25" t="s">
        <v>54</v>
      </c>
      <c r="H364" s="25" t="s">
        <v>1712</v>
      </c>
      <c r="I364" s="25" t="s">
        <v>149</v>
      </c>
      <c r="J364" s="25" t="s">
        <v>55</v>
      </c>
      <c r="K364" s="25" t="s">
        <v>1720</v>
      </c>
      <c r="L364" s="25" t="s">
        <v>103</v>
      </c>
      <c r="M364" s="25" t="s">
        <v>55</v>
      </c>
      <c r="N364" s="25" t="s">
        <v>55</v>
      </c>
      <c r="O364" s="25" t="s">
        <v>2395</v>
      </c>
      <c r="P364" s="25" t="s">
        <v>2298</v>
      </c>
      <c r="Q364" s="25" t="s">
        <v>2396</v>
      </c>
      <c r="R364" s="25" t="s">
        <v>55</v>
      </c>
      <c r="S364" s="25" t="s">
        <v>2300</v>
      </c>
      <c r="T364" s="25" t="s">
        <v>2301</v>
      </c>
      <c r="U364" s="25" t="s">
        <v>55</v>
      </c>
      <c r="V364" s="26">
        <v>46022</v>
      </c>
      <c r="W364" s="25" t="s">
        <v>55</v>
      </c>
      <c r="X364" s="25" t="s">
        <v>2397</v>
      </c>
      <c r="Y364" s="25" t="s">
        <v>65</v>
      </c>
      <c r="Z364" s="25" t="s">
        <v>55</v>
      </c>
      <c r="AA364" s="25" t="s">
        <v>221</v>
      </c>
      <c r="AB364" s="25" t="s">
        <v>55</v>
      </c>
      <c r="AC364" s="25" t="s">
        <v>55</v>
      </c>
      <c r="AD364" s="25" t="s">
        <v>118</v>
      </c>
      <c r="AE364" s="25" t="s">
        <v>97</v>
      </c>
      <c r="AF364" s="25" t="s">
        <v>55</v>
      </c>
      <c r="AG364" s="25" t="s">
        <v>55</v>
      </c>
      <c r="AH364" s="25" t="s">
        <v>55</v>
      </c>
      <c r="AI364" s="25" t="s">
        <v>55</v>
      </c>
      <c r="AJ364" s="25" t="s">
        <v>55</v>
      </c>
      <c r="AK364" s="25" t="s">
        <v>55</v>
      </c>
      <c r="AL364" s="25" t="s">
        <v>55</v>
      </c>
      <c r="AM364" s="25" t="s">
        <v>55</v>
      </c>
      <c r="AN364" s="25" t="s">
        <v>55</v>
      </c>
      <c r="AO364" s="25" t="s">
        <v>55</v>
      </c>
      <c r="AP364" s="25" t="s">
        <v>55</v>
      </c>
      <c r="AQ364" s="25" t="s">
        <v>55</v>
      </c>
      <c r="AR364" s="25" t="s">
        <v>55</v>
      </c>
      <c r="AS364" s="25" t="s">
        <v>55</v>
      </c>
      <c r="AT364" s="25" t="s">
        <v>55</v>
      </c>
      <c r="AU364" s="25" t="s">
        <v>55</v>
      </c>
      <c r="AV364" s="25" t="s">
        <v>55</v>
      </c>
      <c r="AW364" s="25" t="s">
        <v>55</v>
      </c>
      <c r="AX364" s="26">
        <v>45973</v>
      </c>
      <c r="AY364" s="25" t="s">
        <v>2161</v>
      </c>
      <c r="AZ364" s="20">
        <f t="shared" si="19"/>
        <v>-40</v>
      </c>
      <c r="BA364" s="17" t="e">
        <f t="shared" si="20"/>
        <v>#N/A</v>
      </c>
      <c r="BB364" s="21" t="s">
        <v>335</v>
      </c>
    </row>
    <row r="365" spans="1:54" x14ac:dyDescent="0.35">
      <c r="A365" s="25" t="s">
        <v>2398</v>
      </c>
      <c r="B365" s="25" t="s">
        <v>347</v>
      </c>
      <c r="C365" s="25" t="s">
        <v>588</v>
      </c>
      <c r="D365" s="25" t="s">
        <v>465</v>
      </c>
      <c r="E365" s="25" t="s">
        <v>52</v>
      </c>
      <c r="F365" s="25" t="s">
        <v>2399</v>
      </c>
      <c r="G365" s="25" t="s">
        <v>54</v>
      </c>
      <c r="H365" s="25" t="s">
        <v>2400</v>
      </c>
      <c r="I365" s="25" t="s">
        <v>149</v>
      </c>
      <c r="J365" s="25" t="s">
        <v>55</v>
      </c>
      <c r="K365" s="25" t="s">
        <v>1720</v>
      </c>
      <c r="L365" s="25" t="s">
        <v>103</v>
      </c>
      <c r="M365" s="25" t="s">
        <v>55</v>
      </c>
      <c r="N365" s="25" t="s">
        <v>55</v>
      </c>
      <c r="O365" s="25" t="s">
        <v>2401</v>
      </c>
      <c r="P365" s="25" t="s">
        <v>2298</v>
      </c>
      <c r="Q365" s="25" t="s">
        <v>2402</v>
      </c>
      <c r="R365" s="25" t="s">
        <v>55</v>
      </c>
      <c r="S365" s="25" t="s">
        <v>2300</v>
      </c>
      <c r="T365" s="25" t="s">
        <v>2301</v>
      </c>
      <c r="U365" s="25" t="s">
        <v>55</v>
      </c>
      <c r="V365" s="26">
        <v>46022</v>
      </c>
      <c r="W365" s="25" t="s">
        <v>55</v>
      </c>
      <c r="X365" s="25" t="s">
        <v>2403</v>
      </c>
      <c r="Y365" s="25" t="s">
        <v>65</v>
      </c>
      <c r="Z365" s="25" t="s">
        <v>55</v>
      </c>
      <c r="AA365" s="25" t="s">
        <v>221</v>
      </c>
      <c r="AB365" s="25" t="s">
        <v>55</v>
      </c>
      <c r="AC365" s="25" t="s">
        <v>55</v>
      </c>
      <c r="AD365" s="25" t="s">
        <v>118</v>
      </c>
      <c r="AE365" s="25" t="s">
        <v>97</v>
      </c>
      <c r="AF365" s="25" t="s">
        <v>55</v>
      </c>
      <c r="AG365" s="25" t="s">
        <v>55</v>
      </c>
      <c r="AH365" s="25" t="s">
        <v>55</v>
      </c>
      <c r="AI365" s="25" t="s">
        <v>55</v>
      </c>
      <c r="AJ365" s="25" t="s">
        <v>55</v>
      </c>
      <c r="AK365" s="25" t="s">
        <v>55</v>
      </c>
      <c r="AL365" s="25" t="s">
        <v>55</v>
      </c>
      <c r="AM365" s="25" t="s">
        <v>55</v>
      </c>
      <c r="AN365" s="25" t="s">
        <v>55</v>
      </c>
      <c r="AO365" s="25" t="s">
        <v>55</v>
      </c>
      <c r="AP365" s="25" t="s">
        <v>55</v>
      </c>
      <c r="AQ365" s="25" t="s">
        <v>55</v>
      </c>
      <c r="AR365" s="25" t="s">
        <v>55</v>
      </c>
      <c r="AS365" s="25" t="s">
        <v>55</v>
      </c>
      <c r="AT365" s="25" t="s">
        <v>55</v>
      </c>
      <c r="AU365" s="25" t="s">
        <v>55</v>
      </c>
      <c r="AV365" s="25" t="s">
        <v>55</v>
      </c>
      <c r="AW365" s="25" t="s">
        <v>55</v>
      </c>
      <c r="AX365" s="26">
        <v>45973</v>
      </c>
      <c r="AY365" s="25" t="s">
        <v>2161</v>
      </c>
      <c r="AZ365" s="20">
        <f t="shared" si="19"/>
        <v>-40</v>
      </c>
      <c r="BA365" s="17" t="e">
        <f t="shared" si="20"/>
        <v>#N/A</v>
      </c>
      <c r="BB365" s="21" t="s">
        <v>335</v>
      </c>
    </row>
    <row r="366" spans="1:54" x14ac:dyDescent="0.35">
      <c r="A366" s="25" t="s">
        <v>2404</v>
      </c>
      <c r="B366" s="25" t="s">
        <v>347</v>
      </c>
      <c r="C366" s="25" t="s">
        <v>588</v>
      </c>
      <c r="D366" s="25" t="s">
        <v>465</v>
      </c>
      <c r="E366" s="25" t="s">
        <v>52</v>
      </c>
      <c r="F366" s="25" t="s">
        <v>2405</v>
      </c>
      <c r="G366" s="25" t="s">
        <v>126</v>
      </c>
      <c r="H366" s="25" t="s">
        <v>157</v>
      </c>
      <c r="I366" s="25" t="s">
        <v>149</v>
      </c>
      <c r="J366" s="25" t="s">
        <v>55</v>
      </c>
      <c r="K366" s="25" t="s">
        <v>1720</v>
      </c>
      <c r="L366" s="25" t="s">
        <v>103</v>
      </c>
      <c r="M366" s="25" t="s">
        <v>55</v>
      </c>
      <c r="N366" s="25" t="s">
        <v>55</v>
      </c>
      <c r="O366" s="25" t="s">
        <v>2406</v>
      </c>
      <c r="P366" s="25" t="s">
        <v>2298</v>
      </c>
      <c r="Q366" s="25" t="s">
        <v>2407</v>
      </c>
      <c r="R366" s="25" t="s">
        <v>55</v>
      </c>
      <c r="S366" s="25" t="s">
        <v>2300</v>
      </c>
      <c r="T366" s="25" t="s">
        <v>2301</v>
      </c>
      <c r="U366" s="25" t="s">
        <v>55</v>
      </c>
      <c r="V366" s="26">
        <v>46022</v>
      </c>
      <c r="W366" s="25" t="s">
        <v>55</v>
      </c>
      <c r="X366" s="25" t="s">
        <v>2408</v>
      </c>
      <c r="Y366" s="25" t="s">
        <v>65</v>
      </c>
      <c r="Z366" s="25" t="s">
        <v>55</v>
      </c>
      <c r="AA366" s="25" t="s">
        <v>221</v>
      </c>
      <c r="AB366" s="25" t="s">
        <v>55</v>
      </c>
      <c r="AC366" s="25" t="s">
        <v>55</v>
      </c>
      <c r="AD366" s="25" t="s">
        <v>118</v>
      </c>
      <c r="AE366" s="25" t="s">
        <v>97</v>
      </c>
      <c r="AF366" s="25" t="s">
        <v>55</v>
      </c>
      <c r="AG366" s="25" t="s">
        <v>55</v>
      </c>
      <c r="AH366" s="25" t="s">
        <v>55</v>
      </c>
      <c r="AI366" s="25" t="s">
        <v>55</v>
      </c>
      <c r="AJ366" s="25" t="s">
        <v>55</v>
      </c>
      <c r="AK366" s="25" t="s">
        <v>55</v>
      </c>
      <c r="AL366" s="25" t="s">
        <v>55</v>
      </c>
      <c r="AM366" s="25" t="s">
        <v>55</v>
      </c>
      <c r="AN366" s="25" t="s">
        <v>55</v>
      </c>
      <c r="AO366" s="25" t="s">
        <v>55</v>
      </c>
      <c r="AP366" s="25" t="s">
        <v>55</v>
      </c>
      <c r="AQ366" s="25" t="s">
        <v>55</v>
      </c>
      <c r="AR366" s="25" t="s">
        <v>55</v>
      </c>
      <c r="AS366" s="25" t="s">
        <v>55</v>
      </c>
      <c r="AT366" s="25" t="s">
        <v>55</v>
      </c>
      <c r="AU366" s="25" t="s">
        <v>55</v>
      </c>
      <c r="AV366" s="25" t="s">
        <v>55</v>
      </c>
      <c r="AW366" s="25" t="s">
        <v>55</v>
      </c>
      <c r="AX366" s="26">
        <v>45973</v>
      </c>
      <c r="AY366" s="25" t="s">
        <v>2161</v>
      </c>
      <c r="AZ366" s="20">
        <f t="shared" si="19"/>
        <v>-40</v>
      </c>
      <c r="BA366" s="17" t="e">
        <f t="shared" si="20"/>
        <v>#N/A</v>
      </c>
      <c r="BB366" s="21" t="s">
        <v>335</v>
      </c>
    </row>
    <row r="367" spans="1:54" x14ac:dyDescent="0.35">
      <c r="A367" s="25" t="s">
        <v>2409</v>
      </c>
      <c r="B367" s="25" t="s">
        <v>347</v>
      </c>
      <c r="C367" s="25" t="s">
        <v>588</v>
      </c>
      <c r="D367" s="25" t="s">
        <v>465</v>
      </c>
      <c r="E367" s="25" t="s">
        <v>52</v>
      </c>
      <c r="F367" s="25" t="s">
        <v>2410</v>
      </c>
      <c r="G367" s="25" t="s">
        <v>54</v>
      </c>
      <c r="H367" s="25" t="s">
        <v>1713</v>
      </c>
      <c r="I367" s="25" t="s">
        <v>149</v>
      </c>
      <c r="J367" s="25" t="s">
        <v>55</v>
      </c>
      <c r="K367" s="25" t="s">
        <v>1720</v>
      </c>
      <c r="L367" s="25" t="s">
        <v>103</v>
      </c>
      <c r="M367" s="25" t="s">
        <v>55</v>
      </c>
      <c r="N367" s="25" t="s">
        <v>55</v>
      </c>
      <c r="O367" s="25" t="s">
        <v>2411</v>
      </c>
      <c r="P367" s="25" t="s">
        <v>2298</v>
      </c>
      <c r="Q367" s="25" t="s">
        <v>2412</v>
      </c>
      <c r="R367" s="25" t="s">
        <v>55</v>
      </c>
      <c r="S367" s="25" t="s">
        <v>2300</v>
      </c>
      <c r="T367" s="25" t="s">
        <v>2301</v>
      </c>
      <c r="U367" s="25" t="s">
        <v>55</v>
      </c>
      <c r="V367" s="26">
        <v>46022</v>
      </c>
      <c r="W367" s="25" t="s">
        <v>55</v>
      </c>
      <c r="X367" s="25" t="s">
        <v>2413</v>
      </c>
      <c r="Y367" s="25" t="s">
        <v>65</v>
      </c>
      <c r="Z367" s="25" t="s">
        <v>55</v>
      </c>
      <c r="AA367" s="25" t="s">
        <v>221</v>
      </c>
      <c r="AB367" s="25" t="s">
        <v>55</v>
      </c>
      <c r="AC367" s="25" t="s">
        <v>55</v>
      </c>
      <c r="AD367" s="25" t="s">
        <v>118</v>
      </c>
      <c r="AE367" s="25" t="s">
        <v>97</v>
      </c>
      <c r="AF367" s="25" t="s">
        <v>55</v>
      </c>
      <c r="AG367" s="25" t="s">
        <v>55</v>
      </c>
      <c r="AH367" s="25" t="s">
        <v>55</v>
      </c>
      <c r="AI367" s="25" t="s">
        <v>55</v>
      </c>
      <c r="AJ367" s="25" t="s">
        <v>55</v>
      </c>
      <c r="AK367" s="25" t="s">
        <v>55</v>
      </c>
      <c r="AL367" s="25" t="s">
        <v>55</v>
      </c>
      <c r="AM367" s="25" t="s">
        <v>55</v>
      </c>
      <c r="AN367" s="25" t="s">
        <v>55</v>
      </c>
      <c r="AO367" s="25" t="s">
        <v>55</v>
      </c>
      <c r="AP367" s="25" t="s">
        <v>55</v>
      </c>
      <c r="AQ367" s="25" t="s">
        <v>55</v>
      </c>
      <c r="AR367" s="25" t="s">
        <v>55</v>
      </c>
      <c r="AS367" s="25" t="s">
        <v>55</v>
      </c>
      <c r="AT367" s="25" t="s">
        <v>55</v>
      </c>
      <c r="AU367" s="25" t="s">
        <v>55</v>
      </c>
      <c r="AV367" s="25" t="s">
        <v>55</v>
      </c>
      <c r="AW367" s="25" t="s">
        <v>55</v>
      </c>
      <c r="AX367" s="26">
        <v>45973</v>
      </c>
      <c r="AY367" s="25" t="s">
        <v>2161</v>
      </c>
      <c r="AZ367" s="20">
        <f t="shared" si="19"/>
        <v>-40</v>
      </c>
      <c r="BA367" s="17" t="e">
        <f t="shared" si="20"/>
        <v>#N/A</v>
      </c>
      <c r="BB367" s="21" t="s">
        <v>335</v>
      </c>
    </row>
    <row r="368" spans="1:54" x14ac:dyDescent="0.35">
      <c r="A368" s="25" t="s">
        <v>2414</v>
      </c>
      <c r="B368" s="25" t="s">
        <v>347</v>
      </c>
      <c r="C368" s="25" t="s">
        <v>588</v>
      </c>
      <c r="D368" s="25" t="s">
        <v>465</v>
      </c>
      <c r="E368" s="25" t="s">
        <v>52</v>
      </c>
      <c r="F368" s="25" t="s">
        <v>1420</v>
      </c>
      <c r="G368" s="25" t="s">
        <v>54</v>
      </c>
      <c r="H368" s="25" t="s">
        <v>1716</v>
      </c>
      <c r="I368" s="25" t="s">
        <v>149</v>
      </c>
      <c r="J368" s="25" t="s">
        <v>55</v>
      </c>
      <c r="K368" s="25" t="s">
        <v>1720</v>
      </c>
      <c r="L368" s="25" t="s">
        <v>103</v>
      </c>
      <c r="M368" s="25" t="s">
        <v>55</v>
      </c>
      <c r="N368" s="25" t="s">
        <v>55</v>
      </c>
      <c r="O368" s="25" t="s">
        <v>2415</v>
      </c>
      <c r="P368" s="25" t="s">
        <v>2298</v>
      </c>
      <c r="Q368" s="25" t="s">
        <v>2416</v>
      </c>
      <c r="R368" s="25" t="s">
        <v>55</v>
      </c>
      <c r="S368" s="25" t="s">
        <v>2300</v>
      </c>
      <c r="T368" s="25" t="s">
        <v>2301</v>
      </c>
      <c r="U368" s="25" t="s">
        <v>55</v>
      </c>
      <c r="V368" s="26">
        <v>46022</v>
      </c>
      <c r="W368" s="25" t="s">
        <v>55</v>
      </c>
      <c r="X368" s="25" t="s">
        <v>2417</v>
      </c>
      <c r="Y368" s="25" t="s">
        <v>65</v>
      </c>
      <c r="Z368" s="25" t="s">
        <v>55</v>
      </c>
      <c r="AA368" s="25" t="s">
        <v>221</v>
      </c>
      <c r="AB368" s="25" t="s">
        <v>55</v>
      </c>
      <c r="AC368" s="25" t="s">
        <v>55</v>
      </c>
      <c r="AD368" s="25" t="s">
        <v>118</v>
      </c>
      <c r="AE368" s="25" t="s">
        <v>97</v>
      </c>
      <c r="AF368" s="25" t="s">
        <v>55</v>
      </c>
      <c r="AG368" s="25" t="s">
        <v>55</v>
      </c>
      <c r="AH368" s="25" t="s">
        <v>55</v>
      </c>
      <c r="AI368" s="25" t="s">
        <v>55</v>
      </c>
      <c r="AJ368" s="25" t="s">
        <v>55</v>
      </c>
      <c r="AK368" s="25" t="s">
        <v>55</v>
      </c>
      <c r="AL368" s="25" t="s">
        <v>55</v>
      </c>
      <c r="AM368" s="25" t="s">
        <v>55</v>
      </c>
      <c r="AN368" s="25" t="s">
        <v>55</v>
      </c>
      <c r="AO368" s="25" t="s">
        <v>55</v>
      </c>
      <c r="AP368" s="25" t="s">
        <v>55</v>
      </c>
      <c r="AQ368" s="25" t="s">
        <v>55</v>
      </c>
      <c r="AR368" s="25" t="s">
        <v>55</v>
      </c>
      <c r="AS368" s="25" t="s">
        <v>55</v>
      </c>
      <c r="AT368" s="25" t="s">
        <v>55</v>
      </c>
      <c r="AU368" s="25" t="s">
        <v>55</v>
      </c>
      <c r="AV368" s="25" t="s">
        <v>55</v>
      </c>
      <c r="AW368" s="25" t="s">
        <v>55</v>
      </c>
      <c r="AX368" s="26">
        <v>45973</v>
      </c>
      <c r="AY368" s="25" t="s">
        <v>2161</v>
      </c>
      <c r="AZ368" s="20">
        <f t="shared" si="19"/>
        <v>-40</v>
      </c>
      <c r="BA368" s="17" t="e">
        <f t="shared" si="20"/>
        <v>#N/A</v>
      </c>
      <c r="BB368" s="21" t="s">
        <v>335</v>
      </c>
    </row>
    <row r="369" spans="1:54" x14ac:dyDescent="0.35">
      <c r="A369" s="25" t="s">
        <v>2418</v>
      </c>
      <c r="B369" s="25" t="s">
        <v>347</v>
      </c>
      <c r="C369" s="25" t="s">
        <v>588</v>
      </c>
      <c r="D369" s="25" t="s">
        <v>465</v>
      </c>
      <c r="E369" s="25" t="s">
        <v>52</v>
      </c>
      <c r="F369" s="25" t="s">
        <v>2419</v>
      </c>
      <c r="G369" s="25" t="s">
        <v>606</v>
      </c>
      <c r="H369" s="25" t="s">
        <v>607</v>
      </c>
      <c r="I369" s="25" t="s">
        <v>149</v>
      </c>
      <c r="J369" s="25" t="s">
        <v>55</v>
      </c>
      <c r="K369" s="25" t="s">
        <v>1720</v>
      </c>
      <c r="L369" s="25" t="s">
        <v>103</v>
      </c>
      <c r="M369" s="25" t="s">
        <v>55</v>
      </c>
      <c r="N369" s="25" t="s">
        <v>55</v>
      </c>
      <c r="O369" s="25" t="s">
        <v>2420</v>
      </c>
      <c r="P369" s="25" t="s">
        <v>2298</v>
      </c>
      <c r="Q369" s="25" t="s">
        <v>2421</v>
      </c>
      <c r="R369" s="25" t="s">
        <v>55</v>
      </c>
      <c r="S369" s="25" t="s">
        <v>2300</v>
      </c>
      <c r="T369" s="25" t="s">
        <v>2301</v>
      </c>
      <c r="U369" s="25" t="s">
        <v>55</v>
      </c>
      <c r="V369" s="26">
        <v>46022</v>
      </c>
      <c r="W369" s="25" t="s">
        <v>55</v>
      </c>
      <c r="X369" s="25" t="s">
        <v>2422</v>
      </c>
      <c r="Y369" s="25" t="s">
        <v>65</v>
      </c>
      <c r="Z369" s="25" t="s">
        <v>55</v>
      </c>
      <c r="AA369" s="25" t="s">
        <v>221</v>
      </c>
      <c r="AB369" s="25" t="s">
        <v>55</v>
      </c>
      <c r="AC369" s="25" t="s">
        <v>55</v>
      </c>
      <c r="AD369" s="25" t="s">
        <v>118</v>
      </c>
      <c r="AE369" s="25" t="s">
        <v>97</v>
      </c>
      <c r="AF369" s="25" t="s">
        <v>55</v>
      </c>
      <c r="AG369" s="25" t="s">
        <v>55</v>
      </c>
      <c r="AH369" s="25" t="s">
        <v>55</v>
      </c>
      <c r="AI369" s="25" t="s">
        <v>55</v>
      </c>
      <c r="AJ369" s="25" t="s">
        <v>55</v>
      </c>
      <c r="AK369" s="25" t="s">
        <v>55</v>
      </c>
      <c r="AL369" s="25" t="s">
        <v>55</v>
      </c>
      <c r="AM369" s="25" t="s">
        <v>55</v>
      </c>
      <c r="AN369" s="25" t="s">
        <v>55</v>
      </c>
      <c r="AO369" s="25" t="s">
        <v>55</v>
      </c>
      <c r="AP369" s="25" t="s">
        <v>55</v>
      </c>
      <c r="AQ369" s="25" t="s">
        <v>55</v>
      </c>
      <c r="AR369" s="25" t="s">
        <v>55</v>
      </c>
      <c r="AS369" s="25" t="s">
        <v>55</v>
      </c>
      <c r="AT369" s="25" t="s">
        <v>55</v>
      </c>
      <c r="AU369" s="25" t="s">
        <v>55</v>
      </c>
      <c r="AV369" s="25" t="s">
        <v>55</v>
      </c>
      <c r="AW369" s="25" t="s">
        <v>55</v>
      </c>
      <c r="AX369" s="26">
        <v>45973</v>
      </c>
      <c r="AY369" s="25" t="s">
        <v>2161</v>
      </c>
      <c r="AZ369" s="20">
        <f t="shared" si="19"/>
        <v>-40</v>
      </c>
      <c r="BA369" s="17" t="e">
        <f t="shared" si="20"/>
        <v>#N/A</v>
      </c>
      <c r="BB369" s="21" t="s">
        <v>335</v>
      </c>
    </row>
    <row r="370" spans="1:54" x14ac:dyDescent="0.35">
      <c r="A370" s="25" t="s">
        <v>2423</v>
      </c>
      <c r="B370" s="25" t="s">
        <v>347</v>
      </c>
      <c r="C370" s="25" t="s">
        <v>588</v>
      </c>
      <c r="D370" s="25" t="s">
        <v>465</v>
      </c>
      <c r="E370" s="25" t="s">
        <v>52</v>
      </c>
      <c r="F370" s="25" t="s">
        <v>2424</v>
      </c>
      <c r="G370" s="25" t="s">
        <v>606</v>
      </c>
      <c r="H370" s="25" t="s">
        <v>607</v>
      </c>
      <c r="I370" s="25" t="s">
        <v>149</v>
      </c>
      <c r="J370" s="25" t="s">
        <v>55</v>
      </c>
      <c r="K370" s="25" t="s">
        <v>1720</v>
      </c>
      <c r="L370" s="25" t="s">
        <v>103</v>
      </c>
      <c r="M370" s="25" t="s">
        <v>55</v>
      </c>
      <c r="N370" s="25" t="s">
        <v>55</v>
      </c>
      <c r="O370" s="25" t="s">
        <v>2425</v>
      </c>
      <c r="P370" s="25" t="s">
        <v>2298</v>
      </c>
      <c r="Q370" s="25" t="s">
        <v>2426</v>
      </c>
      <c r="R370" s="25" t="s">
        <v>55</v>
      </c>
      <c r="S370" s="25" t="s">
        <v>2300</v>
      </c>
      <c r="T370" s="25" t="s">
        <v>2301</v>
      </c>
      <c r="U370" s="25" t="s">
        <v>55</v>
      </c>
      <c r="V370" s="26">
        <v>46022</v>
      </c>
      <c r="W370" s="25" t="s">
        <v>55</v>
      </c>
      <c r="X370" s="25" t="s">
        <v>2427</v>
      </c>
      <c r="Y370" s="25" t="s">
        <v>65</v>
      </c>
      <c r="Z370" s="25" t="s">
        <v>55</v>
      </c>
      <c r="AA370" s="25" t="s">
        <v>221</v>
      </c>
      <c r="AB370" s="25" t="s">
        <v>55</v>
      </c>
      <c r="AC370" s="25" t="s">
        <v>55</v>
      </c>
      <c r="AD370" s="25" t="s">
        <v>118</v>
      </c>
      <c r="AE370" s="25" t="s">
        <v>97</v>
      </c>
      <c r="AF370" s="25" t="s">
        <v>55</v>
      </c>
      <c r="AG370" s="25" t="s">
        <v>55</v>
      </c>
      <c r="AH370" s="25" t="s">
        <v>55</v>
      </c>
      <c r="AI370" s="25" t="s">
        <v>55</v>
      </c>
      <c r="AJ370" s="25" t="s">
        <v>55</v>
      </c>
      <c r="AK370" s="25" t="s">
        <v>55</v>
      </c>
      <c r="AL370" s="25" t="s">
        <v>55</v>
      </c>
      <c r="AM370" s="25" t="s">
        <v>55</v>
      </c>
      <c r="AN370" s="25" t="s">
        <v>55</v>
      </c>
      <c r="AO370" s="25" t="s">
        <v>55</v>
      </c>
      <c r="AP370" s="25" t="s">
        <v>55</v>
      </c>
      <c r="AQ370" s="25" t="s">
        <v>55</v>
      </c>
      <c r="AR370" s="25" t="s">
        <v>55</v>
      </c>
      <c r="AS370" s="25" t="s">
        <v>55</v>
      </c>
      <c r="AT370" s="25" t="s">
        <v>55</v>
      </c>
      <c r="AU370" s="25" t="s">
        <v>55</v>
      </c>
      <c r="AV370" s="25" t="s">
        <v>55</v>
      </c>
      <c r="AW370" s="25" t="s">
        <v>55</v>
      </c>
      <c r="AX370" s="26">
        <v>45973</v>
      </c>
      <c r="AY370" s="25" t="s">
        <v>2161</v>
      </c>
      <c r="AZ370" s="20">
        <f t="shared" si="19"/>
        <v>-40</v>
      </c>
      <c r="BA370" s="17" t="e">
        <f t="shared" si="20"/>
        <v>#N/A</v>
      </c>
      <c r="BB370" s="21" t="s">
        <v>335</v>
      </c>
    </row>
    <row r="371" spans="1:54" x14ac:dyDescent="0.35">
      <c r="A371" s="25" t="s">
        <v>2428</v>
      </c>
      <c r="B371" s="25" t="s">
        <v>347</v>
      </c>
      <c r="C371" s="25" t="s">
        <v>588</v>
      </c>
      <c r="D371" s="25" t="s">
        <v>465</v>
      </c>
      <c r="E371" s="25" t="s">
        <v>52</v>
      </c>
      <c r="F371" s="25" t="s">
        <v>2429</v>
      </c>
      <c r="G371" s="25" t="s">
        <v>606</v>
      </c>
      <c r="H371" s="25" t="s">
        <v>607</v>
      </c>
      <c r="I371" s="25" t="s">
        <v>149</v>
      </c>
      <c r="J371" s="25" t="s">
        <v>55</v>
      </c>
      <c r="K371" s="25" t="s">
        <v>1720</v>
      </c>
      <c r="L371" s="25" t="s">
        <v>103</v>
      </c>
      <c r="M371" s="25" t="s">
        <v>55</v>
      </c>
      <c r="N371" s="25" t="s">
        <v>55</v>
      </c>
      <c r="O371" s="25" t="s">
        <v>2430</v>
      </c>
      <c r="P371" s="25" t="s">
        <v>2298</v>
      </c>
      <c r="Q371" s="25" t="s">
        <v>2431</v>
      </c>
      <c r="R371" s="25" t="s">
        <v>55</v>
      </c>
      <c r="S371" s="25" t="s">
        <v>2300</v>
      </c>
      <c r="T371" s="25" t="s">
        <v>2301</v>
      </c>
      <c r="U371" s="25" t="s">
        <v>55</v>
      </c>
      <c r="V371" s="26">
        <v>46022</v>
      </c>
      <c r="W371" s="25" t="s">
        <v>55</v>
      </c>
      <c r="X371" s="25" t="s">
        <v>2432</v>
      </c>
      <c r="Y371" s="25" t="s">
        <v>65</v>
      </c>
      <c r="Z371" s="25" t="s">
        <v>55</v>
      </c>
      <c r="AA371" s="25" t="s">
        <v>221</v>
      </c>
      <c r="AB371" s="25" t="s">
        <v>55</v>
      </c>
      <c r="AC371" s="25" t="s">
        <v>55</v>
      </c>
      <c r="AD371" s="25" t="s">
        <v>118</v>
      </c>
      <c r="AE371" s="25" t="s">
        <v>97</v>
      </c>
      <c r="AF371" s="25" t="s">
        <v>55</v>
      </c>
      <c r="AG371" s="25" t="s">
        <v>55</v>
      </c>
      <c r="AH371" s="25" t="s">
        <v>55</v>
      </c>
      <c r="AI371" s="25" t="s">
        <v>55</v>
      </c>
      <c r="AJ371" s="25" t="s">
        <v>55</v>
      </c>
      <c r="AK371" s="25" t="s">
        <v>55</v>
      </c>
      <c r="AL371" s="25" t="s">
        <v>55</v>
      </c>
      <c r="AM371" s="25" t="s">
        <v>55</v>
      </c>
      <c r="AN371" s="25" t="s">
        <v>55</v>
      </c>
      <c r="AO371" s="25" t="s">
        <v>55</v>
      </c>
      <c r="AP371" s="25" t="s">
        <v>55</v>
      </c>
      <c r="AQ371" s="25" t="s">
        <v>55</v>
      </c>
      <c r="AR371" s="25" t="s">
        <v>55</v>
      </c>
      <c r="AS371" s="25" t="s">
        <v>55</v>
      </c>
      <c r="AT371" s="25" t="s">
        <v>55</v>
      </c>
      <c r="AU371" s="25" t="s">
        <v>55</v>
      </c>
      <c r="AV371" s="25" t="s">
        <v>55</v>
      </c>
      <c r="AW371" s="25" t="s">
        <v>55</v>
      </c>
      <c r="AX371" s="26">
        <v>45973</v>
      </c>
      <c r="AY371" s="25" t="s">
        <v>2161</v>
      </c>
      <c r="AZ371" s="20">
        <f t="shared" si="19"/>
        <v>-40</v>
      </c>
      <c r="BA371" s="17" t="e">
        <f t="shared" si="20"/>
        <v>#N/A</v>
      </c>
      <c r="BB371" s="21" t="s">
        <v>335</v>
      </c>
    </row>
    <row r="372" spans="1:54" x14ac:dyDescent="0.35">
      <c r="A372" s="25" t="s">
        <v>2433</v>
      </c>
      <c r="B372" s="25" t="s">
        <v>347</v>
      </c>
      <c r="C372" s="25" t="s">
        <v>588</v>
      </c>
      <c r="D372" s="25" t="s">
        <v>465</v>
      </c>
      <c r="E372" s="25" t="s">
        <v>52</v>
      </c>
      <c r="F372" s="25" t="s">
        <v>2434</v>
      </c>
      <c r="G372" s="25" t="s">
        <v>94</v>
      </c>
      <c r="H372" s="25" t="s">
        <v>1117</v>
      </c>
      <c r="I372" s="25" t="s">
        <v>149</v>
      </c>
      <c r="J372" s="25" t="s">
        <v>55</v>
      </c>
      <c r="K372" s="25" t="s">
        <v>1720</v>
      </c>
      <c r="L372" s="25" t="s">
        <v>103</v>
      </c>
      <c r="M372" s="25" t="s">
        <v>55</v>
      </c>
      <c r="N372" s="25" t="s">
        <v>55</v>
      </c>
      <c r="O372" s="25" t="s">
        <v>2435</v>
      </c>
      <c r="P372" s="25" t="s">
        <v>2298</v>
      </c>
      <c r="Q372" s="25" t="s">
        <v>2436</v>
      </c>
      <c r="R372" s="25" t="s">
        <v>55</v>
      </c>
      <c r="S372" s="25" t="s">
        <v>2300</v>
      </c>
      <c r="T372" s="25" t="s">
        <v>2301</v>
      </c>
      <c r="U372" s="25" t="s">
        <v>55</v>
      </c>
      <c r="V372" s="26">
        <v>46022</v>
      </c>
      <c r="W372" s="25" t="s">
        <v>55</v>
      </c>
      <c r="X372" s="25" t="s">
        <v>2437</v>
      </c>
      <c r="Y372" s="25" t="s">
        <v>65</v>
      </c>
      <c r="Z372" s="25" t="s">
        <v>55</v>
      </c>
      <c r="AA372" s="25" t="s">
        <v>221</v>
      </c>
      <c r="AB372" s="25" t="s">
        <v>55</v>
      </c>
      <c r="AC372" s="25" t="s">
        <v>55</v>
      </c>
      <c r="AD372" s="25" t="s">
        <v>118</v>
      </c>
      <c r="AE372" s="25" t="s">
        <v>97</v>
      </c>
      <c r="AF372" s="25" t="s">
        <v>55</v>
      </c>
      <c r="AG372" s="25" t="s">
        <v>55</v>
      </c>
      <c r="AH372" s="25" t="s">
        <v>55</v>
      </c>
      <c r="AI372" s="25" t="s">
        <v>55</v>
      </c>
      <c r="AJ372" s="25" t="s">
        <v>55</v>
      </c>
      <c r="AK372" s="25" t="s">
        <v>55</v>
      </c>
      <c r="AL372" s="25" t="s">
        <v>55</v>
      </c>
      <c r="AM372" s="25" t="s">
        <v>55</v>
      </c>
      <c r="AN372" s="25" t="s">
        <v>55</v>
      </c>
      <c r="AO372" s="25" t="s">
        <v>55</v>
      </c>
      <c r="AP372" s="25" t="s">
        <v>55</v>
      </c>
      <c r="AQ372" s="25" t="s">
        <v>55</v>
      </c>
      <c r="AR372" s="25" t="s">
        <v>55</v>
      </c>
      <c r="AS372" s="25" t="s">
        <v>55</v>
      </c>
      <c r="AT372" s="25" t="s">
        <v>55</v>
      </c>
      <c r="AU372" s="25" t="s">
        <v>55</v>
      </c>
      <c r="AV372" s="25" t="s">
        <v>55</v>
      </c>
      <c r="AW372" s="25" t="s">
        <v>55</v>
      </c>
      <c r="AX372" s="26">
        <v>45973</v>
      </c>
      <c r="AY372" s="25" t="s">
        <v>2161</v>
      </c>
      <c r="AZ372" s="20">
        <f t="shared" si="19"/>
        <v>-40</v>
      </c>
      <c r="BA372" s="17" t="e">
        <f t="shared" si="20"/>
        <v>#N/A</v>
      </c>
      <c r="BB372" s="21" t="s">
        <v>335</v>
      </c>
    </row>
    <row r="373" spans="1:54" x14ac:dyDescent="0.35">
      <c r="A373" s="25" t="s">
        <v>2438</v>
      </c>
      <c r="B373" s="25" t="s">
        <v>347</v>
      </c>
      <c r="C373" s="25" t="s">
        <v>588</v>
      </c>
      <c r="D373" s="25" t="s">
        <v>465</v>
      </c>
      <c r="E373" s="25" t="s">
        <v>52</v>
      </c>
      <c r="F373" s="25" t="s">
        <v>2439</v>
      </c>
      <c r="G373" s="25" t="s">
        <v>126</v>
      </c>
      <c r="H373" s="25" t="s">
        <v>157</v>
      </c>
      <c r="I373" s="25" t="s">
        <v>149</v>
      </c>
      <c r="J373" s="25" t="s">
        <v>55</v>
      </c>
      <c r="K373" s="25" t="s">
        <v>1720</v>
      </c>
      <c r="L373" s="25" t="s">
        <v>103</v>
      </c>
      <c r="M373" s="25" t="s">
        <v>55</v>
      </c>
      <c r="N373" s="25" t="s">
        <v>55</v>
      </c>
      <c r="O373" s="25" t="s">
        <v>2440</v>
      </c>
      <c r="P373" s="25" t="s">
        <v>2298</v>
      </c>
      <c r="Q373" s="25" t="s">
        <v>2441</v>
      </c>
      <c r="R373" s="25" t="s">
        <v>55</v>
      </c>
      <c r="S373" s="25" t="s">
        <v>2300</v>
      </c>
      <c r="T373" s="25" t="s">
        <v>2301</v>
      </c>
      <c r="U373" s="25" t="s">
        <v>55</v>
      </c>
      <c r="V373" s="26">
        <v>46022</v>
      </c>
      <c r="W373" s="25" t="s">
        <v>55</v>
      </c>
      <c r="X373" s="25" t="s">
        <v>2442</v>
      </c>
      <c r="Y373" s="25" t="s">
        <v>65</v>
      </c>
      <c r="Z373" s="25" t="s">
        <v>55</v>
      </c>
      <c r="AA373" s="25" t="s">
        <v>221</v>
      </c>
      <c r="AB373" s="25" t="s">
        <v>55</v>
      </c>
      <c r="AC373" s="25" t="s">
        <v>55</v>
      </c>
      <c r="AD373" s="25" t="s">
        <v>118</v>
      </c>
      <c r="AE373" s="25" t="s">
        <v>97</v>
      </c>
      <c r="AF373" s="25" t="s">
        <v>55</v>
      </c>
      <c r="AG373" s="25" t="s">
        <v>55</v>
      </c>
      <c r="AH373" s="25" t="s">
        <v>55</v>
      </c>
      <c r="AI373" s="25" t="s">
        <v>55</v>
      </c>
      <c r="AJ373" s="25" t="s">
        <v>55</v>
      </c>
      <c r="AK373" s="25" t="s">
        <v>55</v>
      </c>
      <c r="AL373" s="25" t="s">
        <v>55</v>
      </c>
      <c r="AM373" s="25" t="s">
        <v>55</v>
      </c>
      <c r="AN373" s="25" t="s">
        <v>55</v>
      </c>
      <c r="AO373" s="25" t="s">
        <v>55</v>
      </c>
      <c r="AP373" s="25" t="s">
        <v>55</v>
      </c>
      <c r="AQ373" s="25" t="s">
        <v>55</v>
      </c>
      <c r="AR373" s="25" t="s">
        <v>55</v>
      </c>
      <c r="AS373" s="25" t="s">
        <v>55</v>
      </c>
      <c r="AT373" s="25" t="s">
        <v>55</v>
      </c>
      <c r="AU373" s="25" t="s">
        <v>55</v>
      </c>
      <c r="AV373" s="25" t="s">
        <v>55</v>
      </c>
      <c r="AW373" s="25" t="s">
        <v>55</v>
      </c>
      <c r="AX373" s="26">
        <v>45973</v>
      </c>
      <c r="AY373" s="25" t="s">
        <v>2161</v>
      </c>
      <c r="AZ373" s="20">
        <f t="shared" si="19"/>
        <v>-40</v>
      </c>
      <c r="BA373" s="17" t="e">
        <f t="shared" si="20"/>
        <v>#N/A</v>
      </c>
      <c r="BB373" s="21" t="s">
        <v>335</v>
      </c>
    </row>
    <row r="374" spans="1:54" x14ac:dyDescent="0.35">
      <c r="A374" s="25" t="s">
        <v>2443</v>
      </c>
      <c r="B374" s="25" t="s">
        <v>347</v>
      </c>
      <c r="C374" s="25" t="s">
        <v>588</v>
      </c>
      <c r="D374" s="25" t="s">
        <v>465</v>
      </c>
      <c r="E374" s="25" t="s">
        <v>52</v>
      </c>
      <c r="F374" s="25" t="s">
        <v>1413</v>
      </c>
      <c r="G374" s="25" t="s">
        <v>54</v>
      </c>
      <c r="H374" s="25" t="s">
        <v>1713</v>
      </c>
      <c r="I374" s="25" t="s">
        <v>149</v>
      </c>
      <c r="J374" s="25" t="s">
        <v>55</v>
      </c>
      <c r="K374" s="25" t="s">
        <v>1720</v>
      </c>
      <c r="L374" s="25" t="s">
        <v>103</v>
      </c>
      <c r="M374" s="25" t="s">
        <v>55</v>
      </c>
      <c r="N374" s="25" t="s">
        <v>55</v>
      </c>
      <c r="O374" s="25" t="s">
        <v>2444</v>
      </c>
      <c r="P374" s="25" t="s">
        <v>2298</v>
      </c>
      <c r="Q374" s="25" t="s">
        <v>2445</v>
      </c>
      <c r="R374" s="25" t="s">
        <v>55</v>
      </c>
      <c r="S374" s="25" t="s">
        <v>2300</v>
      </c>
      <c r="T374" s="25" t="s">
        <v>2301</v>
      </c>
      <c r="U374" s="25" t="s">
        <v>55</v>
      </c>
      <c r="V374" s="26">
        <v>46022</v>
      </c>
      <c r="W374" s="25" t="s">
        <v>55</v>
      </c>
      <c r="X374" s="25" t="s">
        <v>2446</v>
      </c>
      <c r="Y374" s="25" t="s">
        <v>65</v>
      </c>
      <c r="Z374" s="25" t="s">
        <v>55</v>
      </c>
      <c r="AA374" s="25" t="s">
        <v>221</v>
      </c>
      <c r="AB374" s="25" t="s">
        <v>55</v>
      </c>
      <c r="AC374" s="25" t="s">
        <v>55</v>
      </c>
      <c r="AD374" s="25" t="s">
        <v>118</v>
      </c>
      <c r="AE374" s="25" t="s">
        <v>97</v>
      </c>
      <c r="AF374" s="25" t="s">
        <v>55</v>
      </c>
      <c r="AG374" s="25" t="s">
        <v>55</v>
      </c>
      <c r="AH374" s="25" t="s">
        <v>55</v>
      </c>
      <c r="AI374" s="25" t="s">
        <v>55</v>
      </c>
      <c r="AJ374" s="25" t="s">
        <v>55</v>
      </c>
      <c r="AK374" s="25" t="s">
        <v>55</v>
      </c>
      <c r="AL374" s="25" t="s">
        <v>55</v>
      </c>
      <c r="AM374" s="25" t="s">
        <v>55</v>
      </c>
      <c r="AN374" s="25" t="s">
        <v>55</v>
      </c>
      <c r="AO374" s="25" t="s">
        <v>55</v>
      </c>
      <c r="AP374" s="25" t="s">
        <v>55</v>
      </c>
      <c r="AQ374" s="25" t="s">
        <v>55</v>
      </c>
      <c r="AR374" s="25" t="s">
        <v>55</v>
      </c>
      <c r="AS374" s="25" t="s">
        <v>55</v>
      </c>
      <c r="AT374" s="25" t="s">
        <v>55</v>
      </c>
      <c r="AU374" s="25" t="s">
        <v>55</v>
      </c>
      <c r="AV374" s="25" t="s">
        <v>55</v>
      </c>
      <c r="AW374" s="25" t="s">
        <v>55</v>
      </c>
      <c r="AX374" s="26">
        <v>45973</v>
      </c>
      <c r="AY374" s="25" t="s">
        <v>2161</v>
      </c>
      <c r="AZ374" s="20">
        <f t="shared" si="19"/>
        <v>-40</v>
      </c>
      <c r="BA374" s="17" t="e">
        <f t="shared" si="20"/>
        <v>#N/A</v>
      </c>
      <c r="BB374" s="21" t="s">
        <v>335</v>
      </c>
    </row>
    <row r="375" spans="1:54" x14ac:dyDescent="0.35">
      <c r="A375" s="25" t="s">
        <v>2447</v>
      </c>
      <c r="B375" s="25" t="s">
        <v>347</v>
      </c>
      <c r="C375" s="25" t="s">
        <v>588</v>
      </c>
      <c r="D375" s="25" t="s">
        <v>465</v>
      </c>
      <c r="E375" s="25" t="s">
        <v>52</v>
      </c>
      <c r="F375" s="25" t="s">
        <v>1259</v>
      </c>
      <c r="G375" s="25" t="s">
        <v>126</v>
      </c>
      <c r="H375" s="25" t="s">
        <v>127</v>
      </c>
      <c r="I375" s="25" t="s">
        <v>149</v>
      </c>
      <c r="J375" s="25" t="s">
        <v>55</v>
      </c>
      <c r="K375" s="25" t="s">
        <v>1720</v>
      </c>
      <c r="L375" s="25" t="s">
        <v>103</v>
      </c>
      <c r="M375" s="25" t="s">
        <v>55</v>
      </c>
      <c r="N375" s="25" t="s">
        <v>55</v>
      </c>
      <c r="O375" s="25" t="s">
        <v>2448</v>
      </c>
      <c r="P375" s="25" t="s">
        <v>2298</v>
      </c>
      <c r="Q375" s="25" t="s">
        <v>2449</v>
      </c>
      <c r="R375" s="25" t="s">
        <v>55</v>
      </c>
      <c r="S375" s="25" t="s">
        <v>2300</v>
      </c>
      <c r="T375" s="25" t="s">
        <v>2301</v>
      </c>
      <c r="U375" s="25" t="s">
        <v>55</v>
      </c>
      <c r="V375" s="26">
        <v>46022</v>
      </c>
      <c r="W375" s="25" t="s">
        <v>55</v>
      </c>
      <c r="X375" s="25" t="s">
        <v>2450</v>
      </c>
      <c r="Y375" s="25" t="s">
        <v>65</v>
      </c>
      <c r="Z375" s="25" t="s">
        <v>55</v>
      </c>
      <c r="AA375" s="25" t="s">
        <v>221</v>
      </c>
      <c r="AB375" s="25" t="s">
        <v>55</v>
      </c>
      <c r="AC375" s="25" t="s">
        <v>55</v>
      </c>
      <c r="AD375" s="25" t="s">
        <v>118</v>
      </c>
      <c r="AE375" s="25" t="s">
        <v>97</v>
      </c>
      <c r="AF375" s="25" t="s">
        <v>55</v>
      </c>
      <c r="AG375" s="25" t="s">
        <v>55</v>
      </c>
      <c r="AH375" s="25" t="s">
        <v>55</v>
      </c>
      <c r="AI375" s="25" t="s">
        <v>55</v>
      </c>
      <c r="AJ375" s="25" t="s">
        <v>55</v>
      </c>
      <c r="AK375" s="25" t="s">
        <v>55</v>
      </c>
      <c r="AL375" s="25" t="s">
        <v>55</v>
      </c>
      <c r="AM375" s="25" t="s">
        <v>55</v>
      </c>
      <c r="AN375" s="25" t="s">
        <v>55</v>
      </c>
      <c r="AO375" s="25" t="s">
        <v>55</v>
      </c>
      <c r="AP375" s="25" t="s">
        <v>55</v>
      </c>
      <c r="AQ375" s="25" t="s">
        <v>55</v>
      </c>
      <c r="AR375" s="25" t="s">
        <v>55</v>
      </c>
      <c r="AS375" s="25" t="s">
        <v>55</v>
      </c>
      <c r="AT375" s="25" t="s">
        <v>55</v>
      </c>
      <c r="AU375" s="25" t="s">
        <v>55</v>
      </c>
      <c r="AV375" s="25" t="s">
        <v>55</v>
      </c>
      <c r="AW375" s="25" t="s">
        <v>55</v>
      </c>
      <c r="AX375" s="26">
        <v>45973</v>
      </c>
      <c r="AY375" s="25" t="s">
        <v>2161</v>
      </c>
      <c r="AZ375" s="20">
        <f t="shared" si="19"/>
        <v>-40</v>
      </c>
      <c r="BA375" s="17" t="e">
        <f t="shared" si="20"/>
        <v>#N/A</v>
      </c>
      <c r="BB375" s="21" t="s">
        <v>335</v>
      </c>
    </row>
    <row r="376" spans="1:54" x14ac:dyDescent="0.35">
      <c r="A376" s="25" t="s">
        <v>2451</v>
      </c>
      <c r="B376" s="25" t="s">
        <v>347</v>
      </c>
      <c r="C376" s="25" t="s">
        <v>588</v>
      </c>
      <c r="D376" s="25" t="s">
        <v>465</v>
      </c>
      <c r="E376" s="25" t="s">
        <v>52</v>
      </c>
      <c r="F376" s="25" t="s">
        <v>254</v>
      </c>
      <c r="G376" s="25" t="s">
        <v>126</v>
      </c>
      <c r="H376" s="25" t="s">
        <v>127</v>
      </c>
      <c r="I376" s="25" t="s">
        <v>149</v>
      </c>
      <c r="J376" s="25" t="s">
        <v>55</v>
      </c>
      <c r="K376" s="25" t="s">
        <v>1720</v>
      </c>
      <c r="L376" s="25" t="s">
        <v>103</v>
      </c>
      <c r="M376" s="25" t="s">
        <v>55</v>
      </c>
      <c r="N376" s="25" t="s">
        <v>55</v>
      </c>
      <c r="O376" s="25" t="s">
        <v>2452</v>
      </c>
      <c r="P376" s="25" t="s">
        <v>2298</v>
      </c>
      <c r="Q376" s="25" t="s">
        <v>2453</v>
      </c>
      <c r="R376" s="25" t="s">
        <v>55</v>
      </c>
      <c r="S376" s="25" t="s">
        <v>2300</v>
      </c>
      <c r="T376" s="25" t="s">
        <v>2301</v>
      </c>
      <c r="U376" s="25" t="s">
        <v>55</v>
      </c>
      <c r="V376" s="26">
        <v>46022</v>
      </c>
      <c r="W376" s="25" t="s">
        <v>55</v>
      </c>
      <c r="X376" s="25" t="s">
        <v>2454</v>
      </c>
      <c r="Y376" s="25" t="s">
        <v>65</v>
      </c>
      <c r="Z376" s="25" t="s">
        <v>55</v>
      </c>
      <c r="AA376" s="25" t="s">
        <v>221</v>
      </c>
      <c r="AB376" s="25" t="s">
        <v>55</v>
      </c>
      <c r="AC376" s="25" t="s">
        <v>55</v>
      </c>
      <c r="AD376" s="25" t="s">
        <v>118</v>
      </c>
      <c r="AE376" s="25" t="s">
        <v>97</v>
      </c>
      <c r="AF376" s="25" t="s">
        <v>55</v>
      </c>
      <c r="AG376" s="25" t="s">
        <v>55</v>
      </c>
      <c r="AH376" s="25" t="s">
        <v>55</v>
      </c>
      <c r="AI376" s="25" t="s">
        <v>55</v>
      </c>
      <c r="AJ376" s="25" t="s">
        <v>55</v>
      </c>
      <c r="AK376" s="25" t="s">
        <v>55</v>
      </c>
      <c r="AL376" s="25" t="s">
        <v>55</v>
      </c>
      <c r="AM376" s="25" t="s">
        <v>55</v>
      </c>
      <c r="AN376" s="25" t="s">
        <v>55</v>
      </c>
      <c r="AO376" s="25" t="s">
        <v>55</v>
      </c>
      <c r="AP376" s="25" t="s">
        <v>55</v>
      </c>
      <c r="AQ376" s="25" t="s">
        <v>55</v>
      </c>
      <c r="AR376" s="25" t="s">
        <v>55</v>
      </c>
      <c r="AS376" s="25" t="s">
        <v>55</v>
      </c>
      <c r="AT376" s="25" t="s">
        <v>55</v>
      </c>
      <c r="AU376" s="25" t="s">
        <v>55</v>
      </c>
      <c r="AV376" s="25" t="s">
        <v>55</v>
      </c>
      <c r="AW376" s="25" t="s">
        <v>55</v>
      </c>
      <c r="AX376" s="26">
        <v>45973</v>
      </c>
      <c r="AY376" s="25" t="s">
        <v>2161</v>
      </c>
      <c r="AZ376" s="20">
        <f t="shared" si="19"/>
        <v>-40</v>
      </c>
      <c r="BA376" s="17" t="e">
        <f t="shared" si="20"/>
        <v>#N/A</v>
      </c>
      <c r="BB376" s="21" t="s">
        <v>335</v>
      </c>
    </row>
    <row r="377" spans="1:54" x14ac:dyDescent="0.35">
      <c r="A377" s="25" t="s">
        <v>2455</v>
      </c>
      <c r="B377" s="25" t="s">
        <v>347</v>
      </c>
      <c r="C377" s="25" t="s">
        <v>588</v>
      </c>
      <c r="D377" s="25" t="s">
        <v>465</v>
      </c>
      <c r="E377" s="25" t="s">
        <v>52</v>
      </c>
      <c r="F377" s="25" t="s">
        <v>492</v>
      </c>
      <c r="G377" s="25" t="s">
        <v>493</v>
      </c>
      <c r="H377" s="25" t="s">
        <v>1718</v>
      </c>
      <c r="I377" s="25" t="s">
        <v>149</v>
      </c>
      <c r="J377" s="25" t="s">
        <v>55</v>
      </c>
      <c r="K377" s="25" t="s">
        <v>1720</v>
      </c>
      <c r="L377" s="25" t="s">
        <v>103</v>
      </c>
      <c r="M377" s="25" t="s">
        <v>55</v>
      </c>
      <c r="N377" s="25" t="s">
        <v>55</v>
      </c>
      <c r="O377" s="25" t="s">
        <v>2456</v>
      </c>
      <c r="P377" s="25" t="s">
        <v>2298</v>
      </c>
      <c r="Q377" s="25" t="s">
        <v>2457</v>
      </c>
      <c r="R377" s="25" t="s">
        <v>55</v>
      </c>
      <c r="S377" s="25" t="s">
        <v>2300</v>
      </c>
      <c r="T377" s="25" t="s">
        <v>2301</v>
      </c>
      <c r="U377" s="25" t="s">
        <v>55</v>
      </c>
      <c r="V377" s="26">
        <v>46022</v>
      </c>
      <c r="W377" s="25" t="s">
        <v>55</v>
      </c>
      <c r="X377" s="25" t="s">
        <v>2458</v>
      </c>
      <c r="Y377" s="25" t="s">
        <v>65</v>
      </c>
      <c r="Z377" s="25" t="s">
        <v>55</v>
      </c>
      <c r="AA377" s="25" t="s">
        <v>221</v>
      </c>
      <c r="AB377" s="25" t="s">
        <v>55</v>
      </c>
      <c r="AC377" s="25" t="s">
        <v>55</v>
      </c>
      <c r="AD377" s="25" t="s">
        <v>118</v>
      </c>
      <c r="AE377" s="25" t="s">
        <v>97</v>
      </c>
      <c r="AF377" s="25" t="s">
        <v>55</v>
      </c>
      <c r="AG377" s="25" t="s">
        <v>55</v>
      </c>
      <c r="AH377" s="25" t="s">
        <v>55</v>
      </c>
      <c r="AI377" s="25" t="s">
        <v>55</v>
      </c>
      <c r="AJ377" s="25" t="s">
        <v>55</v>
      </c>
      <c r="AK377" s="25" t="s">
        <v>55</v>
      </c>
      <c r="AL377" s="25" t="s">
        <v>55</v>
      </c>
      <c r="AM377" s="25" t="s">
        <v>55</v>
      </c>
      <c r="AN377" s="25" t="s">
        <v>55</v>
      </c>
      <c r="AO377" s="25" t="s">
        <v>55</v>
      </c>
      <c r="AP377" s="25" t="s">
        <v>55</v>
      </c>
      <c r="AQ377" s="25" t="s">
        <v>55</v>
      </c>
      <c r="AR377" s="25" t="s">
        <v>55</v>
      </c>
      <c r="AS377" s="25" t="s">
        <v>55</v>
      </c>
      <c r="AT377" s="25" t="s">
        <v>55</v>
      </c>
      <c r="AU377" s="25" t="s">
        <v>55</v>
      </c>
      <c r="AV377" s="25" t="s">
        <v>55</v>
      </c>
      <c r="AW377" s="25" t="s">
        <v>55</v>
      </c>
      <c r="AX377" s="26">
        <v>45973</v>
      </c>
      <c r="AY377" s="25" t="s">
        <v>2161</v>
      </c>
      <c r="AZ377" s="20">
        <f t="shared" si="19"/>
        <v>-40</v>
      </c>
      <c r="BA377" s="17" t="e">
        <f t="shared" si="20"/>
        <v>#N/A</v>
      </c>
      <c r="BB377" s="21" t="s">
        <v>335</v>
      </c>
    </row>
    <row r="378" spans="1:54" x14ac:dyDescent="0.35">
      <c r="A378" s="25" t="s">
        <v>2459</v>
      </c>
      <c r="B378" s="25" t="s">
        <v>347</v>
      </c>
      <c r="C378" s="25" t="s">
        <v>588</v>
      </c>
      <c r="D378" s="25" t="s">
        <v>465</v>
      </c>
      <c r="E378" s="25" t="s">
        <v>52</v>
      </c>
      <c r="F378" s="25" t="s">
        <v>1644</v>
      </c>
      <c r="G378" s="25" t="s">
        <v>54</v>
      </c>
      <c r="H378" s="25" t="s">
        <v>1728</v>
      </c>
      <c r="I378" s="25" t="s">
        <v>149</v>
      </c>
      <c r="J378" s="25" t="s">
        <v>55</v>
      </c>
      <c r="K378" s="25" t="s">
        <v>1720</v>
      </c>
      <c r="L378" s="25" t="s">
        <v>103</v>
      </c>
      <c r="M378" s="25" t="s">
        <v>55</v>
      </c>
      <c r="N378" s="25" t="s">
        <v>55</v>
      </c>
      <c r="O378" s="25" t="s">
        <v>2460</v>
      </c>
      <c r="P378" s="25" t="s">
        <v>2298</v>
      </c>
      <c r="Q378" s="25" t="s">
        <v>2461</v>
      </c>
      <c r="R378" s="25" t="s">
        <v>55</v>
      </c>
      <c r="S378" s="25" t="s">
        <v>2300</v>
      </c>
      <c r="T378" s="25" t="s">
        <v>2301</v>
      </c>
      <c r="U378" s="25" t="s">
        <v>55</v>
      </c>
      <c r="V378" s="26">
        <v>46022</v>
      </c>
      <c r="W378" s="25" t="s">
        <v>55</v>
      </c>
      <c r="X378" s="25" t="s">
        <v>2462</v>
      </c>
      <c r="Y378" s="25" t="s">
        <v>65</v>
      </c>
      <c r="Z378" s="25" t="s">
        <v>55</v>
      </c>
      <c r="AA378" s="25" t="s">
        <v>221</v>
      </c>
      <c r="AB378" s="25" t="s">
        <v>55</v>
      </c>
      <c r="AC378" s="25" t="s">
        <v>55</v>
      </c>
      <c r="AD378" s="25" t="s">
        <v>118</v>
      </c>
      <c r="AE378" s="25" t="s">
        <v>97</v>
      </c>
      <c r="AF378" s="25" t="s">
        <v>55</v>
      </c>
      <c r="AG378" s="25" t="s">
        <v>55</v>
      </c>
      <c r="AH378" s="25" t="s">
        <v>55</v>
      </c>
      <c r="AI378" s="25" t="s">
        <v>55</v>
      </c>
      <c r="AJ378" s="25" t="s">
        <v>55</v>
      </c>
      <c r="AK378" s="25" t="s">
        <v>55</v>
      </c>
      <c r="AL378" s="25" t="s">
        <v>55</v>
      </c>
      <c r="AM378" s="25" t="s">
        <v>55</v>
      </c>
      <c r="AN378" s="25" t="s">
        <v>55</v>
      </c>
      <c r="AO378" s="25" t="s">
        <v>55</v>
      </c>
      <c r="AP378" s="25" t="s">
        <v>55</v>
      </c>
      <c r="AQ378" s="25" t="s">
        <v>55</v>
      </c>
      <c r="AR378" s="25" t="s">
        <v>55</v>
      </c>
      <c r="AS378" s="25" t="s">
        <v>55</v>
      </c>
      <c r="AT378" s="25" t="s">
        <v>55</v>
      </c>
      <c r="AU378" s="25" t="s">
        <v>55</v>
      </c>
      <c r="AV378" s="25" t="s">
        <v>55</v>
      </c>
      <c r="AW378" s="25" t="s">
        <v>55</v>
      </c>
      <c r="AX378" s="26">
        <v>45973</v>
      </c>
      <c r="AY378" s="25" t="s">
        <v>2161</v>
      </c>
      <c r="AZ378" s="20">
        <f t="shared" si="19"/>
        <v>-40</v>
      </c>
      <c r="BA378" s="17" t="e">
        <f t="shared" si="20"/>
        <v>#N/A</v>
      </c>
      <c r="BB378" s="21" t="s">
        <v>335</v>
      </c>
    </row>
    <row r="379" spans="1:54" x14ac:dyDescent="0.35">
      <c r="A379" s="25" t="s">
        <v>2463</v>
      </c>
      <c r="B379" s="25" t="s">
        <v>347</v>
      </c>
      <c r="C379" s="25" t="s">
        <v>588</v>
      </c>
      <c r="D379" s="25" t="s">
        <v>465</v>
      </c>
      <c r="E379" s="25" t="s">
        <v>52</v>
      </c>
      <c r="F379" s="25" t="s">
        <v>2464</v>
      </c>
      <c r="G379" s="25" t="s">
        <v>54</v>
      </c>
      <c r="H379" s="25" t="s">
        <v>1727</v>
      </c>
      <c r="I379" s="25" t="s">
        <v>149</v>
      </c>
      <c r="J379" s="25" t="s">
        <v>55</v>
      </c>
      <c r="K379" s="25" t="s">
        <v>1720</v>
      </c>
      <c r="L379" s="25" t="s">
        <v>103</v>
      </c>
      <c r="M379" s="25" t="s">
        <v>55</v>
      </c>
      <c r="N379" s="25" t="s">
        <v>55</v>
      </c>
      <c r="O379" s="25" t="s">
        <v>2465</v>
      </c>
      <c r="P379" s="25" t="s">
        <v>2298</v>
      </c>
      <c r="Q379" s="25" t="s">
        <v>2466</v>
      </c>
      <c r="R379" s="25" t="s">
        <v>55</v>
      </c>
      <c r="S379" s="25" t="s">
        <v>2300</v>
      </c>
      <c r="T379" s="25" t="s">
        <v>2301</v>
      </c>
      <c r="U379" s="25" t="s">
        <v>55</v>
      </c>
      <c r="V379" s="26">
        <v>46022</v>
      </c>
      <c r="W379" s="25" t="s">
        <v>55</v>
      </c>
      <c r="X379" s="25" t="s">
        <v>2387</v>
      </c>
      <c r="Y379" s="25" t="s">
        <v>65</v>
      </c>
      <c r="Z379" s="25" t="s">
        <v>55</v>
      </c>
      <c r="AA379" s="25" t="s">
        <v>221</v>
      </c>
      <c r="AB379" s="25" t="s">
        <v>55</v>
      </c>
      <c r="AC379" s="25" t="s">
        <v>55</v>
      </c>
      <c r="AD379" s="25" t="s">
        <v>118</v>
      </c>
      <c r="AE379" s="25" t="s">
        <v>97</v>
      </c>
      <c r="AF379" s="25" t="s">
        <v>55</v>
      </c>
      <c r="AG379" s="25" t="s">
        <v>55</v>
      </c>
      <c r="AH379" s="25" t="s">
        <v>55</v>
      </c>
      <c r="AI379" s="25" t="s">
        <v>55</v>
      </c>
      <c r="AJ379" s="25" t="s">
        <v>55</v>
      </c>
      <c r="AK379" s="25" t="s">
        <v>55</v>
      </c>
      <c r="AL379" s="25" t="s">
        <v>55</v>
      </c>
      <c r="AM379" s="25" t="s">
        <v>55</v>
      </c>
      <c r="AN379" s="25" t="s">
        <v>55</v>
      </c>
      <c r="AO379" s="25" t="s">
        <v>55</v>
      </c>
      <c r="AP379" s="25" t="s">
        <v>55</v>
      </c>
      <c r="AQ379" s="25" t="s">
        <v>55</v>
      </c>
      <c r="AR379" s="25" t="s">
        <v>55</v>
      </c>
      <c r="AS379" s="25" t="s">
        <v>55</v>
      </c>
      <c r="AT379" s="25" t="s">
        <v>55</v>
      </c>
      <c r="AU379" s="25" t="s">
        <v>55</v>
      </c>
      <c r="AV379" s="25" t="s">
        <v>55</v>
      </c>
      <c r="AW379" s="25" t="s">
        <v>55</v>
      </c>
      <c r="AX379" s="26">
        <v>45973</v>
      </c>
      <c r="AY379" s="25" t="s">
        <v>2161</v>
      </c>
      <c r="AZ379" s="20">
        <f t="shared" si="19"/>
        <v>-40</v>
      </c>
      <c r="BA379" s="17" t="e">
        <f t="shared" si="20"/>
        <v>#N/A</v>
      </c>
      <c r="BB379" s="21" t="s">
        <v>335</v>
      </c>
    </row>
    <row r="380" spans="1:54" x14ac:dyDescent="0.35">
      <c r="A380" s="25" t="s">
        <v>2467</v>
      </c>
      <c r="B380" s="25" t="s">
        <v>347</v>
      </c>
      <c r="C380" s="25" t="s">
        <v>588</v>
      </c>
      <c r="D380" s="25" t="s">
        <v>465</v>
      </c>
      <c r="E380" s="25" t="s">
        <v>52</v>
      </c>
      <c r="F380" s="25" t="s">
        <v>466</v>
      </c>
      <c r="G380" s="25" t="s">
        <v>54</v>
      </c>
      <c r="H380" s="25" t="s">
        <v>1712</v>
      </c>
      <c r="I380" s="25" t="s">
        <v>149</v>
      </c>
      <c r="J380" s="25" t="s">
        <v>55</v>
      </c>
      <c r="K380" s="25" t="s">
        <v>1720</v>
      </c>
      <c r="L380" s="25" t="s">
        <v>103</v>
      </c>
      <c r="M380" s="25" t="s">
        <v>55</v>
      </c>
      <c r="N380" s="25" t="s">
        <v>55</v>
      </c>
      <c r="O380" s="25" t="s">
        <v>2468</v>
      </c>
      <c r="P380" s="25" t="s">
        <v>2298</v>
      </c>
      <c r="Q380" s="25" t="s">
        <v>2469</v>
      </c>
      <c r="R380" s="25" t="s">
        <v>55</v>
      </c>
      <c r="S380" s="25" t="s">
        <v>2300</v>
      </c>
      <c r="T380" s="25" t="s">
        <v>2301</v>
      </c>
      <c r="U380" s="25" t="s">
        <v>55</v>
      </c>
      <c r="V380" s="26">
        <v>46022</v>
      </c>
      <c r="W380" s="25" t="s">
        <v>55</v>
      </c>
      <c r="X380" s="25" t="s">
        <v>2470</v>
      </c>
      <c r="Y380" s="25" t="s">
        <v>65</v>
      </c>
      <c r="Z380" s="25" t="s">
        <v>55</v>
      </c>
      <c r="AA380" s="25" t="s">
        <v>221</v>
      </c>
      <c r="AB380" s="25" t="s">
        <v>55</v>
      </c>
      <c r="AC380" s="25" t="s">
        <v>55</v>
      </c>
      <c r="AD380" s="25" t="s">
        <v>118</v>
      </c>
      <c r="AE380" s="25" t="s">
        <v>97</v>
      </c>
      <c r="AF380" s="25" t="s">
        <v>55</v>
      </c>
      <c r="AG380" s="25" t="s">
        <v>55</v>
      </c>
      <c r="AH380" s="25" t="s">
        <v>55</v>
      </c>
      <c r="AI380" s="25" t="s">
        <v>55</v>
      </c>
      <c r="AJ380" s="25" t="s">
        <v>55</v>
      </c>
      <c r="AK380" s="25" t="s">
        <v>55</v>
      </c>
      <c r="AL380" s="25" t="s">
        <v>55</v>
      </c>
      <c r="AM380" s="25" t="s">
        <v>55</v>
      </c>
      <c r="AN380" s="25" t="s">
        <v>55</v>
      </c>
      <c r="AO380" s="25" t="s">
        <v>55</v>
      </c>
      <c r="AP380" s="25" t="s">
        <v>55</v>
      </c>
      <c r="AQ380" s="25" t="s">
        <v>55</v>
      </c>
      <c r="AR380" s="25" t="s">
        <v>55</v>
      </c>
      <c r="AS380" s="25" t="s">
        <v>55</v>
      </c>
      <c r="AT380" s="25" t="s">
        <v>55</v>
      </c>
      <c r="AU380" s="25" t="s">
        <v>55</v>
      </c>
      <c r="AV380" s="25" t="s">
        <v>55</v>
      </c>
      <c r="AW380" s="25" t="s">
        <v>55</v>
      </c>
      <c r="AX380" s="26">
        <v>45973</v>
      </c>
      <c r="AY380" s="25" t="s">
        <v>2161</v>
      </c>
      <c r="AZ380" s="20">
        <f t="shared" si="19"/>
        <v>-40</v>
      </c>
      <c r="BA380" s="17" t="e">
        <f t="shared" si="20"/>
        <v>#N/A</v>
      </c>
      <c r="BB380" s="21" t="s">
        <v>335</v>
      </c>
    </row>
    <row r="381" spans="1:54" x14ac:dyDescent="0.35">
      <c r="A381" s="25" t="s">
        <v>2471</v>
      </c>
      <c r="B381" s="25" t="s">
        <v>347</v>
      </c>
      <c r="C381" s="25" t="s">
        <v>588</v>
      </c>
      <c r="D381" s="25" t="s">
        <v>465</v>
      </c>
      <c r="E381" s="25" t="s">
        <v>52</v>
      </c>
      <c r="F381" s="25" t="s">
        <v>2472</v>
      </c>
      <c r="G381" s="25" t="s">
        <v>126</v>
      </c>
      <c r="H381" s="25" t="s">
        <v>157</v>
      </c>
      <c r="I381" s="25" t="s">
        <v>149</v>
      </c>
      <c r="J381" s="25" t="s">
        <v>55</v>
      </c>
      <c r="K381" s="25" t="s">
        <v>1720</v>
      </c>
      <c r="L381" s="25" t="s">
        <v>103</v>
      </c>
      <c r="M381" s="25" t="s">
        <v>55</v>
      </c>
      <c r="N381" s="25" t="s">
        <v>55</v>
      </c>
      <c r="O381" s="25" t="s">
        <v>2473</v>
      </c>
      <c r="P381" s="25" t="s">
        <v>2298</v>
      </c>
      <c r="Q381" s="25" t="s">
        <v>2474</v>
      </c>
      <c r="R381" s="25" t="s">
        <v>55</v>
      </c>
      <c r="S381" s="25" t="s">
        <v>2300</v>
      </c>
      <c r="T381" s="25" t="s">
        <v>2301</v>
      </c>
      <c r="U381" s="25" t="s">
        <v>55</v>
      </c>
      <c r="V381" s="26">
        <v>46022</v>
      </c>
      <c r="W381" s="25" t="s">
        <v>55</v>
      </c>
      <c r="X381" s="25" t="s">
        <v>2475</v>
      </c>
      <c r="Y381" s="25" t="s">
        <v>65</v>
      </c>
      <c r="Z381" s="25" t="s">
        <v>55</v>
      </c>
      <c r="AA381" s="25" t="s">
        <v>221</v>
      </c>
      <c r="AB381" s="25" t="s">
        <v>55</v>
      </c>
      <c r="AC381" s="25" t="s">
        <v>55</v>
      </c>
      <c r="AD381" s="25" t="s">
        <v>118</v>
      </c>
      <c r="AE381" s="25" t="s">
        <v>97</v>
      </c>
      <c r="AF381" s="25" t="s">
        <v>55</v>
      </c>
      <c r="AG381" s="25" t="s">
        <v>55</v>
      </c>
      <c r="AH381" s="25" t="s">
        <v>55</v>
      </c>
      <c r="AI381" s="25" t="s">
        <v>55</v>
      </c>
      <c r="AJ381" s="25" t="s">
        <v>55</v>
      </c>
      <c r="AK381" s="25" t="s">
        <v>55</v>
      </c>
      <c r="AL381" s="25" t="s">
        <v>55</v>
      </c>
      <c r="AM381" s="25" t="s">
        <v>55</v>
      </c>
      <c r="AN381" s="25" t="s">
        <v>55</v>
      </c>
      <c r="AO381" s="25" t="s">
        <v>55</v>
      </c>
      <c r="AP381" s="25" t="s">
        <v>55</v>
      </c>
      <c r="AQ381" s="25" t="s">
        <v>55</v>
      </c>
      <c r="AR381" s="25" t="s">
        <v>55</v>
      </c>
      <c r="AS381" s="25" t="s">
        <v>55</v>
      </c>
      <c r="AT381" s="25" t="s">
        <v>55</v>
      </c>
      <c r="AU381" s="25" t="s">
        <v>55</v>
      </c>
      <c r="AV381" s="25" t="s">
        <v>55</v>
      </c>
      <c r="AW381" s="25" t="s">
        <v>55</v>
      </c>
      <c r="AX381" s="26">
        <v>45973</v>
      </c>
      <c r="AY381" s="25" t="s">
        <v>2161</v>
      </c>
      <c r="AZ381" s="20">
        <f t="shared" si="19"/>
        <v>-40</v>
      </c>
      <c r="BA381" s="17" t="e">
        <f t="shared" si="20"/>
        <v>#N/A</v>
      </c>
      <c r="BB381" s="21" t="s">
        <v>335</v>
      </c>
    </row>
    <row r="382" spans="1:54" x14ac:dyDescent="0.35">
      <c r="A382" s="25" t="s">
        <v>2476</v>
      </c>
      <c r="B382" s="25" t="s">
        <v>347</v>
      </c>
      <c r="C382" s="25" t="s">
        <v>588</v>
      </c>
      <c r="D382" s="25" t="s">
        <v>465</v>
      </c>
      <c r="E382" s="25" t="s">
        <v>52</v>
      </c>
      <c r="F382" s="25" t="s">
        <v>1026</v>
      </c>
      <c r="G382" s="25" t="s">
        <v>54</v>
      </c>
      <c r="H382" s="25" t="s">
        <v>1714</v>
      </c>
      <c r="I382" s="25" t="s">
        <v>149</v>
      </c>
      <c r="J382" s="25" t="s">
        <v>55</v>
      </c>
      <c r="K382" s="25" t="s">
        <v>1720</v>
      </c>
      <c r="L382" s="25" t="s">
        <v>103</v>
      </c>
      <c r="M382" s="25" t="s">
        <v>55</v>
      </c>
      <c r="N382" s="25" t="s">
        <v>55</v>
      </c>
      <c r="O382" s="25" t="s">
        <v>2477</v>
      </c>
      <c r="P382" s="25" t="s">
        <v>2298</v>
      </c>
      <c r="Q382" s="25" t="s">
        <v>2478</v>
      </c>
      <c r="R382" s="25" t="s">
        <v>55</v>
      </c>
      <c r="S382" s="25" t="s">
        <v>2300</v>
      </c>
      <c r="T382" s="25" t="s">
        <v>2301</v>
      </c>
      <c r="U382" s="25" t="s">
        <v>55</v>
      </c>
      <c r="V382" s="26">
        <v>46022</v>
      </c>
      <c r="W382" s="25" t="s">
        <v>55</v>
      </c>
      <c r="X382" s="25" t="s">
        <v>2479</v>
      </c>
      <c r="Y382" s="25" t="s">
        <v>65</v>
      </c>
      <c r="Z382" s="25" t="s">
        <v>55</v>
      </c>
      <c r="AA382" s="25" t="s">
        <v>221</v>
      </c>
      <c r="AB382" s="25" t="s">
        <v>55</v>
      </c>
      <c r="AC382" s="25" t="s">
        <v>55</v>
      </c>
      <c r="AD382" s="25" t="s">
        <v>118</v>
      </c>
      <c r="AE382" s="25" t="s">
        <v>97</v>
      </c>
      <c r="AF382" s="25" t="s">
        <v>55</v>
      </c>
      <c r="AG382" s="25" t="s">
        <v>55</v>
      </c>
      <c r="AH382" s="25" t="s">
        <v>55</v>
      </c>
      <c r="AI382" s="25" t="s">
        <v>55</v>
      </c>
      <c r="AJ382" s="25" t="s">
        <v>55</v>
      </c>
      <c r="AK382" s="25" t="s">
        <v>55</v>
      </c>
      <c r="AL382" s="25" t="s">
        <v>55</v>
      </c>
      <c r="AM382" s="25" t="s">
        <v>55</v>
      </c>
      <c r="AN382" s="25" t="s">
        <v>55</v>
      </c>
      <c r="AO382" s="25" t="s">
        <v>55</v>
      </c>
      <c r="AP382" s="25" t="s">
        <v>55</v>
      </c>
      <c r="AQ382" s="25" t="s">
        <v>55</v>
      </c>
      <c r="AR382" s="25" t="s">
        <v>55</v>
      </c>
      <c r="AS382" s="25" t="s">
        <v>55</v>
      </c>
      <c r="AT382" s="25" t="s">
        <v>55</v>
      </c>
      <c r="AU382" s="25" t="s">
        <v>55</v>
      </c>
      <c r="AV382" s="25" t="s">
        <v>55</v>
      </c>
      <c r="AW382" s="25" t="s">
        <v>55</v>
      </c>
      <c r="AX382" s="26">
        <v>45973</v>
      </c>
      <c r="AY382" s="25" t="s">
        <v>2161</v>
      </c>
      <c r="AZ382" s="20">
        <f t="shared" si="19"/>
        <v>-40</v>
      </c>
      <c r="BA382" s="17" t="e">
        <f t="shared" si="20"/>
        <v>#N/A</v>
      </c>
      <c r="BB382" s="21" t="s">
        <v>335</v>
      </c>
    </row>
    <row r="383" spans="1:54" x14ac:dyDescent="0.35">
      <c r="A383" s="25" t="s">
        <v>2480</v>
      </c>
      <c r="B383" s="25" t="s">
        <v>347</v>
      </c>
      <c r="C383" s="25" t="s">
        <v>588</v>
      </c>
      <c r="D383" s="25" t="s">
        <v>465</v>
      </c>
      <c r="E383" s="25" t="s">
        <v>52</v>
      </c>
      <c r="F383" s="25" t="s">
        <v>159</v>
      </c>
      <c r="G383" s="25" t="s">
        <v>94</v>
      </c>
      <c r="H383" s="25" t="s">
        <v>95</v>
      </c>
      <c r="I383" s="25" t="s">
        <v>149</v>
      </c>
      <c r="J383" s="25" t="s">
        <v>55</v>
      </c>
      <c r="K383" s="25" t="s">
        <v>1720</v>
      </c>
      <c r="L383" s="25" t="s">
        <v>103</v>
      </c>
      <c r="M383" s="25" t="s">
        <v>55</v>
      </c>
      <c r="N383" s="25" t="s">
        <v>55</v>
      </c>
      <c r="O383" s="25" t="s">
        <v>2481</v>
      </c>
      <c r="P383" s="25" t="s">
        <v>2298</v>
      </c>
      <c r="Q383" s="25" t="s">
        <v>2482</v>
      </c>
      <c r="R383" s="25" t="s">
        <v>55</v>
      </c>
      <c r="S383" s="25" t="s">
        <v>2300</v>
      </c>
      <c r="T383" s="25" t="s">
        <v>2301</v>
      </c>
      <c r="U383" s="25" t="s">
        <v>55</v>
      </c>
      <c r="V383" s="26">
        <v>46022</v>
      </c>
      <c r="W383" s="25" t="s">
        <v>55</v>
      </c>
      <c r="X383" s="25" t="s">
        <v>2483</v>
      </c>
      <c r="Y383" s="25" t="s">
        <v>65</v>
      </c>
      <c r="Z383" s="25" t="s">
        <v>55</v>
      </c>
      <c r="AA383" s="25" t="s">
        <v>221</v>
      </c>
      <c r="AB383" s="25" t="s">
        <v>55</v>
      </c>
      <c r="AC383" s="25" t="s">
        <v>55</v>
      </c>
      <c r="AD383" s="25" t="s">
        <v>118</v>
      </c>
      <c r="AE383" s="25" t="s">
        <v>97</v>
      </c>
      <c r="AF383" s="25" t="s">
        <v>55</v>
      </c>
      <c r="AG383" s="25" t="s">
        <v>55</v>
      </c>
      <c r="AH383" s="25" t="s">
        <v>55</v>
      </c>
      <c r="AI383" s="25" t="s">
        <v>55</v>
      </c>
      <c r="AJ383" s="25" t="s">
        <v>55</v>
      </c>
      <c r="AK383" s="25" t="s">
        <v>55</v>
      </c>
      <c r="AL383" s="25" t="s">
        <v>55</v>
      </c>
      <c r="AM383" s="25" t="s">
        <v>55</v>
      </c>
      <c r="AN383" s="25" t="s">
        <v>55</v>
      </c>
      <c r="AO383" s="25" t="s">
        <v>55</v>
      </c>
      <c r="AP383" s="25" t="s">
        <v>55</v>
      </c>
      <c r="AQ383" s="25" t="s">
        <v>55</v>
      </c>
      <c r="AR383" s="25" t="s">
        <v>55</v>
      </c>
      <c r="AS383" s="25" t="s">
        <v>55</v>
      </c>
      <c r="AT383" s="25" t="s">
        <v>55</v>
      </c>
      <c r="AU383" s="25" t="s">
        <v>55</v>
      </c>
      <c r="AV383" s="25" t="s">
        <v>55</v>
      </c>
      <c r="AW383" s="25" t="s">
        <v>55</v>
      </c>
      <c r="AX383" s="26">
        <v>45973</v>
      </c>
      <c r="AY383" s="25" t="s">
        <v>2161</v>
      </c>
      <c r="AZ383" s="20">
        <f t="shared" si="19"/>
        <v>-40</v>
      </c>
      <c r="BA383" s="17" t="e">
        <f t="shared" si="20"/>
        <v>#N/A</v>
      </c>
      <c r="BB383" s="21" t="s">
        <v>335</v>
      </c>
    </row>
    <row r="384" spans="1:54" x14ac:dyDescent="0.35">
      <c r="A384" s="25" t="s">
        <v>2484</v>
      </c>
      <c r="B384" s="25" t="s">
        <v>347</v>
      </c>
      <c r="C384" s="25" t="s">
        <v>51</v>
      </c>
      <c r="D384" s="25" t="s">
        <v>465</v>
      </c>
      <c r="E384" s="25" t="s">
        <v>108</v>
      </c>
      <c r="F384" s="25" t="s">
        <v>1094</v>
      </c>
      <c r="G384" s="25" t="s">
        <v>94</v>
      </c>
      <c r="H384" s="25" t="s">
        <v>95</v>
      </c>
      <c r="I384" s="25" t="s">
        <v>109</v>
      </c>
      <c r="J384" s="25" t="s">
        <v>1742</v>
      </c>
      <c r="K384" s="25" t="s">
        <v>586</v>
      </c>
      <c r="L384" s="25" t="s">
        <v>103</v>
      </c>
      <c r="M384" s="25" t="s">
        <v>55</v>
      </c>
      <c r="N384" s="25" t="s">
        <v>55</v>
      </c>
      <c r="O384" s="25" t="s">
        <v>2485</v>
      </c>
      <c r="P384" s="25" t="s">
        <v>2486</v>
      </c>
      <c r="Q384" s="25" t="s">
        <v>2487</v>
      </c>
      <c r="R384" s="25" t="s">
        <v>63</v>
      </c>
      <c r="S384" s="25" t="s">
        <v>2488</v>
      </c>
      <c r="T384" s="25" t="s">
        <v>2489</v>
      </c>
      <c r="U384" s="25" t="s">
        <v>63</v>
      </c>
      <c r="V384" s="26">
        <v>46203</v>
      </c>
      <c r="W384" s="25" t="s">
        <v>55</v>
      </c>
      <c r="X384" s="25" t="s">
        <v>2490</v>
      </c>
      <c r="Y384" s="25" t="s">
        <v>65</v>
      </c>
      <c r="Z384" s="25" t="s">
        <v>55</v>
      </c>
      <c r="AA384" s="25" t="s">
        <v>155</v>
      </c>
      <c r="AB384" s="25" t="s">
        <v>55</v>
      </c>
      <c r="AC384" s="25" t="s">
        <v>55</v>
      </c>
      <c r="AD384" s="25" t="s">
        <v>67</v>
      </c>
      <c r="AE384" s="25" t="s">
        <v>257</v>
      </c>
      <c r="AF384" s="25" t="s">
        <v>55</v>
      </c>
      <c r="AG384" s="25" t="s">
        <v>55</v>
      </c>
      <c r="AH384" s="25" t="s">
        <v>55</v>
      </c>
      <c r="AI384" s="25" t="s">
        <v>55</v>
      </c>
      <c r="AJ384" s="25" t="s">
        <v>55</v>
      </c>
      <c r="AK384" s="25" t="s">
        <v>55</v>
      </c>
      <c r="AL384" s="25" t="s">
        <v>55</v>
      </c>
      <c r="AM384" s="25" t="s">
        <v>55</v>
      </c>
      <c r="AN384" s="25" t="s">
        <v>55</v>
      </c>
      <c r="AO384" s="25" t="s">
        <v>55</v>
      </c>
      <c r="AP384" s="25" t="s">
        <v>55</v>
      </c>
      <c r="AQ384" s="25" t="s">
        <v>55</v>
      </c>
      <c r="AR384" s="25" t="s">
        <v>55</v>
      </c>
      <c r="AS384" s="25" t="s">
        <v>55</v>
      </c>
      <c r="AT384" s="25" t="s">
        <v>55</v>
      </c>
      <c r="AU384" s="25" t="s">
        <v>55</v>
      </c>
      <c r="AV384" s="25" t="s">
        <v>55</v>
      </c>
      <c r="AW384" s="26">
        <v>45922</v>
      </c>
      <c r="AX384" s="26">
        <v>45961</v>
      </c>
      <c r="AY384" s="25" t="s">
        <v>2491</v>
      </c>
      <c r="AZ384" s="20">
        <f t="shared" si="19"/>
        <v>-221</v>
      </c>
      <c r="BA384" s="17" t="e">
        <f t="shared" si="20"/>
        <v>#N/A</v>
      </c>
      <c r="BB384" s="21" t="s">
        <v>335</v>
      </c>
    </row>
    <row r="385" spans="1:54" x14ac:dyDescent="0.35">
      <c r="A385" s="25" t="s">
        <v>2492</v>
      </c>
      <c r="B385" s="25" t="s">
        <v>347</v>
      </c>
      <c r="C385" s="25" t="s">
        <v>51</v>
      </c>
      <c r="D385" s="25" t="s">
        <v>465</v>
      </c>
      <c r="E385" s="25" t="s">
        <v>52</v>
      </c>
      <c r="F385" s="25" t="s">
        <v>1094</v>
      </c>
      <c r="G385" s="25" t="s">
        <v>94</v>
      </c>
      <c r="H385" s="25" t="s">
        <v>95</v>
      </c>
      <c r="I385" s="25" t="s">
        <v>56</v>
      </c>
      <c r="J385" s="25" t="s">
        <v>2493</v>
      </c>
      <c r="K385" s="25" t="s">
        <v>572</v>
      </c>
      <c r="L385" s="25" t="s">
        <v>103</v>
      </c>
      <c r="M385" s="25" t="s">
        <v>2494</v>
      </c>
      <c r="N385" s="25" t="s">
        <v>2494</v>
      </c>
      <c r="O385" s="25" t="s">
        <v>2485</v>
      </c>
      <c r="P385" s="25" t="s">
        <v>2495</v>
      </c>
      <c r="Q385" s="25" t="s">
        <v>2496</v>
      </c>
      <c r="R385" s="25" t="s">
        <v>63</v>
      </c>
      <c r="S385" s="25" t="s">
        <v>2497</v>
      </c>
      <c r="T385" s="25" t="s">
        <v>2498</v>
      </c>
      <c r="U385" s="25" t="s">
        <v>63</v>
      </c>
      <c r="V385" s="26">
        <v>46112</v>
      </c>
      <c r="W385" s="25" t="s">
        <v>55</v>
      </c>
      <c r="X385" s="25" t="s">
        <v>2499</v>
      </c>
      <c r="Y385" s="25" t="s">
        <v>65</v>
      </c>
      <c r="Z385" s="25" t="s">
        <v>55</v>
      </c>
      <c r="AA385" s="25" t="s">
        <v>155</v>
      </c>
      <c r="AB385" s="25" t="s">
        <v>55</v>
      </c>
      <c r="AC385" s="25" t="s">
        <v>55</v>
      </c>
      <c r="AD385" s="25" t="s">
        <v>67</v>
      </c>
      <c r="AE385" s="25" t="s">
        <v>257</v>
      </c>
      <c r="AF385" s="25" t="s">
        <v>100</v>
      </c>
      <c r="AG385" s="25" t="s">
        <v>55</v>
      </c>
      <c r="AH385" s="25" t="s">
        <v>55</v>
      </c>
      <c r="AI385" s="25" t="s">
        <v>55</v>
      </c>
      <c r="AJ385" s="25" t="s">
        <v>55</v>
      </c>
      <c r="AK385" s="25" t="s">
        <v>55</v>
      </c>
      <c r="AL385" s="25" t="s">
        <v>55</v>
      </c>
      <c r="AM385" s="25" t="s">
        <v>55</v>
      </c>
      <c r="AN385" s="25" t="s">
        <v>55</v>
      </c>
      <c r="AO385" s="25" t="s">
        <v>55</v>
      </c>
      <c r="AP385" s="25" t="s">
        <v>55</v>
      </c>
      <c r="AQ385" s="25" t="s">
        <v>55</v>
      </c>
      <c r="AR385" s="25" t="s">
        <v>55</v>
      </c>
      <c r="AS385" s="25" t="s">
        <v>55</v>
      </c>
      <c r="AT385" s="25" t="s">
        <v>55</v>
      </c>
      <c r="AU385" s="25" t="s">
        <v>55</v>
      </c>
      <c r="AV385" s="25" t="s">
        <v>55</v>
      </c>
      <c r="AW385" s="26">
        <v>45950</v>
      </c>
      <c r="AX385" s="26">
        <v>45961</v>
      </c>
      <c r="AY385" s="25" t="s">
        <v>2491</v>
      </c>
      <c r="AZ385" s="20">
        <f t="shared" si="19"/>
        <v>-130</v>
      </c>
      <c r="BA385" s="17" t="e">
        <f t="shared" si="20"/>
        <v>#N/A</v>
      </c>
      <c r="BB385" s="21" t="s">
        <v>335</v>
      </c>
    </row>
    <row r="386" spans="1:54" x14ac:dyDescent="0.35">
      <c r="A386" s="25" t="s">
        <v>2500</v>
      </c>
      <c r="B386" s="25" t="s">
        <v>347</v>
      </c>
      <c r="C386" s="25" t="s">
        <v>51</v>
      </c>
      <c r="D386" s="25" t="s">
        <v>465</v>
      </c>
      <c r="E386" s="25" t="s">
        <v>108</v>
      </c>
      <c r="F386" s="25" t="s">
        <v>1094</v>
      </c>
      <c r="G386" s="25" t="s">
        <v>94</v>
      </c>
      <c r="H386" s="25" t="s">
        <v>95</v>
      </c>
      <c r="I386" s="25" t="s">
        <v>361</v>
      </c>
      <c r="J386" s="25" t="s">
        <v>2501</v>
      </c>
      <c r="K386" s="25" t="s">
        <v>572</v>
      </c>
      <c r="L386" s="25" t="s">
        <v>103</v>
      </c>
      <c r="M386" s="25" t="s">
        <v>55</v>
      </c>
      <c r="N386" s="25" t="s">
        <v>55</v>
      </c>
      <c r="O386" s="25" t="s">
        <v>2485</v>
      </c>
      <c r="P386" s="25" t="s">
        <v>2502</v>
      </c>
      <c r="Q386" s="25" t="s">
        <v>2503</v>
      </c>
      <c r="R386" s="25" t="s">
        <v>63</v>
      </c>
      <c r="S386" s="25" t="s">
        <v>2504</v>
      </c>
      <c r="T386" s="25" t="s">
        <v>2505</v>
      </c>
      <c r="U386" s="25" t="s">
        <v>63</v>
      </c>
      <c r="V386" s="26">
        <v>46053</v>
      </c>
      <c r="W386" s="25" t="s">
        <v>55</v>
      </c>
      <c r="X386" s="25" t="s">
        <v>2506</v>
      </c>
      <c r="Y386" s="25" t="s">
        <v>65</v>
      </c>
      <c r="Z386" s="25" t="s">
        <v>55</v>
      </c>
      <c r="AA386" s="25" t="s">
        <v>155</v>
      </c>
      <c r="AB386" s="25" t="s">
        <v>55</v>
      </c>
      <c r="AC386" s="25" t="s">
        <v>55</v>
      </c>
      <c r="AD386" s="25" t="s">
        <v>67</v>
      </c>
      <c r="AE386" s="25" t="s">
        <v>257</v>
      </c>
      <c r="AF386" s="25" t="s">
        <v>55</v>
      </c>
      <c r="AG386" s="25" t="s">
        <v>55</v>
      </c>
      <c r="AH386" s="25" t="s">
        <v>55</v>
      </c>
      <c r="AI386" s="25" t="s">
        <v>55</v>
      </c>
      <c r="AJ386" s="25" t="s">
        <v>55</v>
      </c>
      <c r="AK386" s="25" t="s">
        <v>55</v>
      </c>
      <c r="AL386" s="25" t="s">
        <v>55</v>
      </c>
      <c r="AM386" s="25" t="s">
        <v>55</v>
      </c>
      <c r="AN386" s="25" t="s">
        <v>55</v>
      </c>
      <c r="AO386" s="25" t="s">
        <v>55</v>
      </c>
      <c r="AP386" s="25" t="s">
        <v>55</v>
      </c>
      <c r="AQ386" s="25" t="s">
        <v>55</v>
      </c>
      <c r="AR386" s="25" t="s">
        <v>55</v>
      </c>
      <c r="AS386" s="25" t="s">
        <v>55</v>
      </c>
      <c r="AT386" s="25" t="s">
        <v>55</v>
      </c>
      <c r="AU386" s="25" t="s">
        <v>55</v>
      </c>
      <c r="AV386" s="25" t="s">
        <v>55</v>
      </c>
      <c r="AW386" s="26">
        <v>45922</v>
      </c>
      <c r="AX386" s="26">
        <v>45961</v>
      </c>
      <c r="AY386" s="25" t="s">
        <v>2491</v>
      </c>
      <c r="AZ386" s="20">
        <f t="shared" si="19"/>
        <v>-71</v>
      </c>
      <c r="BA386" s="17" t="e">
        <f t="shared" si="20"/>
        <v>#N/A</v>
      </c>
      <c r="BB386" s="21" t="s">
        <v>335</v>
      </c>
    </row>
    <row r="387" spans="1:54" x14ac:dyDescent="0.35">
      <c r="A387" s="25" t="s">
        <v>2507</v>
      </c>
      <c r="B387" s="25" t="s">
        <v>347</v>
      </c>
      <c r="C387" s="25" t="s">
        <v>51</v>
      </c>
      <c r="D387" s="25" t="s">
        <v>465</v>
      </c>
      <c r="E387" s="25" t="s">
        <v>108</v>
      </c>
      <c r="F387" s="25" t="s">
        <v>1094</v>
      </c>
      <c r="G387" s="25" t="s">
        <v>94</v>
      </c>
      <c r="H387" s="25" t="s">
        <v>95</v>
      </c>
      <c r="I387" s="25" t="s">
        <v>362</v>
      </c>
      <c r="J387" s="25" t="s">
        <v>2508</v>
      </c>
      <c r="K387" s="25" t="s">
        <v>593</v>
      </c>
      <c r="L387" s="25" t="s">
        <v>57</v>
      </c>
      <c r="M387" s="25" t="s">
        <v>55</v>
      </c>
      <c r="N387" s="25" t="s">
        <v>55</v>
      </c>
      <c r="O387" s="25" t="s">
        <v>2485</v>
      </c>
      <c r="P387" s="25" t="s">
        <v>2509</v>
      </c>
      <c r="Q387" s="25" t="s">
        <v>2510</v>
      </c>
      <c r="R387" s="25" t="s">
        <v>63</v>
      </c>
      <c r="S387" s="25" t="s">
        <v>2511</v>
      </c>
      <c r="T387" s="25" t="s">
        <v>2512</v>
      </c>
      <c r="U387" s="25" t="s">
        <v>132</v>
      </c>
      <c r="V387" s="26">
        <v>46053</v>
      </c>
      <c r="W387" s="25" t="s">
        <v>55</v>
      </c>
      <c r="X387" s="25" t="s">
        <v>2513</v>
      </c>
      <c r="Y387" s="25" t="s">
        <v>65</v>
      </c>
      <c r="Z387" s="25" t="s">
        <v>55</v>
      </c>
      <c r="AA387" s="25" t="s">
        <v>155</v>
      </c>
      <c r="AB387" s="25" t="s">
        <v>55</v>
      </c>
      <c r="AC387" s="25" t="s">
        <v>55</v>
      </c>
      <c r="AD387" s="25" t="s">
        <v>67</v>
      </c>
      <c r="AE387" s="25" t="s">
        <v>257</v>
      </c>
      <c r="AF387" s="25" t="s">
        <v>55</v>
      </c>
      <c r="AG387" s="25" t="s">
        <v>55</v>
      </c>
      <c r="AH387" s="25" t="s">
        <v>55</v>
      </c>
      <c r="AI387" s="25" t="s">
        <v>55</v>
      </c>
      <c r="AJ387" s="25" t="s">
        <v>55</v>
      </c>
      <c r="AK387" s="25" t="s">
        <v>55</v>
      </c>
      <c r="AL387" s="25" t="s">
        <v>55</v>
      </c>
      <c r="AM387" s="25" t="s">
        <v>55</v>
      </c>
      <c r="AN387" s="25" t="s">
        <v>55</v>
      </c>
      <c r="AO387" s="25" t="s">
        <v>55</v>
      </c>
      <c r="AP387" s="25" t="s">
        <v>55</v>
      </c>
      <c r="AQ387" s="25" t="s">
        <v>55</v>
      </c>
      <c r="AR387" s="25" t="s">
        <v>55</v>
      </c>
      <c r="AS387" s="25" t="s">
        <v>55</v>
      </c>
      <c r="AT387" s="25" t="s">
        <v>55</v>
      </c>
      <c r="AU387" s="25" t="s">
        <v>55</v>
      </c>
      <c r="AV387" s="25" t="s">
        <v>55</v>
      </c>
      <c r="AW387" s="26">
        <v>45922</v>
      </c>
      <c r="AX387" s="26">
        <v>45961</v>
      </c>
      <c r="AY387" s="25" t="s">
        <v>2491</v>
      </c>
      <c r="AZ387" s="20">
        <f t="shared" si="19"/>
        <v>-71</v>
      </c>
      <c r="BA387" s="17" t="e">
        <f t="shared" si="20"/>
        <v>#N/A</v>
      </c>
      <c r="BB387" s="21" t="s">
        <v>335</v>
      </c>
    </row>
    <row r="388" spans="1:54" x14ac:dyDescent="0.35">
      <c r="A388" s="25" t="s">
        <v>2514</v>
      </c>
      <c r="B388" s="25" t="s">
        <v>347</v>
      </c>
      <c r="C388" s="25" t="s">
        <v>51</v>
      </c>
      <c r="D388" s="25" t="s">
        <v>465</v>
      </c>
      <c r="E388" s="25" t="s">
        <v>108</v>
      </c>
      <c r="F388" s="25" t="s">
        <v>1094</v>
      </c>
      <c r="G388" s="25" t="s">
        <v>94</v>
      </c>
      <c r="H388" s="25" t="s">
        <v>95</v>
      </c>
      <c r="I388" s="25" t="s">
        <v>362</v>
      </c>
      <c r="J388" s="25" t="s">
        <v>2515</v>
      </c>
      <c r="K388" s="25" t="s">
        <v>2516</v>
      </c>
      <c r="L388" s="25" t="s">
        <v>57</v>
      </c>
      <c r="M388" s="25" t="s">
        <v>55</v>
      </c>
      <c r="N388" s="25" t="s">
        <v>55</v>
      </c>
      <c r="O388" s="25" t="s">
        <v>2485</v>
      </c>
      <c r="P388" s="25" t="s">
        <v>2517</v>
      </c>
      <c r="Q388" s="25" t="s">
        <v>2518</v>
      </c>
      <c r="R388" s="25" t="s">
        <v>63</v>
      </c>
      <c r="S388" s="25" t="s">
        <v>2519</v>
      </c>
      <c r="T388" s="25" t="s">
        <v>2520</v>
      </c>
      <c r="U388" s="25" t="s">
        <v>132</v>
      </c>
      <c r="V388" s="26">
        <v>46022</v>
      </c>
      <c r="W388" s="25" t="s">
        <v>55</v>
      </c>
      <c r="X388" s="25" t="s">
        <v>2521</v>
      </c>
      <c r="Y388" s="25" t="s">
        <v>65</v>
      </c>
      <c r="Z388" s="25" t="s">
        <v>55</v>
      </c>
      <c r="AA388" s="25" t="s">
        <v>221</v>
      </c>
      <c r="AB388" s="25" t="s">
        <v>55</v>
      </c>
      <c r="AC388" s="25" t="s">
        <v>55</v>
      </c>
      <c r="AD388" s="25" t="s">
        <v>67</v>
      </c>
      <c r="AE388" s="25" t="s">
        <v>257</v>
      </c>
      <c r="AF388" s="25" t="s">
        <v>55</v>
      </c>
      <c r="AG388" s="25" t="s">
        <v>55</v>
      </c>
      <c r="AH388" s="25" t="s">
        <v>55</v>
      </c>
      <c r="AI388" s="25" t="s">
        <v>55</v>
      </c>
      <c r="AJ388" s="25" t="s">
        <v>55</v>
      </c>
      <c r="AK388" s="25" t="s">
        <v>55</v>
      </c>
      <c r="AL388" s="25" t="s">
        <v>55</v>
      </c>
      <c r="AM388" s="25" t="s">
        <v>55</v>
      </c>
      <c r="AN388" s="25" t="s">
        <v>55</v>
      </c>
      <c r="AO388" s="25" t="s">
        <v>55</v>
      </c>
      <c r="AP388" s="25" t="s">
        <v>55</v>
      </c>
      <c r="AQ388" s="25" t="s">
        <v>55</v>
      </c>
      <c r="AR388" s="25" t="s">
        <v>55</v>
      </c>
      <c r="AS388" s="25" t="s">
        <v>55</v>
      </c>
      <c r="AT388" s="25" t="s">
        <v>55</v>
      </c>
      <c r="AU388" s="25" t="s">
        <v>55</v>
      </c>
      <c r="AV388" s="25" t="s">
        <v>55</v>
      </c>
      <c r="AW388" s="26">
        <v>45922</v>
      </c>
      <c r="AX388" s="26">
        <v>45961</v>
      </c>
      <c r="AY388" s="25" t="s">
        <v>2491</v>
      </c>
      <c r="AZ388" s="20">
        <f t="shared" si="19"/>
        <v>-40</v>
      </c>
      <c r="BA388" s="17" t="e">
        <f t="shared" si="20"/>
        <v>#N/A</v>
      </c>
      <c r="BB388" s="21" t="s">
        <v>335</v>
      </c>
    </row>
    <row r="389" spans="1:54" x14ac:dyDescent="0.35">
      <c r="A389" s="25" t="s">
        <v>2522</v>
      </c>
      <c r="B389" s="25" t="s">
        <v>347</v>
      </c>
      <c r="C389" s="25" t="s">
        <v>51</v>
      </c>
      <c r="D389" s="25" t="s">
        <v>465</v>
      </c>
      <c r="E389" s="25" t="s">
        <v>52</v>
      </c>
      <c r="F389" s="25" t="s">
        <v>1094</v>
      </c>
      <c r="G389" s="25" t="s">
        <v>94</v>
      </c>
      <c r="H389" s="25" t="s">
        <v>95</v>
      </c>
      <c r="I389" s="25" t="s">
        <v>526</v>
      </c>
      <c r="J389" s="25" t="s">
        <v>2523</v>
      </c>
      <c r="K389" s="25" t="s">
        <v>602</v>
      </c>
      <c r="L389" s="25" t="s">
        <v>57</v>
      </c>
      <c r="M389" s="25" t="s">
        <v>1016</v>
      </c>
      <c r="N389" s="25" t="s">
        <v>1016</v>
      </c>
      <c r="O389" s="25" t="s">
        <v>2485</v>
      </c>
      <c r="P389" s="25" t="s">
        <v>2524</v>
      </c>
      <c r="Q389" s="25" t="s">
        <v>2525</v>
      </c>
      <c r="R389" s="25" t="s">
        <v>63</v>
      </c>
      <c r="S389" s="25" t="s">
        <v>2526</v>
      </c>
      <c r="T389" s="25" t="s">
        <v>2527</v>
      </c>
      <c r="U389" s="25" t="s">
        <v>63</v>
      </c>
      <c r="V389" s="26">
        <v>46053</v>
      </c>
      <c r="W389" s="25" t="s">
        <v>55</v>
      </c>
      <c r="X389" s="25" t="s">
        <v>2528</v>
      </c>
      <c r="Y389" s="25" t="s">
        <v>65</v>
      </c>
      <c r="Z389" s="25" t="s">
        <v>55</v>
      </c>
      <c r="AA389" s="25" t="s">
        <v>155</v>
      </c>
      <c r="AB389" s="25" t="s">
        <v>55</v>
      </c>
      <c r="AC389" s="25" t="s">
        <v>55</v>
      </c>
      <c r="AD389" s="25" t="s">
        <v>67</v>
      </c>
      <c r="AE389" s="25" t="s">
        <v>257</v>
      </c>
      <c r="AF389" s="25" t="s">
        <v>477</v>
      </c>
      <c r="AG389" s="25" t="s">
        <v>55</v>
      </c>
      <c r="AH389" s="25" t="s">
        <v>55</v>
      </c>
      <c r="AI389" s="25" t="s">
        <v>55</v>
      </c>
      <c r="AJ389" s="25" t="s">
        <v>55</v>
      </c>
      <c r="AK389" s="25" t="s">
        <v>55</v>
      </c>
      <c r="AL389" s="25" t="s">
        <v>55</v>
      </c>
      <c r="AM389" s="25" t="s">
        <v>55</v>
      </c>
      <c r="AN389" s="25" t="s">
        <v>55</v>
      </c>
      <c r="AO389" s="25" t="s">
        <v>55</v>
      </c>
      <c r="AP389" s="25" t="s">
        <v>55</v>
      </c>
      <c r="AQ389" s="25" t="s">
        <v>55</v>
      </c>
      <c r="AR389" s="25" t="s">
        <v>55</v>
      </c>
      <c r="AS389" s="25" t="s">
        <v>55</v>
      </c>
      <c r="AT389" s="25" t="s">
        <v>55</v>
      </c>
      <c r="AU389" s="25" t="s">
        <v>55</v>
      </c>
      <c r="AV389" s="25" t="s">
        <v>55</v>
      </c>
      <c r="AW389" s="26">
        <v>45922</v>
      </c>
      <c r="AX389" s="26">
        <v>45961</v>
      </c>
      <c r="AY389" s="25" t="s">
        <v>2491</v>
      </c>
      <c r="AZ389" s="20">
        <f t="shared" si="19"/>
        <v>-71</v>
      </c>
      <c r="BA389" s="17" t="e">
        <f t="shared" si="20"/>
        <v>#N/A</v>
      </c>
      <c r="BB389" s="21" t="s">
        <v>335</v>
      </c>
    </row>
    <row r="390" spans="1:54" x14ac:dyDescent="0.35">
      <c r="A390" s="25" t="s">
        <v>2529</v>
      </c>
      <c r="B390" s="25" t="s">
        <v>347</v>
      </c>
      <c r="C390" s="25" t="s">
        <v>51</v>
      </c>
      <c r="D390" s="25" t="s">
        <v>465</v>
      </c>
      <c r="E390" s="25" t="s">
        <v>108</v>
      </c>
      <c r="F390" s="25" t="s">
        <v>1094</v>
      </c>
      <c r="G390" s="25" t="s">
        <v>94</v>
      </c>
      <c r="H390" s="25" t="s">
        <v>95</v>
      </c>
      <c r="I390" s="25" t="s">
        <v>101</v>
      </c>
      <c r="J390" s="25" t="s">
        <v>2530</v>
      </c>
      <c r="K390" s="25" t="s">
        <v>561</v>
      </c>
      <c r="L390" s="25" t="s">
        <v>57</v>
      </c>
      <c r="M390" s="25" t="s">
        <v>55</v>
      </c>
      <c r="N390" s="25" t="s">
        <v>55</v>
      </c>
      <c r="O390" s="25" t="s">
        <v>2485</v>
      </c>
      <c r="P390" s="25" t="s">
        <v>2531</v>
      </c>
      <c r="Q390" s="25" t="s">
        <v>2532</v>
      </c>
      <c r="R390" s="25" t="s">
        <v>63</v>
      </c>
      <c r="S390" s="25" t="s">
        <v>2533</v>
      </c>
      <c r="T390" s="25" t="s">
        <v>2534</v>
      </c>
      <c r="U390" s="25" t="s">
        <v>63</v>
      </c>
      <c r="V390" s="26">
        <v>46006</v>
      </c>
      <c r="W390" s="25" t="s">
        <v>55</v>
      </c>
      <c r="X390" s="25" t="s">
        <v>2535</v>
      </c>
      <c r="Y390" s="25" t="s">
        <v>65</v>
      </c>
      <c r="Z390" s="25" t="s">
        <v>55</v>
      </c>
      <c r="AA390" s="25" t="s">
        <v>152</v>
      </c>
      <c r="AB390" s="25" t="s">
        <v>55</v>
      </c>
      <c r="AC390" s="25" t="s">
        <v>55</v>
      </c>
      <c r="AD390" s="25" t="s">
        <v>67</v>
      </c>
      <c r="AE390" s="25" t="s">
        <v>257</v>
      </c>
      <c r="AF390" s="25" t="s">
        <v>55</v>
      </c>
      <c r="AG390" s="25" t="s">
        <v>55</v>
      </c>
      <c r="AH390" s="25" t="s">
        <v>55</v>
      </c>
      <c r="AI390" s="25" t="s">
        <v>55</v>
      </c>
      <c r="AJ390" s="25" t="s">
        <v>55</v>
      </c>
      <c r="AK390" s="25" t="s">
        <v>55</v>
      </c>
      <c r="AL390" s="25" t="s">
        <v>55</v>
      </c>
      <c r="AM390" s="25" t="s">
        <v>55</v>
      </c>
      <c r="AN390" s="25" t="s">
        <v>55</v>
      </c>
      <c r="AO390" s="25" t="s">
        <v>55</v>
      </c>
      <c r="AP390" s="25" t="s">
        <v>55</v>
      </c>
      <c r="AQ390" s="25" t="s">
        <v>55</v>
      </c>
      <c r="AR390" s="25" t="s">
        <v>55</v>
      </c>
      <c r="AS390" s="25" t="s">
        <v>55</v>
      </c>
      <c r="AT390" s="25" t="s">
        <v>55</v>
      </c>
      <c r="AU390" s="25" t="s">
        <v>55</v>
      </c>
      <c r="AV390" s="25" t="s">
        <v>55</v>
      </c>
      <c r="AW390" s="26">
        <v>45922</v>
      </c>
      <c r="AX390" s="26">
        <v>45961</v>
      </c>
      <c r="AY390" s="25" t="s">
        <v>2491</v>
      </c>
      <c r="AZ390" s="20">
        <f t="shared" si="19"/>
        <v>-24</v>
      </c>
      <c r="BA390" s="17" t="e">
        <f t="shared" si="20"/>
        <v>#N/A</v>
      </c>
      <c r="BB390" s="21" t="s">
        <v>335</v>
      </c>
    </row>
    <row r="391" spans="1:54" x14ac:dyDescent="0.35">
      <c r="A391" s="25" t="s">
        <v>2536</v>
      </c>
      <c r="B391" s="25" t="s">
        <v>347</v>
      </c>
      <c r="C391" s="25" t="s">
        <v>51</v>
      </c>
      <c r="D391" s="25" t="s">
        <v>465</v>
      </c>
      <c r="E391" s="25" t="s">
        <v>108</v>
      </c>
      <c r="F391" s="25" t="s">
        <v>1094</v>
      </c>
      <c r="G391" s="25" t="s">
        <v>94</v>
      </c>
      <c r="H391" s="25" t="s">
        <v>95</v>
      </c>
      <c r="I391" s="25" t="s">
        <v>160</v>
      </c>
      <c r="J391" s="25" t="s">
        <v>2537</v>
      </c>
      <c r="K391" s="25" t="s">
        <v>558</v>
      </c>
      <c r="L391" s="25" t="s">
        <v>57</v>
      </c>
      <c r="M391" s="25" t="s">
        <v>55</v>
      </c>
      <c r="N391" s="25" t="s">
        <v>55</v>
      </c>
      <c r="O391" s="25" t="s">
        <v>2485</v>
      </c>
      <c r="P391" s="25" t="s">
        <v>2538</v>
      </c>
      <c r="Q391" s="25" t="s">
        <v>2539</v>
      </c>
      <c r="R391" s="25" t="s">
        <v>63</v>
      </c>
      <c r="S391" s="25" t="s">
        <v>2540</v>
      </c>
      <c r="T391" s="25" t="s">
        <v>2541</v>
      </c>
      <c r="U391" s="25" t="s">
        <v>132</v>
      </c>
      <c r="V391" s="26">
        <v>46006</v>
      </c>
      <c r="W391" s="25" t="s">
        <v>55</v>
      </c>
      <c r="X391" s="25" t="s">
        <v>2535</v>
      </c>
      <c r="Y391" s="25" t="s">
        <v>65</v>
      </c>
      <c r="Z391" s="25" t="s">
        <v>55</v>
      </c>
      <c r="AA391" s="25" t="s">
        <v>152</v>
      </c>
      <c r="AB391" s="25" t="s">
        <v>55</v>
      </c>
      <c r="AC391" s="25" t="s">
        <v>55</v>
      </c>
      <c r="AD391" s="25" t="s">
        <v>67</v>
      </c>
      <c r="AE391" s="25" t="s">
        <v>257</v>
      </c>
      <c r="AF391" s="25" t="s">
        <v>55</v>
      </c>
      <c r="AG391" s="25" t="s">
        <v>55</v>
      </c>
      <c r="AH391" s="25" t="s">
        <v>55</v>
      </c>
      <c r="AI391" s="25" t="s">
        <v>55</v>
      </c>
      <c r="AJ391" s="25" t="s">
        <v>55</v>
      </c>
      <c r="AK391" s="25" t="s">
        <v>55</v>
      </c>
      <c r="AL391" s="25" t="s">
        <v>55</v>
      </c>
      <c r="AM391" s="25" t="s">
        <v>55</v>
      </c>
      <c r="AN391" s="25" t="s">
        <v>55</v>
      </c>
      <c r="AO391" s="25" t="s">
        <v>55</v>
      </c>
      <c r="AP391" s="25" t="s">
        <v>55</v>
      </c>
      <c r="AQ391" s="25" t="s">
        <v>55</v>
      </c>
      <c r="AR391" s="25" t="s">
        <v>55</v>
      </c>
      <c r="AS391" s="25" t="s">
        <v>55</v>
      </c>
      <c r="AT391" s="25" t="s">
        <v>55</v>
      </c>
      <c r="AU391" s="25" t="s">
        <v>55</v>
      </c>
      <c r="AV391" s="25" t="s">
        <v>55</v>
      </c>
      <c r="AW391" s="26">
        <v>45922</v>
      </c>
      <c r="AX391" s="26">
        <v>45961</v>
      </c>
      <c r="AY391" s="25" t="s">
        <v>2491</v>
      </c>
      <c r="AZ391" s="20">
        <f t="shared" si="19"/>
        <v>-24</v>
      </c>
      <c r="BA391" s="17" t="e">
        <f t="shared" si="20"/>
        <v>#N/A</v>
      </c>
      <c r="BB391" s="21" t="s">
        <v>335</v>
      </c>
    </row>
    <row r="392" spans="1:54" x14ac:dyDescent="0.35">
      <c r="A392" s="25" t="s">
        <v>2542</v>
      </c>
      <c r="B392" s="25" t="s">
        <v>347</v>
      </c>
      <c r="C392" s="25" t="s">
        <v>51</v>
      </c>
      <c r="D392" s="25" t="s">
        <v>465</v>
      </c>
      <c r="E392" s="25" t="s">
        <v>108</v>
      </c>
      <c r="F392" s="25" t="s">
        <v>1094</v>
      </c>
      <c r="G392" s="25" t="s">
        <v>94</v>
      </c>
      <c r="H392" s="25" t="s">
        <v>95</v>
      </c>
      <c r="I392" s="25" t="s">
        <v>119</v>
      </c>
      <c r="J392" s="25" t="s">
        <v>2543</v>
      </c>
      <c r="K392" s="25" t="s">
        <v>544</v>
      </c>
      <c r="L392" s="25" t="s">
        <v>57</v>
      </c>
      <c r="M392" s="25" t="s">
        <v>55</v>
      </c>
      <c r="N392" s="25" t="s">
        <v>55</v>
      </c>
      <c r="O392" s="25" t="s">
        <v>2485</v>
      </c>
      <c r="P392" s="25" t="s">
        <v>2544</v>
      </c>
      <c r="Q392" s="25" t="s">
        <v>2545</v>
      </c>
      <c r="R392" s="25" t="s">
        <v>63</v>
      </c>
      <c r="S392" s="25" t="s">
        <v>2546</v>
      </c>
      <c r="T392" s="25" t="s">
        <v>2547</v>
      </c>
      <c r="U392" s="25" t="s">
        <v>63</v>
      </c>
      <c r="V392" s="26">
        <v>46053</v>
      </c>
      <c r="W392" s="25" t="s">
        <v>55</v>
      </c>
      <c r="X392" s="25" t="s">
        <v>2528</v>
      </c>
      <c r="Y392" s="25" t="s">
        <v>65</v>
      </c>
      <c r="Z392" s="25" t="s">
        <v>55</v>
      </c>
      <c r="AA392" s="25" t="s">
        <v>155</v>
      </c>
      <c r="AB392" s="25" t="s">
        <v>55</v>
      </c>
      <c r="AC392" s="25" t="s">
        <v>55</v>
      </c>
      <c r="AD392" s="25" t="s">
        <v>67</v>
      </c>
      <c r="AE392" s="25" t="s">
        <v>257</v>
      </c>
      <c r="AF392" s="25" t="s">
        <v>55</v>
      </c>
      <c r="AG392" s="25" t="s">
        <v>55</v>
      </c>
      <c r="AH392" s="25" t="s">
        <v>55</v>
      </c>
      <c r="AI392" s="25" t="s">
        <v>55</v>
      </c>
      <c r="AJ392" s="25" t="s">
        <v>55</v>
      </c>
      <c r="AK392" s="25" t="s">
        <v>55</v>
      </c>
      <c r="AL392" s="25" t="s">
        <v>55</v>
      </c>
      <c r="AM392" s="25" t="s">
        <v>55</v>
      </c>
      <c r="AN392" s="25" t="s">
        <v>55</v>
      </c>
      <c r="AO392" s="25" t="s">
        <v>55</v>
      </c>
      <c r="AP392" s="25" t="s">
        <v>55</v>
      </c>
      <c r="AQ392" s="25" t="s">
        <v>55</v>
      </c>
      <c r="AR392" s="25" t="s">
        <v>55</v>
      </c>
      <c r="AS392" s="25" t="s">
        <v>55</v>
      </c>
      <c r="AT392" s="25" t="s">
        <v>55</v>
      </c>
      <c r="AU392" s="25" t="s">
        <v>55</v>
      </c>
      <c r="AV392" s="25" t="s">
        <v>55</v>
      </c>
      <c r="AW392" s="26">
        <v>45922</v>
      </c>
      <c r="AX392" s="26">
        <v>45961</v>
      </c>
      <c r="AY392" s="25" t="s">
        <v>2491</v>
      </c>
      <c r="AZ392" s="20">
        <f t="shared" si="19"/>
        <v>-71</v>
      </c>
      <c r="BA392" s="17" t="e">
        <f t="shared" si="20"/>
        <v>#N/A</v>
      </c>
      <c r="BB392" s="21" t="s">
        <v>335</v>
      </c>
    </row>
    <row r="393" spans="1:54" x14ac:dyDescent="0.35">
      <c r="A393" s="25" t="s">
        <v>2548</v>
      </c>
      <c r="B393" s="25" t="s">
        <v>347</v>
      </c>
      <c r="C393" s="25" t="s">
        <v>51</v>
      </c>
      <c r="D393" s="25" t="s">
        <v>465</v>
      </c>
      <c r="E393" s="25" t="s">
        <v>52</v>
      </c>
      <c r="F393" s="25" t="s">
        <v>1094</v>
      </c>
      <c r="G393" s="25" t="s">
        <v>94</v>
      </c>
      <c r="H393" s="25" t="s">
        <v>95</v>
      </c>
      <c r="I393" s="25" t="s">
        <v>56</v>
      </c>
      <c r="J393" s="25" t="s">
        <v>2549</v>
      </c>
      <c r="K393" s="25" t="s">
        <v>572</v>
      </c>
      <c r="L393" s="25" t="s">
        <v>57</v>
      </c>
      <c r="M393" s="25" t="s">
        <v>58</v>
      </c>
      <c r="N393" s="25" t="s">
        <v>58</v>
      </c>
      <c r="O393" s="25" t="s">
        <v>2485</v>
      </c>
      <c r="P393" s="25" t="s">
        <v>2550</v>
      </c>
      <c r="Q393" s="25" t="s">
        <v>2551</v>
      </c>
      <c r="R393" s="25" t="s">
        <v>63</v>
      </c>
      <c r="S393" s="25" t="s">
        <v>2552</v>
      </c>
      <c r="T393" s="25" t="s">
        <v>2553</v>
      </c>
      <c r="U393" s="25" t="s">
        <v>63</v>
      </c>
      <c r="V393" s="26">
        <v>46053</v>
      </c>
      <c r="W393" s="25" t="s">
        <v>55</v>
      </c>
      <c r="X393" s="25" t="s">
        <v>2554</v>
      </c>
      <c r="Y393" s="25" t="s">
        <v>65</v>
      </c>
      <c r="Z393" s="25" t="s">
        <v>55</v>
      </c>
      <c r="AA393" s="25" t="s">
        <v>155</v>
      </c>
      <c r="AB393" s="25" t="s">
        <v>55</v>
      </c>
      <c r="AC393" s="25" t="s">
        <v>55</v>
      </c>
      <c r="AD393" s="25" t="s">
        <v>67</v>
      </c>
      <c r="AE393" s="25" t="s">
        <v>257</v>
      </c>
      <c r="AF393" s="25" t="s">
        <v>69</v>
      </c>
      <c r="AG393" s="25" t="s">
        <v>55</v>
      </c>
      <c r="AH393" s="25" t="s">
        <v>55</v>
      </c>
      <c r="AI393" s="25" t="s">
        <v>55</v>
      </c>
      <c r="AJ393" s="25" t="s">
        <v>55</v>
      </c>
      <c r="AK393" s="25" t="s">
        <v>55</v>
      </c>
      <c r="AL393" s="25" t="s">
        <v>55</v>
      </c>
      <c r="AM393" s="25" t="s">
        <v>55</v>
      </c>
      <c r="AN393" s="25" t="s">
        <v>55</v>
      </c>
      <c r="AO393" s="25" t="s">
        <v>55</v>
      </c>
      <c r="AP393" s="25" t="s">
        <v>55</v>
      </c>
      <c r="AQ393" s="25" t="s">
        <v>55</v>
      </c>
      <c r="AR393" s="25" t="s">
        <v>55</v>
      </c>
      <c r="AS393" s="25" t="s">
        <v>55</v>
      </c>
      <c r="AT393" s="25" t="s">
        <v>55</v>
      </c>
      <c r="AU393" s="25" t="s">
        <v>55</v>
      </c>
      <c r="AV393" s="25" t="s">
        <v>55</v>
      </c>
      <c r="AW393" s="26">
        <v>45922</v>
      </c>
      <c r="AX393" s="26">
        <v>45961</v>
      </c>
      <c r="AY393" s="25" t="s">
        <v>2491</v>
      </c>
      <c r="AZ393" s="20">
        <f t="shared" si="19"/>
        <v>-71</v>
      </c>
      <c r="BA393" s="17" t="e">
        <f t="shared" si="20"/>
        <v>#N/A</v>
      </c>
      <c r="BB393" s="21" t="s">
        <v>335</v>
      </c>
    </row>
    <row r="394" spans="1:54" x14ac:dyDescent="0.35">
      <c r="A394" s="25" t="s">
        <v>299</v>
      </c>
      <c r="B394" s="25" t="s">
        <v>50</v>
      </c>
      <c r="C394" s="25" t="s">
        <v>51</v>
      </c>
      <c r="D394" s="25" t="s">
        <v>55</v>
      </c>
      <c r="E394" s="25" t="s">
        <v>108</v>
      </c>
      <c r="F394" s="25" t="s">
        <v>300</v>
      </c>
      <c r="G394" s="25" t="s">
        <v>126</v>
      </c>
      <c r="H394" s="25" t="s">
        <v>157</v>
      </c>
      <c r="I394" s="25" t="s">
        <v>109</v>
      </c>
      <c r="J394" s="25" t="s">
        <v>55</v>
      </c>
      <c r="K394" s="25" t="s">
        <v>586</v>
      </c>
      <c r="L394" s="25" t="s">
        <v>57</v>
      </c>
      <c r="M394" s="25" t="s">
        <v>55</v>
      </c>
      <c r="N394" s="25" t="s">
        <v>55</v>
      </c>
      <c r="O394" s="25" t="s">
        <v>301</v>
      </c>
      <c r="P394" s="25" t="s">
        <v>302</v>
      </c>
      <c r="Q394" s="25" t="s">
        <v>303</v>
      </c>
      <c r="R394" s="25" t="s">
        <v>55</v>
      </c>
      <c r="S394" s="25" t="s">
        <v>304</v>
      </c>
      <c r="T394" s="25" t="s">
        <v>305</v>
      </c>
      <c r="U394" s="25" t="s">
        <v>55</v>
      </c>
      <c r="V394" s="26">
        <v>46022</v>
      </c>
      <c r="W394" s="25" t="s">
        <v>55</v>
      </c>
      <c r="X394" s="25" t="s">
        <v>306</v>
      </c>
      <c r="Y394" s="25" t="s">
        <v>65</v>
      </c>
      <c r="Z394" s="25" t="s">
        <v>55</v>
      </c>
      <c r="AA394" s="25" t="s">
        <v>221</v>
      </c>
      <c r="AB394" s="25" t="s">
        <v>55</v>
      </c>
      <c r="AC394" s="25" t="s">
        <v>55</v>
      </c>
      <c r="AD394" s="25" t="s">
        <v>67</v>
      </c>
      <c r="AE394" s="25" t="s">
        <v>298</v>
      </c>
      <c r="AF394" s="25" t="s">
        <v>55</v>
      </c>
      <c r="AG394" s="25" t="s">
        <v>55</v>
      </c>
      <c r="AH394" s="25" t="s">
        <v>55</v>
      </c>
      <c r="AI394" s="25" t="s">
        <v>55</v>
      </c>
      <c r="AJ394" s="25" t="s">
        <v>55</v>
      </c>
      <c r="AK394" s="25" t="s">
        <v>55</v>
      </c>
      <c r="AL394" s="25" t="s">
        <v>55</v>
      </c>
      <c r="AM394" s="25" t="s">
        <v>55</v>
      </c>
      <c r="AN394" s="25" t="s">
        <v>55</v>
      </c>
      <c r="AO394" s="25" t="s">
        <v>55</v>
      </c>
      <c r="AP394" s="25" t="s">
        <v>55</v>
      </c>
      <c r="AQ394" s="25" t="s">
        <v>55</v>
      </c>
      <c r="AR394" s="25" t="s">
        <v>55</v>
      </c>
      <c r="AS394" s="25" t="s">
        <v>55</v>
      </c>
      <c r="AT394" s="25" t="s">
        <v>55</v>
      </c>
      <c r="AU394" s="25" t="s">
        <v>55</v>
      </c>
      <c r="AV394" s="25" t="s">
        <v>55</v>
      </c>
      <c r="AW394" s="26">
        <v>45107</v>
      </c>
      <c r="AX394" s="26">
        <v>45189</v>
      </c>
      <c r="AY394" s="25" t="s">
        <v>307</v>
      </c>
      <c r="AZ394" s="20">
        <f t="shared" si="19"/>
        <v>-40</v>
      </c>
      <c r="BA394" s="17" t="e">
        <f t="shared" si="20"/>
        <v>#N/A</v>
      </c>
      <c r="BB394" s="21" t="s">
        <v>335</v>
      </c>
    </row>
    <row r="395" spans="1:54" x14ac:dyDescent="0.35">
      <c r="A395" s="25" t="s">
        <v>308</v>
      </c>
      <c r="B395" s="25" t="s">
        <v>50</v>
      </c>
      <c r="C395" s="25" t="s">
        <v>51</v>
      </c>
      <c r="D395" s="25" t="s">
        <v>55</v>
      </c>
      <c r="E395" s="25" t="s">
        <v>108</v>
      </c>
      <c r="F395" s="25" t="s">
        <v>300</v>
      </c>
      <c r="G395" s="25" t="s">
        <v>126</v>
      </c>
      <c r="H395" s="25" t="s">
        <v>157</v>
      </c>
      <c r="I395" s="25" t="s">
        <v>109</v>
      </c>
      <c r="J395" s="25" t="s">
        <v>55</v>
      </c>
      <c r="K395" s="25" t="s">
        <v>586</v>
      </c>
      <c r="L395" s="25" t="s">
        <v>57</v>
      </c>
      <c r="M395" s="25" t="s">
        <v>55</v>
      </c>
      <c r="N395" s="25" t="s">
        <v>55</v>
      </c>
      <c r="O395" s="25" t="s">
        <v>301</v>
      </c>
      <c r="P395" s="25" t="s">
        <v>302</v>
      </c>
      <c r="Q395" s="25" t="s">
        <v>303</v>
      </c>
      <c r="R395" s="25" t="s">
        <v>55</v>
      </c>
      <c r="S395" s="25" t="s">
        <v>304</v>
      </c>
      <c r="T395" s="25" t="s">
        <v>309</v>
      </c>
      <c r="U395" s="25" t="s">
        <v>55</v>
      </c>
      <c r="V395" s="26">
        <v>46022</v>
      </c>
      <c r="W395" s="25" t="s">
        <v>55</v>
      </c>
      <c r="X395" s="25" t="s">
        <v>306</v>
      </c>
      <c r="Y395" s="25" t="s">
        <v>65</v>
      </c>
      <c r="Z395" s="25" t="s">
        <v>55</v>
      </c>
      <c r="AA395" s="25" t="s">
        <v>221</v>
      </c>
      <c r="AB395" s="25" t="s">
        <v>310</v>
      </c>
      <c r="AC395" s="25" t="s">
        <v>55</v>
      </c>
      <c r="AD395" s="25" t="s">
        <v>67</v>
      </c>
      <c r="AE395" s="25" t="s">
        <v>298</v>
      </c>
      <c r="AF395" s="25" t="s">
        <v>55</v>
      </c>
      <c r="AG395" s="25" t="s">
        <v>55</v>
      </c>
      <c r="AH395" s="25" t="s">
        <v>55</v>
      </c>
      <c r="AI395" s="25" t="s">
        <v>55</v>
      </c>
      <c r="AJ395" s="25" t="s">
        <v>55</v>
      </c>
      <c r="AK395" s="25" t="s">
        <v>55</v>
      </c>
      <c r="AL395" s="25" t="s">
        <v>55</v>
      </c>
      <c r="AM395" s="25" t="s">
        <v>55</v>
      </c>
      <c r="AN395" s="25" t="s">
        <v>55</v>
      </c>
      <c r="AO395" s="25" t="s">
        <v>55</v>
      </c>
      <c r="AP395" s="25" t="s">
        <v>55</v>
      </c>
      <c r="AQ395" s="25" t="s">
        <v>55</v>
      </c>
      <c r="AR395" s="25" t="s">
        <v>55</v>
      </c>
      <c r="AS395" s="25" t="s">
        <v>55</v>
      </c>
      <c r="AT395" s="25" t="s">
        <v>55</v>
      </c>
      <c r="AU395" s="25" t="s">
        <v>55</v>
      </c>
      <c r="AV395" s="25" t="s">
        <v>55</v>
      </c>
      <c r="AW395" s="26">
        <v>45107</v>
      </c>
      <c r="AX395" s="26">
        <v>45189</v>
      </c>
      <c r="AY395" s="25" t="s">
        <v>307</v>
      </c>
      <c r="AZ395" s="20">
        <f t="shared" si="19"/>
        <v>-40</v>
      </c>
      <c r="BA395" s="17" t="e">
        <f t="shared" si="20"/>
        <v>#N/A</v>
      </c>
      <c r="BB395" s="21" t="s">
        <v>335</v>
      </c>
    </row>
    <row r="396" spans="1:54" x14ac:dyDescent="0.35">
      <c r="A396" s="25" t="s">
        <v>313</v>
      </c>
      <c r="B396" s="25" t="s">
        <v>50</v>
      </c>
      <c r="C396" s="25" t="s">
        <v>51</v>
      </c>
      <c r="D396" s="25" t="s">
        <v>55</v>
      </c>
      <c r="E396" s="25" t="s">
        <v>52</v>
      </c>
      <c r="F396" s="25" t="s">
        <v>314</v>
      </c>
      <c r="G396" s="25" t="s">
        <v>84</v>
      </c>
      <c r="H396" s="25" t="s">
        <v>84</v>
      </c>
      <c r="I396" s="25" t="s">
        <v>160</v>
      </c>
      <c r="J396" s="25" t="s">
        <v>55</v>
      </c>
      <c r="K396" s="25" t="s">
        <v>858</v>
      </c>
      <c r="L396" s="25" t="s">
        <v>103</v>
      </c>
      <c r="M396" s="25" t="s">
        <v>55</v>
      </c>
      <c r="N396" s="25" t="s">
        <v>55</v>
      </c>
      <c r="O396" s="25" t="s">
        <v>315</v>
      </c>
      <c r="P396" s="25" t="s">
        <v>316</v>
      </c>
      <c r="Q396" s="25" t="s">
        <v>317</v>
      </c>
      <c r="R396" s="25" t="s">
        <v>55</v>
      </c>
      <c r="S396" s="25" t="s">
        <v>318</v>
      </c>
      <c r="T396" s="25" t="s">
        <v>319</v>
      </c>
      <c r="U396" s="25" t="s">
        <v>132</v>
      </c>
      <c r="V396" s="26">
        <v>45900</v>
      </c>
      <c r="W396" s="25" t="s">
        <v>320</v>
      </c>
      <c r="X396" s="25" t="s">
        <v>321</v>
      </c>
      <c r="Y396" s="25" t="s">
        <v>65</v>
      </c>
      <c r="Z396" s="25" t="s">
        <v>55</v>
      </c>
      <c r="AA396" s="25" t="s">
        <v>66</v>
      </c>
      <c r="AB396" s="25" t="s">
        <v>55</v>
      </c>
      <c r="AC396" s="25" t="s">
        <v>55</v>
      </c>
      <c r="AD396" s="25" t="s">
        <v>67</v>
      </c>
      <c r="AE396" s="25" t="s">
        <v>68</v>
      </c>
      <c r="AF396" s="25" t="s">
        <v>55</v>
      </c>
      <c r="AG396" s="25" t="s">
        <v>55</v>
      </c>
      <c r="AH396" s="25" t="s">
        <v>55</v>
      </c>
      <c r="AI396" s="25" t="s">
        <v>55</v>
      </c>
      <c r="AJ396" s="25" t="s">
        <v>55</v>
      </c>
      <c r="AK396" s="25" t="s">
        <v>55</v>
      </c>
      <c r="AL396" s="25" t="s">
        <v>55</v>
      </c>
      <c r="AM396" s="25" t="s">
        <v>55</v>
      </c>
      <c r="AN396" s="25" t="s">
        <v>55</v>
      </c>
      <c r="AO396" s="25" t="s">
        <v>55</v>
      </c>
      <c r="AP396" s="25" t="s">
        <v>55</v>
      </c>
      <c r="AQ396" s="25" t="s">
        <v>55</v>
      </c>
      <c r="AR396" s="25" t="s">
        <v>55</v>
      </c>
      <c r="AS396" s="25" t="s">
        <v>55</v>
      </c>
      <c r="AT396" s="25" t="s">
        <v>55</v>
      </c>
      <c r="AU396" s="25" t="s">
        <v>55</v>
      </c>
      <c r="AV396" s="25" t="s">
        <v>55</v>
      </c>
      <c r="AW396" s="26">
        <v>45247</v>
      </c>
      <c r="AX396" s="26">
        <v>45338</v>
      </c>
      <c r="AY396" s="25" t="s">
        <v>322</v>
      </c>
      <c r="AZ396" s="20">
        <f t="shared" ref="AZ396:AZ397" si="21">$AZ$2-V396</f>
        <v>82</v>
      </c>
      <c r="BA396" s="17" t="str">
        <f t="shared" ref="BA396:BA397" si="22">VLOOKUP(AZ396,$BE$2:$BF$7,2,TRUE)</f>
        <v>&lt; 3 months</v>
      </c>
      <c r="BB396" s="21" t="s">
        <v>66</v>
      </c>
    </row>
    <row r="397" spans="1:54" x14ac:dyDescent="0.35">
      <c r="A397" s="25" t="s">
        <v>324</v>
      </c>
      <c r="B397" s="25" t="s">
        <v>50</v>
      </c>
      <c r="C397" s="25" t="s">
        <v>51</v>
      </c>
      <c r="D397" s="25" t="s">
        <v>55</v>
      </c>
      <c r="E397" s="25" t="s">
        <v>52</v>
      </c>
      <c r="F397" s="25" t="s">
        <v>325</v>
      </c>
      <c r="G397" s="25" t="s">
        <v>54</v>
      </c>
      <c r="H397" s="25" t="s">
        <v>1716</v>
      </c>
      <c r="I397" s="25" t="s">
        <v>56</v>
      </c>
      <c r="J397" s="25" t="s">
        <v>55</v>
      </c>
      <c r="K397" s="25" t="s">
        <v>572</v>
      </c>
      <c r="L397" s="25" t="s">
        <v>57</v>
      </c>
      <c r="M397" s="25" t="s">
        <v>58</v>
      </c>
      <c r="N397" s="25" t="s">
        <v>55</v>
      </c>
      <c r="O397" s="25" t="s">
        <v>55</v>
      </c>
      <c r="P397" s="25" t="s">
        <v>59</v>
      </c>
      <c r="Q397" s="25" t="s">
        <v>326</v>
      </c>
      <c r="R397" s="25" t="s">
        <v>55</v>
      </c>
      <c r="S397" s="25" t="s">
        <v>61</v>
      </c>
      <c r="T397" s="25" t="s">
        <v>327</v>
      </c>
      <c r="U397" s="25" t="s">
        <v>63</v>
      </c>
      <c r="V397" s="26">
        <v>45657</v>
      </c>
      <c r="W397" s="25" t="s">
        <v>55</v>
      </c>
      <c r="X397" s="25" t="s">
        <v>328</v>
      </c>
      <c r="Y397" s="25" t="s">
        <v>65</v>
      </c>
      <c r="Z397" s="25" t="s">
        <v>55</v>
      </c>
      <c r="AA397" s="25" t="s">
        <v>66</v>
      </c>
      <c r="AB397" s="25" t="s">
        <v>55</v>
      </c>
      <c r="AC397" s="25" t="s">
        <v>55</v>
      </c>
      <c r="AD397" s="25" t="s">
        <v>67</v>
      </c>
      <c r="AE397" s="25" t="s">
        <v>68</v>
      </c>
      <c r="AF397" s="25" t="s">
        <v>69</v>
      </c>
      <c r="AG397" s="25" t="s">
        <v>55</v>
      </c>
      <c r="AH397" s="25" t="s">
        <v>55</v>
      </c>
      <c r="AI397" s="25" t="s">
        <v>55</v>
      </c>
      <c r="AJ397" s="25" t="s">
        <v>55</v>
      </c>
      <c r="AK397" s="25" t="s">
        <v>55</v>
      </c>
      <c r="AL397" s="25" t="s">
        <v>55</v>
      </c>
      <c r="AM397" s="25" t="s">
        <v>55</v>
      </c>
      <c r="AN397" s="25" t="s">
        <v>55</v>
      </c>
      <c r="AO397" s="25" t="s">
        <v>55</v>
      </c>
      <c r="AP397" s="25" t="s">
        <v>55</v>
      </c>
      <c r="AQ397" s="25" t="s">
        <v>55</v>
      </c>
      <c r="AR397" s="25" t="s">
        <v>55</v>
      </c>
      <c r="AS397" s="25" t="s">
        <v>55</v>
      </c>
      <c r="AT397" s="25" t="s">
        <v>55</v>
      </c>
      <c r="AU397" s="25" t="s">
        <v>55</v>
      </c>
      <c r="AV397" s="25" t="s">
        <v>55</v>
      </c>
      <c r="AW397" s="25" t="s">
        <v>55</v>
      </c>
      <c r="AX397" s="25" t="s">
        <v>55</v>
      </c>
      <c r="AY397" s="25" t="s">
        <v>70</v>
      </c>
      <c r="AZ397" s="20">
        <f t="shared" si="21"/>
        <v>325</v>
      </c>
      <c r="BA397" s="17" t="str">
        <f t="shared" si="22"/>
        <v>10-12 months</v>
      </c>
      <c r="BB397" s="21" t="s">
        <v>66</v>
      </c>
    </row>
  </sheetData>
  <autoFilter ref="A2:BB397" xr:uid="{00000000-0001-0000-0000-000000000000}"/>
  <conditionalFormatting sqref="A5:A329">
    <cfRule type="duplicateValues" dxfId="0" priority="1"/>
  </conditionalFormatting>
  <pageMargins left="0.7" right="0.7" top="0.75" bottom="0.75" header="0.3" footer="0.3"/>
  <headerFooter>
    <oddHeader>&amp;L&amp;"Calibri"&amp;10&amp;K000000 General Business - Tenneco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Including Self testing</vt:lpstr>
      <vt:lpstr>Self testing Issues</vt:lpstr>
      <vt:lpstr>Past Due</vt:lpstr>
      <vt:lpstr>Top Issue Themes</vt:lpstr>
      <vt:lpstr>Past due aging</vt:lpstr>
      <vt:lpstr>Current Aging</vt:lpstr>
      <vt:lpstr>Past due over 9 months</vt:lpstr>
      <vt:lpstr>Master Sheet</vt:lpstr>
      <vt:lpstr>Working File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Agrawal, Ritu</cp:lastModifiedBy>
  <dcterms:created xsi:type="dcterms:W3CDTF">2025-06-12T13:04:55Z</dcterms:created>
  <dcterms:modified xsi:type="dcterms:W3CDTF">2025-11-21T10:37:06Z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cc719e3-781f-4194-88cb-68199c211420_Enabled">
    <vt:lpwstr>true</vt:lpwstr>
  </property>
  <property fmtid="{D5CDD505-2E9C-101B-9397-08002B2CF9AE}" pid="3" name="MSIP_Label_5cc719e3-781f-4194-88cb-68199c211420_SetDate">
    <vt:lpwstr>2025-06-12T13:53:33Z</vt:lpwstr>
  </property>
  <property fmtid="{D5CDD505-2E9C-101B-9397-08002B2CF9AE}" pid="4" name="MSIP_Label_5cc719e3-781f-4194-88cb-68199c211420_Method">
    <vt:lpwstr>Standard</vt:lpwstr>
  </property>
  <property fmtid="{D5CDD505-2E9C-101B-9397-08002B2CF9AE}" pid="5" name="MSIP_Label_5cc719e3-781f-4194-88cb-68199c211420_Name">
    <vt:lpwstr>General Business - Tenneco Confidential</vt:lpwstr>
  </property>
  <property fmtid="{D5CDD505-2E9C-101B-9397-08002B2CF9AE}" pid="6" name="MSIP_Label_5cc719e3-781f-4194-88cb-68199c211420_SiteId">
    <vt:lpwstr>6eec918b-f654-44a7-ac1a-abfdb64e694e</vt:lpwstr>
  </property>
  <property fmtid="{D5CDD505-2E9C-101B-9397-08002B2CF9AE}" pid="7" name="MSIP_Label_5cc719e3-781f-4194-88cb-68199c211420_ActionId">
    <vt:lpwstr>45ca94e7-a1e1-4d21-b5fe-2c4267aa4980</vt:lpwstr>
  </property>
  <property fmtid="{D5CDD505-2E9C-101B-9397-08002B2CF9AE}" pid="8" name="MSIP_Label_5cc719e3-781f-4194-88cb-68199c211420_ContentBits">
    <vt:lpwstr>1</vt:lpwstr>
  </property>
</Properties>
</file>